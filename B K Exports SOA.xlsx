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"/>
    </mc:Choice>
  </mc:AlternateContent>
  <bookViews>
    <workbookView xWindow="0" yWindow="0" windowWidth="20490" windowHeight="7245"/>
  </bookViews>
  <sheets>
    <sheet name="AA Stone" sheetId="1" r:id="rId1"/>
    <sheet name="CMK NHAN LE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9" i="1" l="1"/>
  <c r="C50" i="1" l="1"/>
  <c r="F48" i="1"/>
  <c r="C48" i="1"/>
  <c r="C47" i="1"/>
  <c r="C46" i="1"/>
  <c r="C45" i="1"/>
  <c r="D45" i="1" s="1"/>
  <c r="F45" i="1" s="1"/>
  <c r="C44" i="1"/>
  <c r="F44" i="1" s="1"/>
  <c r="F38" i="1"/>
  <c r="C38" i="1"/>
  <c r="D47" i="1" l="1"/>
  <c r="F47" i="1" s="1"/>
  <c r="D46" i="1"/>
  <c r="F46" i="1" s="1"/>
  <c r="D50" i="1"/>
  <c r="F50" i="1" s="1"/>
  <c r="G2" i="2"/>
  <c r="I4" i="2"/>
  <c r="G4" i="2"/>
  <c r="C5" i="2"/>
  <c r="G5" i="2" s="1"/>
  <c r="I7" i="2" l="1"/>
  <c r="C2" i="2"/>
  <c r="F34" i="1" l="1"/>
  <c r="F33" i="1"/>
  <c r="C34" i="1"/>
  <c r="C36" i="1"/>
  <c r="F36" i="1" s="1"/>
  <c r="C31" i="1" l="1"/>
  <c r="O30" i="1"/>
  <c r="M31" i="1"/>
  <c r="F31" i="1" l="1"/>
  <c r="F29" i="1"/>
  <c r="C27" i="1" l="1"/>
  <c r="F27" i="1" s="1"/>
  <c r="C25" i="1"/>
  <c r="F25" i="1" s="1"/>
  <c r="C23" i="1" l="1"/>
  <c r="F23" i="1" s="1"/>
  <c r="C19" i="1" l="1"/>
  <c r="F19" i="1" s="1"/>
  <c r="C17" i="1"/>
  <c r="F2" i="1"/>
  <c r="C4" i="1"/>
  <c r="C16" i="1"/>
  <c r="F16" i="1" s="1"/>
  <c r="C14" i="1"/>
  <c r="F14" i="1" s="1"/>
  <c r="C12" i="1"/>
  <c r="F12" i="1" s="1"/>
  <c r="C10" i="1"/>
  <c r="F10" i="1" s="1"/>
  <c r="C7" i="1"/>
  <c r="F7" i="1" s="1"/>
  <c r="F5" i="1"/>
  <c r="F17" i="1" l="1"/>
  <c r="F4" i="1"/>
</calcChain>
</file>

<file path=xl/sharedStrings.xml><?xml version="1.0" encoding="utf-8"?>
<sst xmlns="http://schemas.openxmlformats.org/spreadsheetml/2006/main" count="95" uniqueCount="73">
  <si>
    <t>invoice number</t>
  </si>
  <si>
    <t>amount</t>
  </si>
  <si>
    <t>payment made</t>
  </si>
  <si>
    <t>balance</t>
  </si>
  <si>
    <t>bk001</t>
  </si>
  <si>
    <t>bk002</t>
  </si>
  <si>
    <t>bk003</t>
  </si>
  <si>
    <t>bk005</t>
  </si>
  <si>
    <t>bk006</t>
  </si>
  <si>
    <t>bk007</t>
  </si>
  <si>
    <t>bk008</t>
  </si>
  <si>
    <t>bk009</t>
  </si>
  <si>
    <t>bk010</t>
  </si>
  <si>
    <t>bk011</t>
  </si>
  <si>
    <t>bk012</t>
  </si>
  <si>
    <t>bk013</t>
  </si>
  <si>
    <t>bk015</t>
  </si>
  <si>
    <t>bk016</t>
  </si>
  <si>
    <t>bk017</t>
  </si>
  <si>
    <t>TOTAL PAYMENT</t>
  </si>
  <si>
    <t>PAYMENT MADE</t>
  </si>
  <si>
    <t>BK021</t>
  </si>
  <si>
    <t>BK022</t>
  </si>
  <si>
    <t>BK023</t>
  </si>
  <si>
    <t>BK026</t>
  </si>
  <si>
    <t>BK027</t>
  </si>
  <si>
    <t>BK028</t>
  </si>
  <si>
    <t>BK029</t>
  </si>
  <si>
    <t>BK030</t>
  </si>
  <si>
    <t>REMARK</t>
  </si>
  <si>
    <t>payment date</t>
  </si>
  <si>
    <t>payment made by AA Stone</t>
  </si>
  <si>
    <t>bk export - AA Stone</t>
  </si>
  <si>
    <t>Invoice</t>
  </si>
  <si>
    <t>you deducted</t>
  </si>
  <si>
    <t>BK035</t>
  </si>
  <si>
    <t>BK036</t>
  </si>
  <si>
    <t>BK038</t>
  </si>
  <si>
    <t>BK039</t>
  </si>
  <si>
    <t>BK040</t>
  </si>
  <si>
    <t>BK041</t>
  </si>
  <si>
    <t>BK043</t>
  </si>
  <si>
    <t>BK046</t>
  </si>
  <si>
    <t>dedcut</t>
  </si>
  <si>
    <t>BK048</t>
  </si>
  <si>
    <t>BK049</t>
  </si>
  <si>
    <t>BK050</t>
  </si>
  <si>
    <t>BK051</t>
  </si>
  <si>
    <t>BK053</t>
  </si>
  <si>
    <t>PAYMENT date</t>
  </si>
  <si>
    <t>BK047/25-26</t>
  </si>
  <si>
    <t>BK006/26-27</t>
  </si>
  <si>
    <t>BK008/26-27</t>
  </si>
  <si>
    <t>BK009/26-27</t>
  </si>
  <si>
    <t>BK010/26-27</t>
  </si>
  <si>
    <t>discount</t>
  </si>
  <si>
    <t>26-27</t>
  </si>
  <si>
    <t>Invoice number</t>
  </si>
  <si>
    <t>total payment</t>
  </si>
  <si>
    <t>date</t>
  </si>
  <si>
    <t>BK002</t>
  </si>
  <si>
    <t>BK003</t>
  </si>
  <si>
    <t>BK004</t>
  </si>
  <si>
    <t>BK005</t>
  </si>
  <si>
    <t>BK011</t>
  </si>
  <si>
    <t>BK012</t>
  </si>
  <si>
    <t>BK013</t>
  </si>
  <si>
    <t>BK015</t>
  </si>
  <si>
    <t>BK016</t>
  </si>
  <si>
    <t>BK017</t>
  </si>
  <si>
    <t>BK018</t>
  </si>
  <si>
    <t>BK019</t>
  </si>
  <si>
    <t>BK020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</si>
</sst>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0" fillId="4" borderId="0" xfId="0" applyFill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" fontId="0" fillId="0" borderId="0" xfId="0" applyNumberFormat="1"/>
    <xf numFmtId="4" fontId="0" fillId="0" borderId="2" xfId="0" applyNumberFormat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/>
    </xf>
    <xf numFmtId="0" fontId="0" fillId="0" borderId="1" xfId="0" applyNumberFormat="1" applyBorder="1" applyAlignment="1">
      <alignment vertical="center"/>
    </xf>
    <xf numFmtId="0" fontId="0" fillId="0" borderId="0" xfId="0" applyBorder="1"/>
    <xf numFmtId="4" fontId="0" fillId="0" borderId="0" xfId="0" applyNumberFormat="1" applyBorder="1"/>
    <xf numFmtId="14" fontId="0" fillId="0" borderId="1" xfId="0" applyNumberFormat="1" applyBorder="1"/>
    <xf numFmtId="4" fontId="0" fillId="0" borderId="4" xfId="0" applyNumberFormat="1" applyBorder="1" applyAlignment="1">
      <alignment horizontal="left"/>
    </xf>
    <xf numFmtId="4" fontId="0" fillId="0" borderId="2" xfId="0" applyNumberFormat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4" fontId="0" fillId="0" borderId="4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2" fontId="0" fillId="0" borderId="4" xfId="0" applyNumberFormat="1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" fontId="0" fillId="0" borderId="3" xfId="0" applyNumberFormat="1" applyBorder="1" applyAlignment="1">
      <alignment horizontal="center"/>
    </xf>
    <xf numFmtId="4" fontId="0" fillId="0" borderId="2" xfId="0" applyNumberFormat="1" applyBorder="1" applyAlignment="1">
      <alignment horizontal="left"/>
    </xf>
    <xf numFmtId="4" fontId="0" fillId="0" borderId="5" xfId="0" applyNumberFormat="1" applyBorder="1" applyAlignment="1">
      <alignment horizontal="center"/>
    </xf>
    <xf numFmtId="4" fontId="0" fillId="0" borderId="4" xfId="0" applyNumberFormat="1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0" fillId="3" borderId="2" xfId="0" applyNumberFormat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4" fontId="0" fillId="3" borderId="4" xfId="0" applyNumberFormat="1" applyFill="1" applyBorder="1" applyAlignment="1">
      <alignment horizontal="left"/>
    </xf>
    <xf numFmtId="4" fontId="1" fillId="3" borderId="2" xfId="0" applyNumberFormat="1" applyFont="1" applyFill="1" applyBorder="1" applyAlignment="1">
      <alignment horizontal="left" vertical="center"/>
    </xf>
    <xf numFmtId="4" fontId="1" fillId="3" borderId="4" xfId="0" applyNumberFormat="1" applyFont="1" applyFill="1" applyBorder="1" applyAlignment="1">
      <alignment horizontal="left" vertical="center"/>
    </xf>
    <xf numFmtId="4" fontId="0" fillId="3" borderId="1" xfId="0" applyNumberFormat="1" applyFill="1" applyBorder="1" applyAlignment="1">
      <alignment horizontal="left" vertical="center"/>
    </xf>
    <xf numFmtId="4" fontId="0" fillId="3" borderId="1" xfId="0" applyNumberForma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center"/>
    </xf>
    <xf numFmtId="4" fontId="0" fillId="0" borderId="2" xfId="0" applyNumberFormat="1" applyBorder="1" applyAlignment="1">
      <alignment horizontal="left" vertical="center"/>
    </xf>
    <xf numFmtId="4" fontId="0" fillId="0" borderId="3" xfId="0" applyNumberFormat="1" applyBorder="1" applyAlignment="1">
      <alignment horizontal="left" vertical="center"/>
    </xf>
    <xf numFmtId="4" fontId="0" fillId="0" borderId="4" xfId="0" applyNumberFormat="1" applyBorder="1" applyAlignment="1">
      <alignment horizontal="left" vertical="center"/>
    </xf>
    <xf numFmtId="4" fontId="0" fillId="3" borderId="2" xfId="0" applyNumberFormat="1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4" fontId="1" fillId="3" borderId="2" xfId="0" applyNumberFormat="1" applyFont="1" applyFill="1" applyBorder="1" applyAlignment="1">
      <alignment horizontal="left"/>
    </xf>
    <xf numFmtId="4" fontId="1" fillId="3" borderId="4" xfId="0" applyNumberFormat="1" applyFont="1" applyFill="1" applyBorder="1" applyAlignment="1">
      <alignment horizontal="left"/>
    </xf>
    <xf numFmtId="4" fontId="1" fillId="3" borderId="3" xfId="0" applyNumberFormat="1" applyFon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3" fontId="0" fillId="0" borderId="2" xfId="0" applyNumberFormat="1" applyBorder="1" applyAlignment="1">
      <alignment horizontal="left"/>
    </xf>
    <xf numFmtId="3" fontId="0" fillId="0" borderId="3" xfId="0" applyNumberFormat="1" applyBorder="1" applyAlignment="1">
      <alignment horizontal="left"/>
    </xf>
    <xf numFmtId="3" fontId="0" fillId="0" borderId="4" xfId="0" applyNumberFormat="1" applyBorder="1" applyAlignment="1">
      <alignment horizontal="left"/>
    </xf>
    <xf numFmtId="3" fontId="0" fillId="0" borderId="1" xfId="0" applyNumberFormat="1" applyBorder="1" applyAlignment="1">
      <alignment horizontal="left"/>
    </xf>
    <xf numFmtId="14" fontId="0" fillId="3" borderId="2" xfId="0" applyNumberFormat="1" applyFill="1" applyBorder="1" applyAlignment="1">
      <alignment horizontal="left" vertical="center"/>
    </xf>
    <xf numFmtId="14" fontId="0" fillId="3" borderId="1" xfId="0" applyNumberFormat="1" applyFill="1" applyBorder="1" applyAlignment="1">
      <alignment horizontal="left"/>
    </xf>
    <xf numFmtId="14" fontId="0" fillId="3" borderId="2" xfId="0" applyNumberFormat="1" applyFill="1" applyBorder="1" applyAlignment="1">
      <alignment horizontal="left"/>
    </xf>
    <xf numFmtId="14" fontId="0" fillId="3" borderId="4" xfId="0" applyNumberForma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/>
    </xf>
    <xf numFmtId="14" fontId="0" fillId="0" borderId="1" xfId="0" applyNumberFormat="1" applyBorder="1" applyAlignment="1">
      <alignment horizontal="left"/>
    </xf>
    <xf numFmtId="14" fontId="0" fillId="0" borderId="2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/>
    </xf>
    <xf numFmtId="16" fontId="0" fillId="0" borderId="2" xfId="0" applyNumberFormat="1" applyBorder="1" applyAlignment="1">
      <alignment horizontal="left"/>
    </xf>
    <xf numFmtId="16" fontId="0" fillId="0" borderId="2" xfId="0" applyNumberFormat="1" applyBorder="1" applyAlignment="1">
      <alignment horizontal="left"/>
    </xf>
    <xf numFmtId="16" fontId="0" fillId="0" borderId="3" xfId="0" applyNumberFormat="1" applyBorder="1" applyAlignment="1">
      <alignment horizontal="left"/>
    </xf>
    <xf numFmtId="16" fontId="0" fillId="0" borderId="4" xfId="0" applyNumberFormat="1" applyBorder="1" applyAlignment="1">
      <alignment horizontal="left"/>
    </xf>
    <xf numFmtId="14" fontId="0" fillId="0" borderId="4" xfId="0" applyNumberFormat="1" applyBorder="1" applyAlignment="1">
      <alignment horizontal="left"/>
    </xf>
    <xf numFmtId="4" fontId="0" fillId="0" borderId="3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7"/>
  <sheetViews>
    <sheetView tabSelected="1" topLeftCell="A16" zoomScale="130" zoomScaleNormal="130" workbookViewId="0">
      <selection activeCell="F19" sqref="F19:F22"/>
    </sheetView>
  </sheetViews>
  <sheetFormatPr defaultRowHeight="15" x14ac:dyDescent="0.25"/>
  <cols>
    <col min="1" max="1" width="16.28515625" style="1" bestFit="1" customWidth="1"/>
    <col min="2" max="2" width="10.7109375" style="1" bestFit="1" customWidth="1"/>
    <col min="3" max="3" width="15.7109375" style="8" bestFit="1" customWidth="1"/>
    <col min="4" max="4" width="14.42578125" style="8" bestFit="1" customWidth="1"/>
    <col min="5" max="5" width="15.42578125" style="8" bestFit="1" customWidth="1"/>
    <col min="6" max="6" width="9.140625" style="8"/>
    <col min="7" max="7" width="23.7109375" customWidth="1"/>
    <col min="13" max="13" width="28.7109375" customWidth="1"/>
    <col min="14" max="14" width="13.42578125" bestFit="1" customWidth="1"/>
  </cols>
  <sheetData>
    <row r="1" spans="1:14" x14ac:dyDescent="0.25">
      <c r="A1" s="1" t="s">
        <v>0</v>
      </c>
      <c r="B1" s="1" t="s">
        <v>1</v>
      </c>
      <c r="C1" s="8" t="s">
        <v>19</v>
      </c>
      <c r="D1" s="8" t="s">
        <v>2</v>
      </c>
      <c r="E1" s="8" t="s">
        <v>20</v>
      </c>
      <c r="F1" s="8" t="s">
        <v>3</v>
      </c>
      <c r="G1" t="s">
        <v>29</v>
      </c>
    </row>
    <row r="2" spans="1:14" x14ac:dyDescent="0.25">
      <c r="A2" s="2" t="s">
        <v>4</v>
      </c>
      <c r="B2" s="3">
        <v>7919.25</v>
      </c>
      <c r="C2" s="56">
        <v>17843</v>
      </c>
      <c r="D2" s="79">
        <v>17843</v>
      </c>
      <c r="E2" s="91">
        <v>45810</v>
      </c>
      <c r="F2" s="53">
        <f>C2-D2</f>
        <v>0</v>
      </c>
      <c r="K2" s="49" t="s">
        <v>32</v>
      </c>
      <c r="L2" s="49"/>
      <c r="M2" s="49"/>
      <c r="N2" s="49"/>
    </row>
    <row r="3" spans="1:14" x14ac:dyDescent="0.25">
      <c r="A3" s="2" t="s">
        <v>5</v>
      </c>
      <c r="B3" s="3">
        <v>9923.2900000000009</v>
      </c>
      <c r="C3" s="57"/>
      <c r="D3" s="80"/>
      <c r="E3" s="67"/>
      <c r="F3" s="55"/>
      <c r="K3" s="1"/>
      <c r="L3" s="1" t="s">
        <v>33</v>
      </c>
      <c r="M3" s="1" t="s">
        <v>31</v>
      </c>
      <c r="N3" s="1" t="s">
        <v>30</v>
      </c>
    </row>
    <row r="4" spans="1:14" x14ac:dyDescent="0.25">
      <c r="A4" s="2" t="s">
        <v>6</v>
      </c>
      <c r="B4" s="3">
        <v>9118.02</v>
      </c>
      <c r="C4" s="11">
        <f>B4</f>
        <v>9118.02</v>
      </c>
      <c r="D4" s="81">
        <v>9118.02</v>
      </c>
      <c r="E4" s="92">
        <v>45814</v>
      </c>
      <c r="F4" s="29">
        <f>C4-D4</f>
        <v>0</v>
      </c>
      <c r="K4" s="1" t="s">
        <v>4</v>
      </c>
      <c r="L4" s="51">
        <v>17843</v>
      </c>
      <c r="M4" s="49">
        <v>17843</v>
      </c>
      <c r="N4" s="50">
        <v>45810</v>
      </c>
    </row>
    <row r="5" spans="1:14" x14ac:dyDescent="0.25">
      <c r="A5" s="2" t="s">
        <v>7</v>
      </c>
      <c r="B5" s="3">
        <v>10472.85</v>
      </c>
      <c r="C5" s="58">
        <v>19109.25</v>
      </c>
      <c r="D5" s="82">
        <v>19109.25</v>
      </c>
      <c r="E5" s="93">
        <v>45827</v>
      </c>
      <c r="F5" s="59">
        <f>C5-D5</f>
        <v>0</v>
      </c>
      <c r="K5" s="1" t="s">
        <v>5</v>
      </c>
      <c r="L5" s="51"/>
      <c r="M5" s="49"/>
      <c r="N5" s="51"/>
    </row>
    <row r="6" spans="1:14" x14ac:dyDescent="0.25">
      <c r="A6" s="2" t="s">
        <v>8</v>
      </c>
      <c r="B6" s="3">
        <v>8636.4</v>
      </c>
      <c r="C6" s="58"/>
      <c r="D6" s="82"/>
      <c r="E6" s="94"/>
      <c r="F6" s="60"/>
      <c r="K6" s="1" t="s">
        <v>6</v>
      </c>
      <c r="L6" s="7">
        <v>9118</v>
      </c>
      <c r="M6" s="7">
        <v>9118</v>
      </c>
      <c r="N6" s="6">
        <v>45814</v>
      </c>
    </row>
    <row r="7" spans="1:14" x14ac:dyDescent="0.25">
      <c r="A7" s="2" t="s">
        <v>9</v>
      </c>
      <c r="B7" s="3">
        <v>9999.76</v>
      </c>
      <c r="C7" s="56">
        <f>B7+B8+B9</f>
        <v>25190.3</v>
      </c>
      <c r="D7" s="79">
        <v>5632.5</v>
      </c>
      <c r="E7" s="93">
        <v>45866</v>
      </c>
      <c r="F7" s="65">
        <f>C7-D7-D9</f>
        <v>-1043.6599999999999</v>
      </c>
      <c r="G7" s="48"/>
      <c r="K7" s="1" t="s">
        <v>7</v>
      </c>
      <c r="L7" s="52">
        <v>19109</v>
      </c>
      <c r="M7" s="51">
        <v>19109</v>
      </c>
      <c r="N7" s="50">
        <v>45827</v>
      </c>
    </row>
    <row r="8" spans="1:14" x14ac:dyDescent="0.25">
      <c r="A8" s="2" t="s">
        <v>10</v>
      </c>
      <c r="B8" s="3">
        <v>8615.16</v>
      </c>
      <c r="C8" s="70"/>
      <c r="D8" s="80"/>
      <c r="E8" s="95"/>
      <c r="F8" s="66"/>
      <c r="G8" s="48"/>
      <c r="K8" s="1" t="s">
        <v>8</v>
      </c>
      <c r="L8" s="52"/>
      <c r="M8" s="51"/>
      <c r="N8" s="50"/>
    </row>
    <row r="9" spans="1:14" x14ac:dyDescent="0.25">
      <c r="A9" s="2" t="s">
        <v>11</v>
      </c>
      <c r="B9" s="3">
        <v>6575.38</v>
      </c>
      <c r="C9" s="57"/>
      <c r="D9" s="81">
        <v>20601.46</v>
      </c>
      <c r="E9" s="54"/>
      <c r="F9" s="67"/>
      <c r="G9" s="48"/>
      <c r="K9" s="1" t="s">
        <v>9</v>
      </c>
      <c r="L9" s="51">
        <v>25190</v>
      </c>
      <c r="M9" s="7">
        <v>5632</v>
      </c>
      <c r="N9" s="50">
        <v>45866</v>
      </c>
    </row>
    <row r="10" spans="1:14" x14ac:dyDescent="0.25">
      <c r="A10" s="2" t="s">
        <v>12</v>
      </c>
      <c r="B10" s="3">
        <v>7827.3</v>
      </c>
      <c r="C10" s="68">
        <f>B10+B11</f>
        <v>17788.939999999999</v>
      </c>
      <c r="D10" s="83">
        <v>16954.599999999999</v>
      </c>
      <c r="E10" s="93">
        <v>45870</v>
      </c>
      <c r="F10" s="53">
        <f>C10-D10</f>
        <v>834.34000000000015</v>
      </c>
      <c r="G10" s="48"/>
      <c r="K10" s="1" t="s">
        <v>10</v>
      </c>
      <c r="L10" s="51"/>
      <c r="M10" s="51">
        <v>20601</v>
      </c>
      <c r="N10" s="51"/>
    </row>
    <row r="11" spans="1:14" x14ac:dyDescent="0.25">
      <c r="A11" s="2" t="s">
        <v>13</v>
      </c>
      <c r="B11" s="3">
        <v>9961.64</v>
      </c>
      <c r="C11" s="69"/>
      <c r="D11" s="54"/>
      <c r="E11" s="54"/>
      <c r="F11" s="54"/>
      <c r="G11" s="48"/>
      <c r="K11" s="1" t="s">
        <v>11</v>
      </c>
      <c r="L11" s="51"/>
      <c r="M11" s="51"/>
      <c r="N11" s="51"/>
    </row>
    <row r="12" spans="1:14" x14ac:dyDescent="0.25">
      <c r="A12" s="2" t="s">
        <v>14</v>
      </c>
      <c r="B12" s="3">
        <v>10487.4</v>
      </c>
      <c r="C12" s="68">
        <f>B12+B13</f>
        <v>20081.010000000002</v>
      </c>
      <c r="D12" s="79">
        <v>19870</v>
      </c>
      <c r="E12" s="93">
        <v>45874</v>
      </c>
      <c r="F12" s="53">
        <f>C12-D12</f>
        <v>211.01000000000204</v>
      </c>
      <c r="G12" s="48"/>
      <c r="I12" s="5"/>
      <c r="K12" s="1" t="s">
        <v>12</v>
      </c>
      <c r="L12" s="51">
        <v>17789</v>
      </c>
      <c r="M12" s="52">
        <v>16954</v>
      </c>
      <c r="N12" s="50">
        <v>45870</v>
      </c>
    </row>
    <row r="13" spans="1:14" x14ac:dyDescent="0.25">
      <c r="A13" s="2" t="s">
        <v>15</v>
      </c>
      <c r="B13" s="3">
        <v>9593.61</v>
      </c>
      <c r="C13" s="69"/>
      <c r="D13" s="80"/>
      <c r="E13" s="54"/>
      <c r="F13" s="54"/>
      <c r="G13" s="48"/>
      <c r="K13" s="1" t="s">
        <v>13</v>
      </c>
      <c r="L13" s="51"/>
      <c r="M13" s="52"/>
      <c r="N13" s="51"/>
    </row>
    <row r="14" spans="1:14" x14ac:dyDescent="0.25">
      <c r="A14" s="2" t="s">
        <v>16</v>
      </c>
      <c r="B14" s="3">
        <v>10343.030000000001</v>
      </c>
      <c r="C14" s="68">
        <f>B14+B15</f>
        <v>21994.18</v>
      </c>
      <c r="D14" s="79">
        <v>22506.639999999999</v>
      </c>
      <c r="E14" s="93">
        <v>45897</v>
      </c>
      <c r="F14" s="53">
        <f>C14-D14</f>
        <v>-512.45999999999913</v>
      </c>
      <c r="G14" s="48"/>
      <c r="K14" s="1" t="s">
        <v>14</v>
      </c>
      <c r="L14" s="51">
        <v>20081</v>
      </c>
      <c r="M14" s="51">
        <v>19870</v>
      </c>
      <c r="N14" s="50">
        <v>45874</v>
      </c>
    </row>
    <row r="15" spans="1:14" x14ac:dyDescent="0.25">
      <c r="A15" s="2" t="s">
        <v>17</v>
      </c>
      <c r="B15" s="3">
        <v>11651.15</v>
      </c>
      <c r="C15" s="69"/>
      <c r="D15" s="80"/>
      <c r="E15" s="54"/>
      <c r="F15" s="54"/>
      <c r="G15" s="48"/>
      <c r="K15" s="1" t="s">
        <v>15</v>
      </c>
      <c r="L15" s="51"/>
      <c r="M15" s="51"/>
      <c r="N15" s="51"/>
    </row>
    <row r="16" spans="1:14" x14ac:dyDescent="0.25">
      <c r="A16" s="2" t="s">
        <v>18</v>
      </c>
      <c r="B16" s="3">
        <v>9620.1299999999992</v>
      </c>
      <c r="C16" s="11">
        <f>B16</f>
        <v>9620.1299999999992</v>
      </c>
      <c r="D16" s="81">
        <v>10448.1</v>
      </c>
      <c r="E16" s="92">
        <v>45930</v>
      </c>
      <c r="F16" s="29">
        <f>C16-D16</f>
        <v>-827.97000000000116</v>
      </c>
      <c r="G16" s="10"/>
      <c r="K16" s="1" t="s">
        <v>16</v>
      </c>
      <c r="L16" s="13">
        <v>21994</v>
      </c>
      <c r="M16" s="13">
        <v>22506</v>
      </c>
      <c r="N16" s="14">
        <v>45897</v>
      </c>
    </row>
    <row r="17" spans="1:15" x14ac:dyDescent="0.25">
      <c r="A17" s="1" t="s">
        <v>21</v>
      </c>
      <c r="B17" s="4">
        <v>8801.9</v>
      </c>
      <c r="C17" s="72">
        <f>B17+B18</f>
        <v>18510.77</v>
      </c>
      <c r="D17" s="73">
        <v>15018</v>
      </c>
      <c r="E17" s="96">
        <v>45946</v>
      </c>
      <c r="F17" s="72">
        <f>C17-D17</f>
        <v>3492.7700000000004</v>
      </c>
      <c r="G17" s="71"/>
    </row>
    <row r="18" spans="1:15" x14ac:dyDescent="0.25">
      <c r="A18" s="1" t="s">
        <v>22</v>
      </c>
      <c r="B18" s="4">
        <v>9708.8700000000008</v>
      </c>
      <c r="C18" s="73"/>
      <c r="D18" s="73"/>
      <c r="E18" s="73"/>
      <c r="F18" s="73"/>
      <c r="G18" s="71"/>
      <c r="M18" t="s">
        <v>34</v>
      </c>
      <c r="N18">
        <v>3492</v>
      </c>
    </row>
    <row r="19" spans="1:15" x14ac:dyDescent="0.25">
      <c r="A19" s="1" t="s">
        <v>23</v>
      </c>
      <c r="B19" s="4">
        <v>9192.35</v>
      </c>
      <c r="C19" s="72">
        <f>B19+B20+B21+B22</f>
        <v>32852.65</v>
      </c>
      <c r="D19" s="84">
        <v>20179.62</v>
      </c>
      <c r="E19" s="97">
        <v>45959</v>
      </c>
      <c r="F19" s="62">
        <f>C19-D19-D21</f>
        <v>3503.0300000000025</v>
      </c>
      <c r="G19" s="71"/>
    </row>
    <row r="20" spans="1:15" x14ac:dyDescent="0.25">
      <c r="A20" s="1" t="s">
        <v>24</v>
      </c>
      <c r="B20" s="4">
        <v>5823.61</v>
      </c>
      <c r="C20" s="73"/>
      <c r="D20" s="84"/>
      <c r="E20" s="84"/>
      <c r="F20" s="63"/>
      <c r="G20" s="71"/>
      <c r="M20" s="12"/>
      <c r="N20" s="12"/>
    </row>
    <row r="21" spans="1:15" x14ac:dyDescent="0.25">
      <c r="A21" s="1" t="s">
        <v>25</v>
      </c>
      <c r="B21" s="4">
        <v>8138.34</v>
      </c>
      <c r="C21" s="73"/>
      <c r="D21" s="8">
        <v>9170</v>
      </c>
      <c r="E21" s="98">
        <v>45960</v>
      </c>
      <c r="F21" s="63"/>
      <c r="G21" s="71"/>
    </row>
    <row r="22" spans="1:15" x14ac:dyDescent="0.25">
      <c r="A22" s="1" t="s">
        <v>26</v>
      </c>
      <c r="B22" s="4">
        <v>9698.35</v>
      </c>
      <c r="C22" s="73"/>
      <c r="F22" s="64"/>
      <c r="G22" s="71"/>
    </row>
    <row r="23" spans="1:15" x14ac:dyDescent="0.25">
      <c r="A23" s="1" t="s">
        <v>27</v>
      </c>
      <c r="B23" s="4">
        <v>8123.74</v>
      </c>
      <c r="C23" s="62">
        <f>B23+B24</f>
        <v>18721.400000000001</v>
      </c>
      <c r="D23" s="85">
        <v>22291.21</v>
      </c>
      <c r="E23" s="99">
        <v>45981</v>
      </c>
      <c r="F23" s="62">
        <f>C23-D23</f>
        <v>-3569.8099999999977</v>
      </c>
      <c r="G23" s="71"/>
    </row>
    <row r="24" spans="1:15" x14ac:dyDescent="0.25">
      <c r="A24" s="1" t="s">
        <v>28</v>
      </c>
      <c r="B24" s="4">
        <v>10597.66</v>
      </c>
      <c r="C24" s="64"/>
      <c r="D24" s="86"/>
      <c r="E24" s="86"/>
      <c r="F24" s="64"/>
      <c r="G24" s="71"/>
    </row>
    <row r="25" spans="1:15" x14ac:dyDescent="0.25">
      <c r="A25" s="1" t="s">
        <v>35</v>
      </c>
      <c r="B25" s="4">
        <v>8084.34</v>
      </c>
      <c r="C25" s="45">
        <f>B25+B26</f>
        <v>17122.580000000002</v>
      </c>
      <c r="D25" s="38">
        <v>20031.18</v>
      </c>
      <c r="E25" s="100">
        <v>46029</v>
      </c>
      <c r="F25" s="45">
        <f>C25-D25</f>
        <v>-2908.5999999999985</v>
      </c>
      <c r="G25" s="48"/>
    </row>
    <row r="26" spans="1:15" x14ac:dyDescent="0.25">
      <c r="A26" s="1" t="s">
        <v>36</v>
      </c>
      <c r="B26" s="4">
        <v>9038.24</v>
      </c>
      <c r="C26" s="47"/>
      <c r="D26" s="39"/>
      <c r="E26" s="39"/>
      <c r="F26" s="47"/>
      <c r="G26" s="48"/>
    </row>
    <row r="27" spans="1:15" x14ac:dyDescent="0.25">
      <c r="A27" s="1" t="s">
        <v>38</v>
      </c>
      <c r="B27" s="4">
        <v>8311.7099999999991</v>
      </c>
      <c r="C27" s="45">
        <f>B27+B28</f>
        <v>16174.68</v>
      </c>
      <c r="D27" s="38">
        <v>15028</v>
      </c>
      <c r="E27" s="101">
        <v>46039</v>
      </c>
      <c r="F27" s="45">
        <f>C27-D27</f>
        <v>1146.6800000000003</v>
      </c>
      <c r="G27" s="46"/>
    </row>
    <row r="28" spans="1:15" x14ac:dyDescent="0.25">
      <c r="A28" s="1" t="s">
        <v>39</v>
      </c>
      <c r="B28" s="4">
        <v>7862.97</v>
      </c>
      <c r="C28" s="39"/>
      <c r="D28" s="39"/>
      <c r="E28" s="39"/>
      <c r="F28" s="39"/>
      <c r="G28" s="46"/>
      <c r="L28">
        <v>39</v>
      </c>
      <c r="M28">
        <v>2466.2399999999998</v>
      </c>
      <c r="O28">
        <v>20035.419999999998</v>
      </c>
    </row>
    <row r="29" spans="1:15" x14ac:dyDescent="0.25">
      <c r="A29" s="1" t="s">
        <v>40</v>
      </c>
      <c r="B29" s="4">
        <v>10574.88</v>
      </c>
      <c r="C29" s="45">
        <v>20400</v>
      </c>
      <c r="D29" s="38">
        <v>20400</v>
      </c>
      <c r="E29" s="101">
        <v>46051</v>
      </c>
      <c r="F29" s="45">
        <f>C29-D29</f>
        <v>0</v>
      </c>
      <c r="G29" s="48"/>
      <c r="L29">
        <v>40</v>
      </c>
      <c r="M29">
        <v>7862.97</v>
      </c>
      <c r="O29">
        <v>-600</v>
      </c>
    </row>
    <row r="30" spans="1:15" x14ac:dyDescent="0.25">
      <c r="A30" s="1" t="s">
        <v>41</v>
      </c>
      <c r="B30" s="4">
        <v>9825.43</v>
      </c>
      <c r="C30" s="39"/>
      <c r="D30" s="39"/>
      <c r="E30" s="39"/>
      <c r="F30" s="39"/>
      <c r="G30" s="48"/>
      <c r="L30">
        <v>46</v>
      </c>
      <c r="M30">
        <v>10157.86</v>
      </c>
      <c r="O30">
        <f>O28+O29</f>
        <v>19435.419999999998</v>
      </c>
    </row>
    <row r="31" spans="1:15" x14ac:dyDescent="0.25">
      <c r="A31" s="1" t="s">
        <v>37</v>
      </c>
      <c r="B31" s="1">
        <v>9877.56</v>
      </c>
      <c r="C31" s="45">
        <f>B31+B32-600</f>
        <v>19435.419999999998</v>
      </c>
      <c r="D31" s="38">
        <v>19000</v>
      </c>
      <c r="E31" s="101">
        <v>46092</v>
      </c>
      <c r="F31" s="45">
        <f>C31-D31</f>
        <v>435.41999999999825</v>
      </c>
      <c r="G31" s="48"/>
      <c r="M31">
        <f>SUM(M28:M30)</f>
        <v>20487.07</v>
      </c>
    </row>
    <row r="32" spans="1:15" x14ac:dyDescent="0.25">
      <c r="A32" s="1" t="s">
        <v>42</v>
      </c>
      <c r="B32" s="4">
        <v>10157.86</v>
      </c>
      <c r="C32" s="39"/>
      <c r="D32" s="39"/>
      <c r="E32" s="39"/>
      <c r="F32" s="39"/>
      <c r="G32" s="48"/>
      <c r="L32" t="s">
        <v>43</v>
      </c>
      <c r="M32">
        <v>600</v>
      </c>
    </row>
    <row r="33" spans="1:6" x14ac:dyDescent="0.25">
      <c r="A33" s="1" t="s">
        <v>44</v>
      </c>
      <c r="B33" s="4">
        <v>10700</v>
      </c>
      <c r="C33" s="16">
        <v>10700</v>
      </c>
      <c r="D33" s="87">
        <v>10700</v>
      </c>
      <c r="E33" s="102">
        <v>46127</v>
      </c>
      <c r="F33" s="28">
        <f>C33-D33</f>
        <v>0</v>
      </c>
    </row>
    <row r="34" spans="1:6" x14ac:dyDescent="0.25">
      <c r="A34" s="1" t="s">
        <v>45</v>
      </c>
      <c r="B34" s="15">
        <v>10258.86</v>
      </c>
      <c r="C34" s="44">
        <f>B34+B35</f>
        <v>20099.34</v>
      </c>
      <c r="D34" s="88">
        <v>18000</v>
      </c>
      <c r="E34" s="103">
        <v>46137</v>
      </c>
      <c r="F34" s="106">
        <f>C34-D34</f>
        <v>2099.34</v>
      </c>
    </row>
    <row r="35" spans="1:6" x14ac:dyDescent="0.25">
      <c r="A35" s="1" t="s">
        <v>48</v>
      </c>
      <c r="B35" s="4">
        <v>9840.48</v>
      </c>
      <c r="C35" s="43"/>
      <c r="D35" s="89"/>
      <c r="E35" s="104"/>
      <c r="F35" s="39"/>
    </row>
    <row r="36" spans="1:6" x14ac:dyDescent="0.25">
      <c r="A36" s="1" t="s">
        <v>46</v>
      </c>
      <c r="B36" s="15">
        <v>10385.280000000001</v>
      </c>
      <c r="C36" s="40">
        <f>B36+B37</f>
        <v>20145.5</v>
      </c>
      <c r="D36" s="38">
        <v>22100</v>
      </c>
      <c r="E36" s="100">
        <v>46155</v>
      </c>
      <c r="F36" s="45">
        <f>C36-D36</f>
        <v>-1954.5</v>
      </c>
    </row>
    <row r="37" spans="1:6" x14ac:dyDescent="0.25">
      <c r="A37" s="1" t="s">
        <v>47</v>
      </c>
      <c r="B37" s="15">
        <v>9760.2199999999993</v>
      </c>
      <c r="C37" s="43"/>
      <c r="D37" s="39"/>
      <c r="E37" s="39"/>
      <c r="F37" s="39"/>
    </row>
    <row r="38" spans="1:6" x14ac:dyDescent="0.25">
      <c r="A38" s="1" t="s">
        <v>48</v>
      </c>
      <c r="B38" s="4">
        <v>9840.48</v>
      </c>
      <c r="C38" s="9">
        <f>B38</f>
        <v>9840.48</v>
      </c>
      <c r="D38" s="90">
        <v>9840.48</v>
      </c>
      <c r="E38" s="98">
        <v>46156</v>
      </c>
      <c r="F38" s="9">
        <f>C38-D38</f>
        <v>0</v>
      </c>
    </row>
    <row r="39" spans="1:6" x14ac:dyDescent="0.25">
      <c r="A39" s="24"/>
      <c r="B39" s="24"/>
      <c r="C39" s="32"/>
      <c r="D39" s="31"/>
      <c r="E39" s="31"/>
      <c r="F39" s="32">
        <f>SUM(F2:F38)</f>
        <v>905.59000000000742</v>
      </c>
    </row>
    <row r="40" spans="1:6" x14ac:dyDescent="0.25">
      <c r="A40" s="24"/>
      <c r="B40" s="24"/>
      <c r="C40" s="31"/>
      <c r="D40" s="31"/>
      <c r="E40" s="31"/>
      <c r="F40" s="31"/>
    </row>
    <row r="41" spans="1:6" x14ac:dyDescent="0.25">
      <c r="A41" s="37" t="s">
        <v>56</v>
      </c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1" t="s">
        <v>57</v>
      </c>
      <c r="B43" s="1" t="s">
        <v>1</v>
      </c>
      <c r="C43" s="8" t="s">
        <v>58</v>
      </c>
      <c r="D43" s="8" t="s">
        <v>2</v>
      </c>
      <c r="E43" s="8" t="s">
        <v>59</v>
      </c>
      <c r="F43" s="8" t="s">
        <v>3</v>
      </c>
    </row>
    <row r="44" spans="1:6" x14ac:dyDescent="0.25">
      <c r="A44" s="33" t="s">
        <v>60</v>
      </c>
      <c r="B44" s="34">
        <v>10147.14</v>
      </c>
      <c r="C44" s="27">
        <f>B44</f>
        <v>10147.14</v>
      </c>
      <c r="D44" s="35">
        <v>10147.14</v>
      </c>
      <c r="E44" s="105">
        <v>46171</v>
      </c>
      <c r="F44" s="30">
        <f>C44-D44</f>
        <v>0</v>
      </c>
    </row>
    <row r="45" spans="1:6" x14ac:dyDescent="0.25">
      <c r="A45" s="33" t="s">
        <v>61</v>
      </c>
      <c r="B45" s="4">
        <v>9402.43</v>
      </c>
      <c r="C45" s="9">
        <f>B45</f>
        <v>9402.43</v>
      </c>
      <c r="D45" s="9">
        <f>C45</f>
        <v>9402.43</v>
      </c>
      <c r="E45" s="98">
        <v>46169</v>
      </c>
      <c r="F45" s="30">
        <f>C45-D45</f>
        <v>0</v>
      </c>
    </row>
    <row r="46" spans="1:6" x14ac:dyDescent="0.25">
      <c r="A46" s="33" t="s">
        <v>62</v>
      </c>
      <c r="B46" s="4">
        <v>9829.0499999999993</v>
      </c>
      <c r="C46" s="9">
        <f>B46</f>
        <v>9829.0499999999993</v>
      </c>
      <c r="D46" s="9">
        <f>C46</f>
        <v>9829.0499999999993</v>
      </c>
      <c r="E46" s="98">
        <v>46255</v>
      </c>
      <c r="F46" s="30">
        <f>C46-D46</f>
        <v>0</v>
      </c>
    </row>
    <row r="47" spans="1:6" x14ac:dyDescent="0.25">
      <c r="A47" s="33" t="s">
        <v>63</v>
      </c>
      <c r="B47" s="4">
        <v>4619.3900000000003</v>
      </c>
      <c r="C47" s="9">
        <f>B47</f>
        <v>4619.3900000000003</v>
      </c>
      <c r="D47" s="9">
        <f>C47</f>
        <v>4619.3900000000003</v>
      </c>
      <c r="E47" s="98">
        <v>46255</v>
      </c>
      <c r="F47" s="9">
        <f>C47-D47</f>
        <v>0</v>
      </c>
    </row>
    <row r="48" spans="1:6" x14ac:dyDescent="0.25">
      <c r="A48" s="38" t="s">
        <v>64</v>
      </c>
      <c r="B48" s="40">
        <v>7933.63</v>
      </c>
      <c r="C48" s="42">
        <f>B48</f>
        <v>7933.63</v>
      </c>
      <c r="D48" s="36">
        <v>5493.56</v>
      </c>
      <c r="E48" s="98">
        <v>46255</v>
      </c>
      <c r="F48" s="45">
        <f>C48-D48-D49</f>
        <v>2420.12</v>
      </c>
    </row>
    <row r="49" spans="1:6" x14ac:dyDescent="0.25">
      <c r="A49" s="39"/>
      <c r="B49" s="41"/>
      <c r="C49" s="43"/>
      <c r="D49" s="9">
        <v>19.95</v>
      </c>
      <c r="E49" s="98">
        <v>46253</v>
      </c>
      <c r="F49" s="39"/>
    </row>
    <row r="50" spans="1:6" x14ac:dyDescent="0.25">
      <c r="A50" s="1" t="s">
        <v>65</v>
      </c>
      <c r="B50" s="4">
        <v>8051.05</v>
      </c>
      <c r="C50" s="8">
        <f>B50</f>
        <v>8051.05</v>
      </c>
      <c r="D50" s="8">
        <f>C50</f>
        <v>8051.05</v>
      </c>
      <c r="E50" s="98">
        <v>46254</v>
      </c>
      <c r="F50" s="8">
        <f>C50-D50</f>
        <v>0</v>
      </c>
    </row>
    <row r="51" spans="1:6" x14ac:dyDescent="0.25">
      <c r="A51" s="1" t="s">
        <v>66</v>
      </c>
      <c r="B51" s="4">
        <v>9474.08</v>
      </c>
    </row>
    <row r="52" spans="1:6" x14ac:dyDescent="0.25">
      <c r="A52" s="1" t="s">
        <v>67</v>
      </c>
      <c r="B52" s="4">
        <v>7734.29</v>
      </c>
    </row>
    <row r="53" spans="1:6" x14ac:dyDescent="0.25">
      <c r="A53" s="1" t="s">
        <v>68</v>
      </c>
      <c r="B53" s="4">
        <v>9830.7000000000007</v>
      </c>
    </row>
    <row r="54" spans="1:6" x14ac:dyDescent="0.25">
      <c r="A54" s="1" t="s">
        <v>69</v>
      </c>
      <c r="B54" s="4">
        <v>7897.75</v>
      </c>
    </row>
    <row r="55" spans="1:6" x14ac:dyDescent="0.25">
      <c r="A55" s="1" t="s">
        <v>70</v>
      </c>
      <c r="B55" s="4">
        <v>8144.5</v>
      </c>
    </row>
    <row r="56" spans="1:6" x14ac:dyDescent="0.25">
      <c r="A56" s="1" t="s">
        <v>71</v>
      </c>
      <c r="B56" s="4">
        <v>5584.32</v>
      </c>
    </row>
    <row r="57" spans="1:6" x14ac:dyDescent="0.25">
      <c r="A57" s="1" t="s">
        <v>72</v>
      </c>
      <c r="B57" s="4">
        <v>9321.4</v>
      </c>
    </row>
  </sheetData>
  <mergeCells count="92">
    <mergeCell ref="F29:F30"/>
    <mergeCell ref="F31:F32"/>
    <mergeCell ref="G29:G30"/>
    <mergeCell ref="G31:G32"/>
    <mergeCell ref="E31:E32"/>
    <mergeCell ref="C31:C32"/>
    <mergeCell ref="D31:D32"/>
    <mergeCell ref="C29:C30"/>
    <mergeCell ref="D29:D30"/>
    <mergeCell ref="E29:E30"/>
    <mergeCell ref="C23:C24"/>
    <mergeCell ref="D23:D24"/>
    <mergeCell ref="E23:E24"/>
    <mergeCell ref="F23:F24"/>
    <mergeCell ref="G7:G9"/>
    <mergeCell ref="G10:G11"/>
    <mergeCell ref="G12:G13"/>
    <mergeCell ref="G14:G15"/>
    <mergeCell ref="G17:G18"/>
    <mergeCell ref="G19:G22"/>
    <mergeCell ref="G23:G24"/>
    <mergeCell ref="C17:C18"/>
    <mergeCell ref="D17:D18"/>
    <mergeCell ref="E17:E18"/>
    <mergeCell ref="F17:F18"/>
    <mergeCell ref="C19:C22"/>
    <mergeCell ref="D19:D20"/>
    <mergeCell ref="E19:E20"/>
    <mergeCell ref="F19:F22"/>
    <mergeCell ref="F7:F9"/>
    <mergeCell ref="C10:C11"/>
    <mergeCell ref="C12:C13"/>
    <mergeCell ref="C14:C15"/>
    <mergeCell ref="D12:D13"/>
    <mergeCell ref="F12:F13"/>
    <mergeCell ref="D14:D15"/>
    <mergeCell ref="F14:F15"/>
    <mergeCell ref="E7:E9"/>
    <mergeCell ref="E12:E13"/>
    <mergeCell ref="C7:C9"/>
    <mergeCell ref="D7:D8"/>
    <mergeCell ref="D10:D11"/>
    <mergeCell ref="F2:F3"/>
    <mergeCell ref="C2:C3"/>
    <mergeCell ref="C5:C6"/>
    <mergeCell ref="D5:D6"/>
    <mergeCell ref="F5:F6"/>
    <mergeCell ref="E2:E3"/>
    <mergeCell ref="E5:E6"/>
    <mergeCell ref="D2:D3"/>
    <mergeCell ref="L9:L11"/>
    <mergeCell ref="L12:L13"/>
    <mergeCell ref="L14:L15"/>
    <mergeCell ref="E10:E11"/>
    <mergeCell ref="F10:F11"/>
    <mergeCell ref="E14:E15"/>
    <mergeCell ref="M10:M11"/>
    <mergeCell ref="N9:N11"/>
    <mergeCell ref="M14:M15"/>
    <mergeCell ref="N14:N15"/>
    <mergeCell ref="M12:M13"/>
    <mergeCell ref="N12:N13"/>
    <mergeCell ref="K2:N2"/>
    <mergeCell ref="M4:M5"/>
    <mergeCell ref="N4:N5"/>
    <mergeCell ref="M7:M8"/>
    <mergeCell ref="N7:N8"/>
    <mergeCell ref="L4:L5"/>
    <mergeCell ref="L7:L8"/>
    <mergeCell ref="C27:C28"/>
    <mergeCell ref="D27:D28"/>
    <mergeCell ref="F27:F28"/>
    <mergeCell ref="G27:G28"/>
    <mergeCell ref="C25:C26"/>
    <mergeCell ref="G25:G26"/>
    <mergeCell ref="D25:D26"/>
    <mergeCell ref="E25:E26"/>
    <mergeCell ref="F25:F26"/>
    <mergeCell ref="E27:E28"/>
    <mergeCell ref="F36:F37"/>
    <mergeCell ref="C34:C35"/>
    <mergeCell ref="E34:E35"/>
    <mergeCell ref="D34:D35"/>
    <mergeCell ref="F34:F35"/>
    <mergeCell ref="C36:C37"/>
    <mergeCell ref="D36:D37"/>
    <mergeCell ref="E36:E37"/>
    <mergeCell ref="A41:F42"/>
    <mergeCell ref="A48:A49"/>
    <mergeCell ref="B48:B49"/>
    <mergeCell ref="C48:C49"/>
    <mergeCell ref="F48:F4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G14" sqref="G14"/>
    </sheetView>
  </sheetViews>
  <sheetFormatPr defaultRowHeight="15" x14ac:dyDescent="0.25"/>
  <cols>
    <col min="1" max="1" width="15" bestFit="1" customWidth="1"/>
    <col min="2" max="2" width="9" bestFit="1" customWidth="1"/>
    <col min="3" max="3" width="10.85546875" customWidth="1"/>
    <col min="4" max="4" width="12.140625" customWidth="1"/>
    <col min="5" max="6" width="12.42578125" customWidth="1"/>
    <col min="7" max="7" width="10.85546875" bestFit="1" customWidth="1"/>
  </cols>
  <sheetData>
    <row r="1" spans="1:9" ht="34.5" customHeight="1" x14ac:dyDescent="0.25">
      <c r="A1" s="1" t="s">
        <v>0</v>
      </c>
      <c r="B1" s="1" t="s">
        <v>1</v>
      </c>
      <c r="C1" s="17" t="s">
        <v>19</v>
      </c>
      <c r="D1" s="18" t="s">
        <v>2</v>
      </c>
      <c r="E1" s="17" t="s">
        <v>49</v>
      </c>
      <c r="F1" s="17" t="s">
        <v>55</v>
      </c>
      <c r="G1" s="19" t="s">
        <v>3</v>
      </c>
      <c r="H1" s="24"/>
      <c r="I1" s="24"/>
    </row>
    <row r="2" spans="1:9" x14ac:dyDescent="0.25">
      <c r="A2" s="73" t="s">
        <v>50</v>
      </c>
      <c r="B2" s="74">
        <v>12400.07</v>
      </c>
      <c r="C2" s="78">
        <f>B2</f>
        <v>12400.07</v>
      </c>
      <c r="D2" s="20">
        <v>7721.09</v>
      </c>
      <c r="E2" s="21">
        <v>46127</v>
      </c>
      <c r="F2" s="50"/>
      <c r="G2" s="74">
        <f>C2-D2-D3</f>
        <v>-1090.2400000000007</v>
      </c>
      <c r="H2" s="77"/>
      <c r="I2" s="24"/>
    </row>
    <row r="3" spans="1:9" x14ac:dyDescent="0.25">
      <c r="A3" s="73"/>
      <c r="B3" s="74"/>
      <c r="C3" s="78"/>
      <c r="D3" s="20">
        <v>5769.22</v>
      </c>
      <c r="E3" s="21">
        <v>46149</v>
      </c>
      <c r="F3" s="50"/>
      <c r="G3" s="74"/>
      <c r="H3" s="77"/>
      <c r="I3" s="24"/>
    </row>
    <row r="4" spans="1:9" x14ac:dyDescent="0.25">
      <c r="A4" s="1" t="s">
        <v>51</v>
      </c>
      <c r="B4" s="4">
        <v>11380.69</v>
      </c>
      <c r="C4" s="22">
        <v>11380.69</v>
      </c>
      <c r="D4" s="1">
        <v>6927.86</v>
      </c>
      <c r="E4" s="21">
        <v>46171</v>
      </c>
      <c r="F4" s="23">
        <v>100</v>
      </c>
      <c r="G4" s="4">
        <f>C4-D4-F4</f>
        <v>4352.8300000000008</v>
      </c>
      <c r="H4" s="25"/>
      <c r="I4" s="25">
        <f>G2+G4</f>
        <v>3262.59</v>
      </c>
    </row>
    <row r="5" spans="1:9" x14ac:dyDescent="0.25">
      <c r="A5" s="1" t="s">
        <v>52</v>
      </c>
      <c r="B5" s="4">
        <v>11290.33</v>
      </c>
      <c r="C5" s="74">
        <f>B5+B6+B7</f>
        <v>30753.170000000002</v>
      </c>
      <c r="D5" s="49">
        <v>21861.38</v>
      </c>
      <c r="E5" s="61">
        <v>46206</v>
      </c>
      <c r="F5" s="76"/>
      <c r="G5" s="75">
        <f>C5-D5-D7</f>
        <v>1012.2300000000005</v>
      </c>
      <c r="H5" s="24"/>
      <c r="I5" s="24"/>
    </row>
    <row r="6" spans="1:9" x14ac:dyDescent="0.25">
      <c r="A6" s="1" t="s">
        <v>53</v>
      </c>
      <c r="B6" s="4">
        <v>8193.18</v>
      </c>
      <c r="C6" s="51"/>
      <c r="D6" s="49"/>
      <c r="E6" s="49"/>
      <c r="F6" s="76"/>
      <c r="G6" s="75"/>
      <c r="H6" s="24"/>
      <c r="I6" s="24"/>
    </row>
    <row r="7" spans="1:9" x14ac:dyDescent="0.25">
      <c r="A7" s="1" t="s">
        <v>54</v>
      </c>
      <c r="B7" s="4">
        <v>11269.66</v>
      </c>
      <c r="C7" s="51"/>
      <c r="D7" s="1">
        <v>7879.56</v>
      </c>
      <c r="E7" s="26">
        <v>46244</v>
      </c>
      <c r="F7" s="76"/>
      <c r="G7" s="75"/>
      <c r="H7" s="24"/>
      <c r="I7" s="25">
        <f>G2+G4+G5</f>
        <v>4274.8200000000006</v>
      </c>
    </row>
  </sheetData>
  <mergeCells count="11">
    <mergeCell ref="H2:H3"/>
    <mergeCell ref="A2:A3"/>
    <mergeCell ref="B2:B3"/>
    <mergeCell ref="C2:C3"/>
    <mergeCell ref="G2:G3"/>
    <mergeCell ref="F2:F3"/>
    <mergeCell ref="C5:C7"/>
    <mergeCell ref="D5:D6"/>
    <mergeCell ref="E5:E6"/>
    <mergeCell ref="G5:G7"/>
    <mergeCell ref="F5:F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 Stone</vt:lpstr>
      <vt:lpstr>CMK NHAN LEE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2025-10-30T10:00:15Z</dcterms:created>
  <dcterms:modified xsi:type="dcterms:W3CDTF">2026-09-03T05:28:23Z</dcterms:modified>
</cp:coreProperties>
</file>
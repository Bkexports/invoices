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 K EXPORTS\BK Exports bills\23-24\"/>
    </mc:Choice>
  </mc:AlternateContent>
  <bookViews>
    <workbookView xWindow="-105" yWindow="-105" windowWidth="23250" windowHeight="12450" activeTab="2"/>
  </bookViews>
  <sheets>
    <sheet name="Main Sheet" sheetId="5" r:id="rId1"/>
    <sheet name="Sheet2" sheetId="1" r:id="rId2"/>
    <sheet name="Sheet1" sheetId="4" r:id="rId3"/>
    <sheet name="Sheet3" sheetId="7" r:id="rId4"/>
    <sheet name="Documentation" sheetId="6" r:id="rId5"/>
    <sheet name="BK23" sheetId="2" r:id="rId6"/>
  </sheets>
  <definedNames>
    <definedName name="_xlnm._FilterDatabase" localSheetId="2" hidden="1">Sheet1!$A$1:$L$58</definedName>
    <definedName name="_xlnm._FilterDatabase" localSheetId="1" hidden="1">Sheet2!$A$1:$M$36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0" i="2" l="1"/>
  <c r="D49" i="2"/>
  <c r="D45" i="2"/>
  <c r="D46" i="2"/>
  <c r="D47" i="2" l="1"/>
  <c r="D51" i="2"/>
  <c r="D52" i="2" s="1"/>
  <c r="D53" i="2" l="1"/>
  <c r="A33" i="4"/>
  <c r="A34" i="4"/>
  <c r="A35" i="4"/>
  <c r="A36" i="4"/>
  <c r="D38" i="2" l="1"/>
  <c r="D40" i="2" s="1"/>
  <c r="D37" i="2"/>
  <c r="D39" i="2" l="1"/>
  <c r="A18" i="5"/>
  <c r="A15" i="5"/>
  <c r="D12" i="5"/>
  <c r="A12" i="5"/>
  <c r="D8" i="5"/>
  <c r="A8" i="5"/>
  <c r="B6" i="5" l="1"/>
  <c r="A31" i="4" l="1"/>
  <c r="A32" i="4"/>
  <c r="A22" i="4"/>
  <c r="M9" i="1" l="1"/>
  <c r="A23" i="4"/>
  <c r="A24" i="4"/>
  <c r="A25" i="4"/>
  <c r="A26" i="4"/>
  <c r="A27" i="4"/>
  <c r="A28" i="4"/>
  <c r="A29" i="4"/>
  <c r="A30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D27" i="2" l="1"/>
  <c r="D28" i="2"/>
  <c r="D26" i="2"/>
  <c r="D22" i="2"/>
  <c r="D24" i="2" s="1"/>
  <c r="D23" i="2"/>
  <c r="D21" i="2"/>
  <c r="D29" i="2" l="1"/>
  <c r="D30" i="2"/>
  <c r="D32" i="2" s="1"/>
  <c r="D15" i="2"/>
  <c r="D14" i="2"/>
  <c r="D16" i="2" s="1"/>
  <c r="F16" i="2" s="1"/>
  <c r="D11" i="2"/>
  <c r="D10" i="2"/>
  <c r="D12" i="2" l="1"/>
  <c r="D17" i="2"/>
  <c r="D3" i="2"/>
  <c r="D2" i="2"/>
  <c r="D4" i="2" l="1"/>
  <c r="D6" i="2" s="1"/>
  <c r="M12" i="1"/>
  <c r="M17" i="1"/>
  <c r="M19" i="1"/>
  <c r="M25" i="1"/>
  <c r="M34" i="1"/>
  <c r="M10" i="1"/>
  <c r="M11" i="1"/>
  <c r="M14" i="1"/>
  <c r="M15" i="1"/>
  <c r="M21" i="1"/>
  <c r="M22" i="1"/>
  <c r="M23" i="1"/>
  <c r="M24" i="1"/>
  <c r="M27" i="1"/>
  <c r="M28" i="1"/>
  <c r="M29" i="1"/>
  <c r="M30" i="1"/>
  <c r="M31" i="1"/>
  <c r="M32" i="1"/>
  <c r="M33" i="1"/>
  <c r="M35" i="1"/>
  <c r="G16" i="1" l="1"/>
  <c r="F16" i="1"/>
  <c r="M16" i="1" s="1"/>
</calcChain>
</file>

<file path=xl/sharedStrings.xml><?xml version="1.0" encoding="utf-8"?>
<sst xmlns="http://schemas.openxmlformats.org/spreadsheetml/2006/main" count="497" uniqueCount="203">
  <si>
    <t>BK023</t>
  </si>
  <si>
    <t>Invoice No.</t>
  </si>
  <si>
    <t>Invoice Amount</t>
  </si>
  <si>
    <t xml:space="preserve">Adavance </t>
  </si>
  <si>
    <t xml:space="preserve">Final </t>
  </si>
  <si>
    <t>BK024</t>
  </si>
  <si>
    <t>BK022</t>
  </si>
  <si>
    <t>BK021</t>
  </si>
  <si>
    <t>BK020</t>
  </si>
  <si>
    <t>Party Name</t>
  </si>
  <si>
    <t>Company Name</t>
  </si>
  <si>
    <t>Cong Ty Tnhh</t>
  </si>
  <si>
    <t>Mr Tuan</t>
  </si>
  <si>
    <t>Product</t>
  </si>
  <si>
    <t>Hassan Mix</t>
  </si>
  <si>
    <t>Le Hue</t>
  </si>
  <si>
    <t>Alaska Gold</t>
  </si>
  <si>
    <t>Hoang Duy</t>
  </si>
  <si>
    <t>MK Trading</t>
  </si>
  <si>
    <t>Hassan Long</t>
  </si>
  <si>
    <t>Hassan</t>
  </si>
  <si>
    <t>Absolute Black</t>
  </si>
  <si>
    <t>BK019</t>
  </si>
  <si>
    <t>Remaning Amount</t>
  </si>
  <si>
    <t>BK018</t>
  </si>
  <si>
    <t>BK017</t>
  </si>
  <si>
    <t>BK016</t>
  </si>
  <si>
    <t>BK015</t>
  </si>
  <si>
    <t>BK014</t>
  </si>
  <si>
    <t>BK013</t>
  </si>
  <si>
    <t>BK012</t>
  </si>
  <si>
    <t>BK011</t>
  </si>
  <si>
    <t>BK010</t>
  </si>
  <si>
    <t>BK004</t>
  </si>
  <si>
    <t>BK003</t>
  </si>
  <si>
    <t>BK002</t>
  </si>
  <si>
    <t>BK001</t>
  </si>
  <si>
    <t>DBK Amount</t>
  </si>
  <si>
    <t>Invoice Date</t>
  </si>
  <si>
    <t>Da Op Lat</t>
  </si>
  <si>
    <t>DG Stone</t>
  </si>
  <si>
    <t>Galaxy</t>
  </si>
  <si>
    <t>-</t>
  </si>
  <si>
    <t>Nguyen</t>
  </si>
  <si>
    <t>Tan Brown</t>
  </si>
  <si>
    <t>La Le Huy</t>
  </si>
  <si>
    <t>Tong Viet</t>
  </si>
  <si>
    <t>VU MINH DEVELOPMENT</t>
  </si>
  <si>
    <t>Ash Black</t>
  </si>
  <si>
    <t>Thanh</t>
  </si>
  <si>
    <t>Trang Long</t>
  </si>
  <si>
    <t>Absolute Mix</t>
  </si>
  <si>
    <t>Le Huan</t>
  </si>
  <si>
    <t>Thoi dai Stone</t>
  </si>
  <si>
    <t>Kien Coung</t>
  </si>
  <si>
    <t>Tran Gia</t>
  </si>
  <si>
    <t>Ruby Red</t>
  </si>
  <si>
    <t>TDP</t>
  </si>
  <si>
    <t>Quynh Kien</t>
  </si>
  <si>
    <t>Black Short</t>
  </si>
  <si>
    <t>Vo Hau</t>
  </si>
  <si>
    <t>Galaxy Short</t>
  </si>
  <si>
    <t>Hassan Green</t>
  </si>
  <si>
    <t>NamHuy Import Export</t>
  </si>
  <si>
    <t>AR  Date</t>
  </si>
  <si>
    <t>FR  Date</t>
  </si>
  <si>
    <t>RA  Date</t>
  </si>
  <si>
    <t>Adjustment Amount</t>
  </si>
  <si>
    <t>Done</t>
  </si>
  <si>
    <t xml:space="preserve"> </t>
  </si>
  <si>
    <t>BK025</t>
  </si>
  <si>
    <t>BK026</t>
  </si>
  <si>
    <t>Alaska gold</t>
  </si>
  <si>
    <t>Invoice Value</t>
  </si>
  <si>
    <t>Advance</t>
  </si>
  <si>
    <t>VIT Account</t>
  </si>
  <si>
    <t>Absolute Black Long</t>
  </si>
  <si>
    <t>Absolute Black Short</t>
  </si>
  <si>
    <t>VIT Account Due</t>
  </si>
  <si>
    <t>Indian Account</t>
  </si>
  <si>
    <t>Forest Black</t>
  </si>
  <si>
    <t>Fish Black</t>
  </si>
  <si>
    <t>Indian Account Due</t>
  </si>
  <si>
    <t xml:space="preserve">Adavnce </t>
  </si>
  <si>
    <t>BK027</t>
  </si>
  <si>
    <t>BK028</t>
  </si>
  <si>
    <t>Shipping Bill No.</t>
  </si>
  <si>
    <t>Shipping Bill Date</t>
  </si>
  <si>
    <t>RoDTEP</t>
  </si>
  <si>
    <t>BL No.</t>
  </si>
  <si>
    <t>Bank BRC</t>
  </si>
  <si>
    <t>E-Script</t>
  </si>
  <si>
    <t>BK029</t>
  </si>
  <si>
    <t>DBK Date</t>
  </si>
  <si>
    <t>31 November 2022</t>
  </si>
  <si>
    <t>BK01</t>
  </si>
  <si>
    <t>BK02</t>
  </si>
  <si>
    <t>BK03</t>
  </si>
  <si>
    <t>BK04</t>
  </si>
  <si>
    <t>BK05</t>
  </si>
  <si>
    <t>BK06</t>
  </si>
  <si>
    <t>BK07</t>
  </si>
  <si>
    <t>BK08</t>
  </si>
  <si>
    <t xml:space="preserve"> 01-DEC-22</t>
  </si>
  <si>
    <t>COAU7242516950</t>
  </si>
  <si>
    <t>COAU7243285242</t>
  </si>
  <si>
    <t>COAU7243414046</t>
  </si>
  <si>
    <t>ONEYMAAD05343400</t>
  </si>
  <si>
    <t>SSLMDHPHCAA0066</t>
  </si>
  <si>
    <t>SSLMDHPHCAA0067</t>
  </si>
  <si>
    <t>COAU7243995790</t>
  </si>
  <si>
    <t>2309003MK</t>
  </si>
  <si>
    <t>2309019MK</t>
  </si>
  <si>
    <t>2309019MK289</t>
  </si>
  <si>
    <t>2309114QK</t>
  </si>
  <si>
    <t>2310021QK</t>
  </si>
  <si>
    <t>2311012QK</t>
  </si>
  <si>
    <t>GPLMAAHPH2302292</t>
  </si>
  <si>
    <t>GPLKATHPH2302299</t>
  </si>
  <si>
    <t>GPLKATHPH2302300</t>
  </si>
  <si>
    <t>2311022MK</t>
  </si>
  <si>
    <t>2311156MK</t>
  </si>
  <si>
    <t>GPLMAAHPH2302761</t>
  </si>
  <si>
    <t>GPLMAAHPH2302987</t>
  </si>
  <si>
    <t>A37E000020</t>
  </si>
  <si>
    <t>GPLMAAHPH2303577</t>
  </si>
  <si>
    <t>A-A STONE INVESTMENT</t>
  </si>
  <si>
    <t>VK</t>
  </si>
  <si>
    <t>BK030</t>
  </si>
  <si>
    <t>BK031</t>
  </si>
  <si>
    <t>Invoice No</t>
  </si>
  <si>
    <t>Trading Company Name</t>
  </si>
  <si>
    <t>B L No.</t>
  </si>
  <si>
    <t>CHA</t>
  </si>
  <si>
    <t>RJSL</t>
  </si>
  <si>
    <t>Glottis</t>
  </si>
  <si>
    <t>Bilss Global</t>
  </si>
  <si>
    <t xml:space="preserve">Perfect </t>
  </si>
  <si>
    <t>True Line</t>
  </si>
  <si>
    <t>le Huan</t>
  </si>
  <si>
    <t>Absolute Black Mix</t>
  </si>
  <si>
    <t>Winstone</t>
  </si>
  <si>
    <t>Gold/fish/forest</t>
  </si>
  <si>
    <t>Proforma Invoice</t>
  </si>
  <si>
    <t>Measurment Sheet</t>
  </si>
  <si>
    <t>Purchase oder</t>
  </si>
  <si>
    <t>Commercial invoice</t>
  </si>
  <si>
    <t>Shipping Bill</t>
  </si>
  <si>
    <t>Bill Leading</t>
  </si>
  <si>
    <t>AIFTA</t>
  </si>
  <si>
    <t xml:space="preserve">Bank Receipt </t>
  </si>
  <si>
    <t>BRC</t>
  </si>
  <si>
    <t>Documents</t>
  </si>
  <si>
    <t>Insurannce</t>
  </si>
  <si>
    <t>Logistic Invoice</t>
  </si>
  <si>
    <t>Purchase Invoice</t>
  </si>
  <si>
    <t>Received</t>
  </si>
  <si>
    <t>MIK INVESTMENT TRADING JOINT STOCK COMPANY</t>
  </si>
  <si>
    <t>Chinh Nguyen</t>
  </si>
  <si>
    <t xml:space="preserve">Absolute Black </t>
  </si>
  <si>
    <t>invoice Value</t>
  </si>
  <si>
    <t>GPLMAAHPH2302808</t>
  </si>
  <si>
    <t>Packing List</t>
  </si>
  <si>
    <t>SSLMDHPHCAA0096</t>
  </si>
  <si>
    <t>LEOJAIHPH23OO63</t>
  </si>
  <si>
    <t>GPLMAADAD2304014</t>
  </si>
  <si>
    <t>GPLMAAHPH2304102</t>
  </si>
  <si>
    <t>GPLMAAHPH2304209</t>
  </si>
  <si>
    <t>GPLMAAHPH2400043</t>
  </si>
  <si>
    <t xml:space="preserve">Absolute Black Short </t>
  </si>
  <si>
    <t>Actual Price</t>
  </si>
  <si>
    <t>Total Amount</t>
  </si>
  <si>
    <t xml:space="preserve">Absolute Black Long </t>
  </si>
  <si>
    <t>invoice Value Short</t>
  </si>
  <si>
    <t>In Indian Account</t>
  </si>
  <si>
    <t>In VND Account</t>
  </si>
  <si>
    <t>In VND -Account</t>
  </si>
  <si>
    <t>in IND -Account</t>
  </si>
  <si>
    <t>26.03.2024</t>
  </si>
  <si>
    <t>15.04.2024</t>
  </si>
  <si>
    <t>INMAA1</t>
  </si>
  <si>
    <t>18.03.2024</t>
  </si>
  <si>
    <t>05.04.2024</t>
  </si>
  <si>
    <t>13.03.2024</t>
  </si>
  <si>
    <t>02.04.2024</t>
  </si>
  <si>
    <t>INMUN1</t>
  </si>
  <si>
    <t>26.12.2023</t>
  </si>
  <si>
    <t>08.01.2024</t>
  </si>
  <si>
    <t>20.10.2023</t>
  </si>
  <si>
    <t>03.11.2023</t>
  </si>
  <si>
    <t>21.08.2023</t>
  </si>
  <si>
    <t>04.09.2023</t>
  </si>
  <si>
    <t>26.04.2023</t>
  </si>
  <si>
    <t>94447/2023</t>
  </si>
  <si>
    <t>08.05.2023</t>
  </si>
  <si>
    <t>28.04.2023</t>
  </si>
  <si>
    <t>10.03.2023</t>
  </si>
  <si>
    <t>93564/2023</t>
  </si>
  <si>
    <t>28.02.2023</t>
  </si>
  <si>
    <t>90500/2023</t>
  </si>
  <si>
    <t>20.03.2023</t>
  </si>
  <si>
    <t xml:space="preserve">Done </t>
  </si>
  <si>
    <t>RodTap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</si>
</sst>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₹&quot;\ #,##0.00;[Red]&quot;₹&quot;\ \-#,##0.00"/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ourier New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ourier New"/>
      <family val="3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/>
    </xf>
    <xf numFmtId="164" fontId="1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2" borderId="0" xfId="0" applyFill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1" fillId="0" borderId="0" xfId="0" applyFont="1"/>
    <xf numFmtId="0" fontId="1" fillId="0" borderId="7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1" fillId="0" borderId="1" xfId="0" applyNumberFormat="1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left" vertical="top" wrapText="1"/>
    </xf>
    <xf numFmtId="2" fontId="0" fillId="0" borderId="1" xfId="0" applyNumberFormat="1" applyBorder="1"/>
    <xf numFmtId="2" fontId="0" fillId="4" borderId="1" xfId="0" applyNumberFormat="1" applyFill="1" applyBorder="1"/>
    <xf numFmtId="164" fontId="4" fillId="0" borderId="0" xfId="0" applyNumberFormat="1" applyFont="1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top" wrapText="1"/>
    </xf>
    <xf numFmtId="164" fontId="0" fillId="0" borderId="0" xfId="0" applyNumberFormat="1"/>
    <xf numFmtId="164" fontId="0" fillId="0" borderId="1" xfId="0" applyNumberFormat="1" applyBorder="1" applyAlignment="1">
      <alignment horizontal="left" vertical="top" wrapText="1"/>
    </xf>
    <xf numFmtId="0" fontId="1" fillId="7" borderId="0" xfId="0" applyFont="1" applyFill="1"/>
    <xf numFmtId="15" fontId="1" fillId="0" borderId="1" xfId="0" applyNumberFormat="1" applyFont="1" applyBorder="1" applyAlignment="1">
      <alignment horizontal="left" vertical="top" wrapText="1"/>
    </xf>
    <xf numFmtId="0" fontId="1" fillId="9" borderId="1" xfId="0" applyFont="1" applyFill="1" applyBorder="1"/>
    <xf numFmtId="0" fontId="0" fillId="10" borderId="1" xfId="0" applyFill="1" applyBorder="1"/>
    <xf numFmtId="0" fontId="5" fillId="5" borderId="1" xfId="0" applyFont="1" applyFill="1" applyBorder="1"/>
    <xf numFmtId="0" fontId="0" fillId="0" borderId="0" xfId="0" applyAlignment="1">
      <alignment horizontal="left" vertical="top" wrapText="1"/>
    </xf>
    <xf numFmtId="0" fontId="1" fillId="7" borderId="1" xfId="0" applyFont="1" applyFill="1" applyBorder="1"/>
    <xf numFmtId="0" fontId="1" fillId="7" borderId="13" xfId="0" applyFont="1" applyFill="1" applyBorder="1"/>
    <xf numFmtId="0" fontId="1" fillId="8" borderId="14" xfId="0" applyFont="1" applyFill="1" applyBorder="1"/>
    <xf numFmtId="0" fontId="0" fillId="11" borderId="0" xfId="0" applyFill="1"/>
    <xf numFmtId="0" fontId="1" fillId="11" borderId="0" xfId="0" applyFont="1" applyFill="1"/>
    <xf numFmtId="0" fontId="6" fillId="6" borderId="11" xfId="0" applyFont="1" applyFill="1" applyBorder="1"/>
    <xf numFmtId="0" fontId="6" fillId="6" borderId="12" xfId="0" applyFont="1" applyFill="1" applyBorder="1"/>
    <xf numFmtId="0" fontId="0" fillId="12" borderId="1" xfId="0" applyFill="1" applyBorder="1"/>
    <xf numFmtId="0" fontId="0" fillId="12" borderId="18" xfId="0" applyFill="1" applyBorder="1"/>
    <xf numFmtId="0" fontId="1" fillId="10" borderId="21" xfId="0" applyFont="1" applyFill="1" applyBorder="1"/>
    <xf numFmtId="0" fontId="1" fillId="10" borderId="12" xfId="0" applyFont="1" applyFill="1" applyBorder="1"/>
    <xf numFmtId="0" fontId="1" fillId="5" borderId="1" xfId="0" applyFont="1" applyFill="1" applyBorder="1"/>
    <xf numFmtId="8" fontId="0" fillId="0" borderId="0" xfId="0" applyNumberFormat="1"/>
    <xf numFmtId="0" fontId="1" fillId="3" borderId="18" xfId="0" applyFont="1" applyFill="1" applyBorder="1" applyAlignment="1">
      <alignment horizontal="left" vertical="top"/>
    </xf>
    <xf numFmtId="164" fontId="1" fillId="3" borderId="18" xfId="0" applyNumberFormat="1" applyFont="1" applyFill="1" applyBorder="1" applyAlignment="1">
      <alignment horizontal="left" vertical="top"/>
    </xf>
    <xf numFmtId="0" fontId="1" fillId="3" borderId="18" xfId="0" applyFont="1" applyFill="1" applyBorder="1" applyAlignment="1">
      <alignment horizontal="left" vertical="top" wrapText="1"/>
    </xf>
    <xf numFmtId="164" fontId="7" fillId="13" borderId="1" xfId="0" applyNumberFormat="1" applyFont="1" applyFill="1" applyBorder="1"/>
    <xf numFmtId="0" fontId="0" fillId="13" borderId="1" xfId="0" applyFill="1" applyBorder="1"/>
    <xf numFmtId="15" fontId="0" fillId="13" borderId="1" xfId="0" applyNumberFormat="1" applyFill="1" applyBorder="1"/>
    <xf numFmtId="14" fontId="0" fillId="11" borderId="1" xfId="0" applyNumberFormat="1" applyFill="1" applyBorder="1"/>
    <xf numFmtId="0" fontId="0" fillId="11" borderId="1" xfId="0" applyFill="1" applyBorder="1"/>
    <xf numFmtId="14" fontId="0" fillId="13" borderId="1" xfId="0" applyNumberFormat="1" applyFill="1" applyBorder="1"/>
    <xf numFmtId="0" fontId="0" fillId="13" borderId="1" xfId="0" applyFill="1" applyBorder="1" applyAlignment="1">
      <alignment horizontal="left"/>
    </xf>
    <xf numFmtId="1" fontId="0" fillId="13" borderId="1" xfId="0" applyNumberFormat="1" applyFill="1" applyBorder="1" applyAlignment="1">
      <alignment horizontal="left" vertical="top"/>
    </xf>
    <xf numFmtId="1" fontId="0" fillId="13" borderId="1" xfId="0" applyNumberFormat="1" applyFill="1" applyBorder="1" applyAlignment="1">
      <alignment horizontal="left"/>
    </xf>
    <xf numFmtId="0" fontId="6" fillId="13" borderId="1" xfId="0" applyFont="1" applyFill="1" applyBorder="1"/>
    <xf numFmtId="0" fontId="0" fillId="14" borderId="1" xfId="0" applyFill="1" applyBorder="1"/>
    <xf numFmtId="0" fontId="1" fillId="3" borderId="18" xfId="0" applyFont="1" applyFill="1" applyBorder="1" applyAlignment="1">
      <alignment vertical="top" wrapText="1"/>
    </xf>
    <xf numFmtId="1" fontId="0" fillId="13" borderId="1" xfId="0" applyNumberFormat="1" applyFill="1" applyBorder="1" applyAlignment="1">
      <alignment vertical="top"/>
    </xf>
    <xf numFmtId="1" fontId="0" fillId="13" borderId="1" xfId="0" applyNumberFormat="1" applyFill="1" applyBorder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10" borderId="22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checked="Checked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checked="Checked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checked="Checked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checked="Checked" lockText="1" noThreeD="1"/>
</file>

<file path=xl/ctrlProps/ctrlProp135.xml><?xml version="1.0" encoding="utf-8"?>
<formControlPr xmlns="http://schemas.microsoft.com/office/spreadsheetml/2009/9/main" objectType="CheckBox" checked="Checked" lockText="1" noThreeD="1"/>
</file>

<file path=xl/ctrlProps/ctrlProp136.xml><?xml version="1.0" encoding="utf-8"?>
<formControlPr xmlns="http://schemas.microsoft.com/office/spreadsheetml/2009/9/main" objectType="CheckBox" checked="Checked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checked="Checked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checked="Checked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checked="Checked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checked="Checked" lockText="1" noThreeD="1"/>
</file>

<file path=xl/ctrlProps/ctrlProp150.xml><?xml version="1.0" encoding="utf-8"?>
<formControlPr xmlns="http://schemas.microsoft.com/office/spreadsheetml/2009/9/main" objectType="CheckBox" checked="Checked" lockText="1" noThreeD="1"/>
</file>

<file path=xl/ctrlProps/ctrlProp151.xml><?xml version="1.0" encoding="utf-8"?>
<formControlPr xmlns="http://schemas.microsoft.com/office/spreadsheetml/2009/9/main" objectType="CheckBox" checked="Checked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checked="Checked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checked="Checked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checked="Checked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checked="Checked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checked="Checked" lockText="1" noThreeD="1"/>
</file>

<file path=xl/ctrlProps/ctrlProp165.xml><?xml version="1.0" encoding="utf-8"?>
<formControlPr xmlns="http://schemas.microsoft.com/office/spreadsheetml/2009/9/main" objectType="CheckBox" checked="Checked" lockText="1" noThreeD="1"/>
</file>

<file path=xl/ctrlProps/ctrlProp166.xml><?xml version="1.0" encoding="utf-8"?>
<formControlPr xmlns="http://schemas.microsoft.com/office/spreadsheetml/2009/9/main" objectType="CheckBox" checked="Checked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checked="Checked" lockText="1" noThreeD="1"/>
</file>

<file path=xl/ctrlProps/ctrlProp169.xml><?xml version="1.0" encoding="utf-8"?>
<formControlPr xmlns="http://schemas.microsoft.com/office/spreadsheetml/2009/9/main" objectType="CheckBox" checked="Checked" lockText="1" noThreeD="1"/>
</file>

<file path=xl/ctrlProps/ctrlProp170.xml><?xml version="1.0" encoding="utf-8"?>
<formControlPr xmlns="http://schemas.microsoft.com/office/spreadsheetml/2009/9/main" objectType="CheckBox" checked="Checked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checked="Checked" lockText="1" noThreeD="1"/>
</file>

<file path=xl/ctrlProps/ctrlProp173.xml><?xml version="1.0" encoding="utf-8"?>
<formControlPr xmlns="http://schemas.microsoft.com/office/spreadsheetml/2009/9/main" objectType="CheckBox" checked="Checked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checked="Checked" lockText="1" noThreeD="1"/>
</file>

<file path=xl/ctrlProps/ctrlProp176.xml><?xml version="1.0" encoding="utf-8"?>
<formControlPr xmlns="http://schemas.microsoft.com/office/spreadsheetml/2009/9/main" objectType="CheckBox" checked="Checked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checked="Checked" lockText="1" noThreeD="1"/>
</file>

<file path=xl/ctrlProps/ctrlProp180.xml><?xml version="1.0" encoding="utf-8"?>
<formControlPr xmlns="http://schemas.microsoft.com/office/spreadsheetml/2009/9/main" objectType="CheckBox" checked="Checked" lockText="1" noThreeD="1"/>
</file>

<file path=xl/ctrlProps/ctrlProp181.xml><?xml version="1.0" encoding="utf-8"?>
<formControlPr xmlns="http://schemas.microsoft.com/office/spreadsheetml/2009/9/main" objectType="CheckBox" checked="Checked" lockText="1" noThreeD="1"/>
</file>

<file path=xl/ctrlProps/ctrlProp182.xml><?xml version="1.0" encoding="utf-8"?>
<formControlPr xmlns="http://schemas.microsoft.com/office/spreadsheetml/2009/9/main" objectType="CheckBox" checked="Checked" lockText="1" noThreeD="1"/>
</file>

<file path=xl/ctrlProps/ctrlProp183.xml><?xml version="1.0" encoding="utf-8"?>
<formControlPr xmlns="http://schemas.microsoft.com/office/spreadsheetml/2009/9/main" objectType="CheckBox" checked="Checked" lockText="1" noThreeD="1"/>
</file>

<file path=xl/ctrlProps/ctrlProp184.xml><?xml version="1.0" encoding="utf-8"?>
<formControlPr xmlns="http://schemas.microsoft.com/office/spreadsheetml/2009/9/main" objectType="CheckBox" checked="Checked" lockText="1" noThreeD="1"/>
</file>

<file path=xl/ctrlProps/ctrlProp185.xml><?xml version="1.0" encoding="utf-8"?>
<formControlPr xmlns="http://schemas.microsoft.com/office/spreadsheetml/2009/9/main" objectType="CheckBox" checked="Checked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checked="Checked" lockText="1" noThreeD="1"/>
</file>

<file path=xl/ctrlProps/ctrlProp188.xml><?xml version="1.0" encoding="utf-8"?>
<formControlPr xmlns="http://schemas.microsoft.com/office/spreadsheetml/2009/9/main" objectType="CheckBox" checked="Checked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checked="Checked" lockText="1" noThreeD="1"/>
</file>

<file path=xl/ctrlProps/ctrlProp191.xml><?xml version="1.0" encoding="utf-8"?>
<formControlPr xmlns="http://schemas.microsoft.com/office/spreadsheetml/2009/9/main" objectType="CheckBox" checked="Checked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checked="Checked" lockText="1" noThreeD="1"/>
</file>

<file path=xl/ctrlProps/ctrlProp195.xml><?xml version="1.0" encoding="utf-8"?>
<formControlPr xmlns="http://schemas.microsoft.com/office/spreadsheetml/2009/9/main" objectType="CheckBox" checked="Checked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checked="Checked" lockText="1" noThreeD="1"/>
</file>

<file path=xl/ctrlProps/ctrlProp199.xml><?xml version="1.0" encoding="utf-8"?>
<formControlPr xmlns="http://schemas.microsoft.com/office/spreadsheetml/2009/9/main" objectType="CheckBox" checked="Checked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checked="Checked" lockText="1" noThreeD="1"/>
</file>

<file path=xl/ctrlProps/ctrlProp202.xml><?xml version="1.0" encoding="utf-8"?>
<formControlPr xmlns="http://schemas.microsoft.com/office/spreadsheetml/2009/9/main" objectType="CheckBox" checked="Checked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checked="Checked" lockText="1" noThreeD="1"/>
</file>

<file path=xl/ctrlProps/ctrlProp205.xml><?xml version="1.0" encoding="utf-8"?>
<formControlPr xmlns="http://schemas.microsoft.com/office/spreadsheetml/2009/9/main" objectType="CheckBox" checked="Checked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checked="Checked" lockText="1" noThreeD="1"/>
</file>

<file path=xl/ctrlProps/ctrlProp208.xml><?xml version="1.0" encoding="utf-8"?>
<formControlPr xmlns="http://schemas.microsoft.com/office/spreadsheetml/2009/9/main" objectType="CheckBox" checked="Checked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checked="Checked" lockText="1" noThreeD="1"/>
</file>

<file path=xl/ctrlProps/ctrlProp211.xml><?xml version="1.0" encoding="utf-8"?>
<formControlPr xmlns="http://schemas.microsoft.com/office/spreadsheetml/2009/9/main" objectType="CheckBox" checked="Checked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checked="Checked" lockText="1" noThreeD="1"/>
</file>

<file path=xl/ctrlProps/ctrlProp214.xml><?xml version="1.0" encoding="utf-8"?>
<formControlPr xmlns="http://schemas.microsoft.com/office/spreadsheetml/2009/9/main" objectType="CheckBox" checked="Checked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checked="Checked" lockText="1" noThreeD="1"/>
</file>

<file path=xl/ctrlProps/ctrlProp217.xml><?xml version="1.0" encoding="utf-8"?>
<formControlPr xmlns="http://schemas.microsoft.com/office/spreadsheetml/2009/9/main" objectType="CheckBox" checked="Checked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checked="Checked" lockText="1" noThreeD="1"/>
</file>

<file path=xl/ctrlProps/ctrlProp220.xml><?xml version="1.0" encoding="utf-8"?>
<formControlPr xmlns="http://schemas.microsoft.com/office/spreadsheetml/2009/9/main" objectType="CheckBox" checked="Checked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checked="Checked" lockText="1" noThreeD="1"/>
</file>

<file path=xl/ctrlProps/ctrlProp226.xml><?xml version="1.0" encoding="utf-8"?>
<formControlPr xmlns="http://schemas.microsoft.com/office/spreadsheetml/2009/9/main" objectType="CheckBox" checked="Checked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checked="Checked" lockText="1" noThreeD="1"/>
</file>

<file path=xl/ctrlProps/ctrlProp229.xml><?xml version="1.0" encoding="utf-8"?>
<formControlPr xmlns="http://schemas.microsoft.com/office/spreadsheetml/2009/9/main" objectType="CheckBox" checked="Checked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checked="Checked" lockText="1" noThreeD="1"/>
</file>

<file path=xl/ctrlProps/ctrlProp232.xml><?xml version="1.0" encoding="utf-8"?>
<formControlPr xmlns="http://schemas.microsoft.com/office/spreadsheetml/2009/9/main" objectType="CheckBox" checked="Checked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checked="Checked" lockText="1" noThreeD="1"/>
</file>

<file path=xl/ctrlProps/ctrlProp235.xml><?xml version="1.0" encoding="utf-8"?>
<formControlPr xmlns="http://schemas.microsoft.com/office/spreadsheetml/2009/9/main" objectType="CheckBox" checked="Checked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checked="Checked" lockText="1" noThreeD="1"/>
</file>

<file path=xl/ctrlProps/ctrlProp238.xml><?xml version="1.0" encoding="utf-8"?>
<formControlPr xmlns="http://schemas.microsoft.com/office/spreadsheetml/2009/9/main" objectType="CheckBox" checked="Checked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checked="Checked" lockText="1" noThreeD="1"/>
</file>

<file path=xl/ctrlProps/ctrlProp241.xml><?xml version="1.0" encoding="utf-8"?>
<formControlPr xmlns="http://schemas.microsoft.com/office/spreadsheetml/2009/9/main" objectType="CheckBox" checked="Checked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checked="Checked" lockText="1" noThreeD="1"/>
</file>

<file path=xl/ctrlProps/ctrlProp244.xml><?xml version="1.0" encoding="utf-8"?>
<formControlPr xmlns="http://schemas.microsoft.com/office/spreadsheetml/2009/9/main" objectType="CheckBox" checked="Checked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checked="Checked" lockText="1" noThreeD="1"/>
</file>

<file path=xl/ctrlProps/ctrlProp247.xml><?xml version="1.0" encoding="utf-8"?>
<formControlPr xmlns="http://schemas.microsoft.com/office/spreadsheetml/2009/9/main" objectType="CheckBox" checked="Checked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checked="Checked" lockText="1" noThreeD="1"/>
</file>

<file path=xl/ctrlProps/ctrlProp250.xml><?xml version="1.0" encoding="utf-8"?>
<formControlPr xmlns="http://schemas.microsoft.com/office/spreadsheetml/2009/9/main" objectType="CheckBox" checked="Checked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checked="Checked" lockText="1" noThreeD="1"/>
</file>

<file path=xl/ctrlProps/ctrlProp253.xml><?xml version="1.0" encoding="utf-8"?>
<formControlPr xmlns="http://schemas.microsoft.com/office/spreadsheetml/2009/9/main" objectType="CheckBox" checked="Checked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checked="Checked" lockText="1" noThreeD="1"/>
</file>

<file path=xl/ctrlProps/ctrlProp256.xml><?xml version="1.0" encoding="utf-8"?>
<formControlPr xmlns="http://schemas.microsoft.com/office/spreadsheetml/2009/9/main" objectType="CheckBox" checked="Checked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checked="Checked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checked="Checked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lockText="1" noThreeD="1"/>
</file>

<file path=xl/ctrlProps/ctrlProp265.xml><?xml version="1.0" encoding="utf-8"?>
<formControlPr xmlns="http://schemas.microsoft.com/office/spreadsheetml/2009/9/main" objectType="CheckBox" checked="Checked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checked="Checked" lockText="1" noThreeD="1"/>
</file>

<file path=xl/ctrlProps/ctrlProp268.xml><?xml version="1.0" encoding="utf-8"?>
<formControlPr xmlns="http://schemas.microsoft.com/office/spreadsheetml/2009/9/main" objectType="CheckBox" checked="Checked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checked="Checked" lockText="1" noThreeD="1"/>
</file>

<file path=xl/ctrlProps/ctrlProp271.xml><?xml version="1.0" encoding="utf-8"?>
<formControlPr xmlns="http://schemas.microsoft.com/office/spreadsheetml/2009/9/main" objectType="CheckBox" checked="Checked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checked="Checked" lockText="1" noThreeD="1"/>
</file>

<file path=xl/ctrlProps/ctrlProp274.xml><?xml version="1.0" encoding="utf-8"?>
<formControlPr xmlns="http://schemas.microsoft.com/office/spreadsheetml/2009/9/main" objectType="CheckBox" checked="Checked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checked="Checked" lockText="1" noThreeD="1"/>
</file>

<file path=xl/ctrlProps/ctrlProp277.xml><?xml version="1.0" encoding="utf-8"?>
<formControlPr xmlns="http://schemas.microsoft.com/office/spreadsheetml/2009/9/main" objectType="CheckBox" checked="Checked" lockText="1" noThreeD="1"/>
</file>

<file path=xl/ctrlProps/ctrlProp278.xml><?xml version="1.0" encoding="utf-8"?>
<formControlPr xmlns="http://schemas.microsoft.com/office/spreadsheetml/2009/9/main" objectType="CheckBox" checked="Checked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checked="Checked" lockText="1" noThreeD="1"/>
</file>

<file path=xl/ctrlProps/ctrlProp281.xml><?xml version="1.0" encoding="utf-8"?>
<formControlPr xmlns="http://schemas.microsoft.com/office/spreadsheetml/2009/9/main" objectType="CheckBox" checked="Checked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checked="Checked" lockText="1" noThreeD="1"/>
</file>

<file path=xl/ctrlProps/ctrlProp284.xml><?xml version="1.0" encoding="utf-8"?>
<formControlPr xmlns="http://schemas.microsoft.com/office/spreadsheetml/2009/9/main" objectType="CheckBox" checked="Checked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checked="Checked" lockText="1" noThreeD="1"/>
</file>

<file path=xl/ctrlProps/ctrlProp288.xml><?xml version="1.0" encoding="utf-8"?>
<formControlPr xmlns="http://schemas.microsoft.com/office/spreadsheetml/2009/9/main" objectType="CheckBox" checked="Checked" lockText="1" noThreeD="1"/>
</file>

<file path=xl/ctrlProps/ctrlProp289.xml><?xml version="1.0" encoding="utf-8"?>
<formControlPr xmlns="http://schemas.microsoft.com/office/spreadsheetml/2009/9/main" objectType="CheckBox" checked="Checked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checked="Checked" lockText="1" noThreeD="1"/>
</file>

<file path=xl/ctrlProps/ctrlProp292.xml><?xml version="1.0" encoding="utf-8"?>
<formControlPr xmlns="http://schemas.microsoft.com/office/spreadsheetml/2009/9/main" objectType="CheckBox" checked="Checked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checked="Checked" lockText="1" noThreeD="1"/>
</file>

<file path=xl/ctrlProps/ctrlProp295.xml><?xml version="1.0" encoding="utf-8"?>
<formControlPr xmlns="http://schemas.microsoft.com/office/spreadsheetml/2009/9/main" objectType="CheckBox" checked="Checked" lockText="1" noThreeD="1"/>
</file>

<file path=xl/ctrlProps/ctrlProp296.xml><?xml version="1.0" encoding="utf-8"?>
<formControlPr xmlns="http://schemas.microsoft.com/office/spreadsheetml/2009/9/main" objectType="CheckBox" checked="Checked" lockText="1" noThreeD="1"/>
</file>

<file path=xl/ctrlProps/ctrlProp297.xml><?xml version="1.0" encoding="utf-8"?>
<formControlPr xmlns="http://schemas.microsoft.com/office/spreadsheetml/2009/9/main" objectType="CheckBox" checked="Checked" lockText="1" noThreeD="1"/>
</file>

<file path=xl/ctrlProps/ctrlProp298.xml><?xml version="1.0" encoding="utf-8"?>
<formControlPr xmlns="http://schemas.microsoft.com/office/spreadsheetml/2009/9/main" objectType="CheckBox" checked="Checked" lockText="1" noThreeD="1"/>
</file>

<file path=xl/ctrlProps/ctrlProp299.xml><?xml version="1.0" encoding="utf-8"?>
<formControlPr xmlns="http://schemas.microsoft.com/office/spreadsheetml/2009/9/main" objectType="CheckBox" checked="Checked" lockText="1" noThreeD="1"/>
</file>

<file path=xl/ctrlProps/ctrlProp300.xml><?xml version="1.0" encoding="utf-8"?>
<formControlPr xmlns="http://schemas.microsoft.com/office/spreadsheetml/2009/9/main" objectType="CheckBox" checked="Checked" lockText="1" noThreeD="1"/>
</file>

<file path=xl/ctrlProps/ctrlProp301.xml><?xml version="1.0" encoding="utf-8"?>
<formControlPr xmlns="http://schemas.microsoft.com/office/spreadsheetml/2009/9/main" objectType="CheckBox" checked="Checked" lockText="1" noThreeD="1"/>
</file>

<file path=xl/ctrlProps/ctrlProp302.xml><?xml version="1.0" encoding="utf-8"?>
<formControlPr xmlns="http://schemas.microsoft.com/office/spreadsheetml/2009/9/main" objectType="CheckBox" checked="Checked" lockText="1" noThreeD="1"/>
</file>

<file path=xl/ctrlProps/ctrlProp303.xml><?xml version="1.0" encoding="utf-8"?>
<formControlPr xmlns="http://schemas.microsoft.com/office/spreadsheetml/2009/9/main" objectType="CheckBox" checked="Checked" lockText="1" noThreeD="1"/>
</file>

<file path=xl/ctrlProps/ctrlProp304.xml><?xml version="1.0" encoding="utf-8"?>
<formControlPr xmlns="http://schemas.microsoft.com/office/spreadsheetml/2009/9/main" objectType="CheckBox" checked="Checked" lockText="1" noThreeD="1"/>
</file>

<file path=xl/ctrlProps/ctrlProp305.xml><?xml version="1.0" encoding="utf-8"?>
<formControlPr xmlns="http://schemas.microsoft.com/office/spreadsheetml/2009/9/main" objectType="CheckBox" checked="Checked" lockText="1" noThreeD="1"/>
</file>

<file path=xl/ctrlProps/ctrlProp306.xml><?xml version="1.0" encoding="utf-8"?>
<formControlPr xmlns="http://schemas.microsoft.com/office/spreadsheetml/2009/9/main" objectType="CheckBox" checked="Checked" lockText="1" noThreeD="1"/>
</file>

<file path=xl/ctrlProps/ctrlProp307.xml><?xml version="1.0" encoding="utf-8"?>
<formControlPr xmlns="http://schemas.microsoft.com/office/spreadsheetml/2009/9/main" objectType="CheckBox" checked="Checked" lockText="1" noThreeD="1"/>
</file>

<file path=xl/ctrlProps/ctrlProp308.xml><?xml version="1.0" encoding="utf-8"?>
<formControlPr xmlns="http://schemas.microsoft.com/office/spreadsheetml/2009/9/main" objectType="CheckBox" checked="Checked" lockText="1" noThreeD="1"/>
</file>

<file path=xl/ctrlProps/ctrlProp309.xml><?xml version="1.0" encoding="utf-8"?>
<formControlPr xmlns="http://schemas.microsoft.com/office/spreadsheetml/2009/9/main" objectType="CheckBox" checked="Checked" lockText="1" noThreeD="1"/>
</file>

<file path=xl/ctrlProps/ctrlProp310.xml><?xml version="1.0" encoding="utf-8"?>
<formControlPr xmlns="http://schemas.microsoft.com/office/spreadsheetml/2009/9/main" objectType="CheckBox" checked="Checked" lockText="1" noThreeD="1"/>
</file>

<file path=xl/ctrlProps/ctrlProp311.xml><?xml version="1.0" encoding="utf-8"?>
<formControlPr xmlns="http://schemas.microsoft.com/office/spreadsheetml/2009/9/main" objectType="CheckBox" checked="Checked" lockText="1" noThreeD="1"/>
</file>

<file path=xl/ctrlProps/ctrlProp312.xml><?xml version="1.0" encoding="utf-8"?>
<formControlPr xmlns="http://schemas.microsoft.com/office/spreadsheetml/2009/9/main" objectType="CheckBox" checked="Checked" lockText="1" noThreeD="1"/>
</file>

<file path=xl/ctrlProps/ctrlProp313.xml><?xml version="1.0" encoding="utf-8"?>
<formControlPr xmlns="http://schemas.microsoft.com/office/spreadsheetml/2009/9/main" objectType="CheckBox" checked="Checked" lockText="1" noThreeD="1"/>
</file>

<file path=xl/ctrlProps/ctrlProp314.xml><?xml version="1.0" encoding="utf-8"?>
<formControlPr xmlns="http://schemas.microsoft.com/office/spreadsheetml/2009/9/main" objectType="CheckBox" checked="Checked" lockText="1" noThreeD="1"/>
</file>

<file path=xl/ctrlProps/ctrlProp315.xml><?xml version="1.0" encoding="utf-8"?>
<formControlPr xmlns="http://schemas.microsoft.com/office/spreadsheetml/2009/9/main" objectType="CheckBox" checked="Checked" lockText="1" noThreeD="1"/>
</file>

<file path=xl/ctrlProps/ctrlProp316.xml><?xml version="1.0" encoding="utf-8"?>
<formControlPr xmlns="http://schemas.microsoft.com/office/spreadsheetml/2009/9/main" objectType="CheckBox" checked="Checked" lockText="1" noThreeD="1"/>
</file>

<file path=xl/ctrlProps/ctrlProp317.xml><?xml version="1.0" encoding="utf-8"?>
<formControlPr xmlns="http://schemas.microsoft.com/office/spreadsheetml/2009/9/main" objectType="CheckBox" checked="Checked" lockText="1" noThreeD="1"/>
</file>

<file path=xl/ctrlProps/ctrlProp318.xml><?xml version="1.0" encoding="utf-8"?>
<formControlPr xmlns="http://schemas.microsoft.com/office/spreadsheetml/2009/9/main" objectType="CheckBox" checked="Checked" lockText="1" noThreeD="1"/>
</file>

<file path=xl/ctrlProps/ctrlProp319.xml><?xml version="1.0" encoding="utf-8"?>
<formControlPr xmlns="http://schemas.microsoft.com/office/spreadsheetml/2009/9/main" objectType="CheckBox" checked="Checked" lockText="1" noThreeD="1"/>
</file>

<file path=xl/ctrlProps/ctrlProp320.xml><?xml version="1.0" encoding="utf-8"?>
<formControlPr xmlns="http://schemas.microsoft.com/office/spreadsheetml/2009/9/main" objectType="CheckBox" checked="Checked" lockText="1" noThreeD="1"/>
</file>

<file path=xl/ctrlProps/ctrlProp321.xml><?xml version="1.0" encoding="utf-8"?>
<formControlPr xmlns="http://schemas.microsoft.com/office/spreadsheetml/2009/9/main" objectType="CheckBox" checked="Checked" lockText="1" noThreeD="1"/>
</file>

<file path=xl/ctrlProps/ctrlProp322.xml><?xml version="1.0" encoding="utf-8"?>
<formControlPr xmlns="http://schemas.microsoft.com/office/spreadsheetml/2009/9/main" objectType="CheckBox" checked="Checked" lockText="1" noThreeD="1"/>
</file>

<file path=xl/ctrlProps/ctrlProp323.xml><?xml version="1.0" encoding="utf-8"?>
<formControlPr xmlns="http://schemas.microsoft.com/office/spreadsheetml/2009/9/main" objectType="CheckBox" checked="Checked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checked="Checked" lockText="1" noThreeD="1"/>
</file>

<file path=xl/ctrlProps/ctrlProp327.xml><?xml version="1.0" encoding="utf-8"?>
<formControlPr xmlns="http://schemas.microsoft.com/office/spreadsheetml/2009/9/main" objectType="CheckBox" checked="Checked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checked="Checked" lockText="1" noThreeD="1"/>
</file>

<file path=xl/ctrlProps/ctrlProp330.xml><?xml version="1.0" encoding="utf-8"?>
<formControlPr xmlns="http://schemas.microsoft.com/office/spreadsheetml/2009/9/main" objectType="CheckBox" checked="Checked" lockText="1" noThreeD="1"/>
</file>

<file path=xl/ctrlProps/ctrlProp331.xml><?xml version="1.0" encoding="utf-8"?>
<formControlPr xmlns="http://schemas.microsoft.com/office/spreadsheetml/2009/9/main" objectType="CheckBox" checked="Checked" lockText="1" noThreeD="1"/>
</file>

<file path=xl/ctrlProps/ctrlProp332.xml><?xml version="1.0" encoding="utf-8"?>
<formControlPr xmlns="http://schemas.microsoft.com/office/spreadsheetml/2009/9/main" objectType="CheckBox" checked="Checked" lockText="1" noThreeD="1"/>
</file>

<file path=xl/ctrlProps/ctrlProp333.xml><?xml version="1.0" encoding="utf-8"?>
<formControlPr xmlns="http://schemas.microsoft.com/office/spreadsheetml/2009/9/main" objectType="CheckBox" checked="Checked" lockText="1" noThreeD="1"/>
</file>

<file path=xl/ctrlProps/ctrlProp334.xml><?xml version="1.0" encoding="utf-8"?>
<formControlPr xmlns="http://schemas.microsoft.com/office/spreadsheetml/2009/9/main" objectType="CheckBox" checked="Checked" lockText="1" noThreeD="1"/>
</file>

<file path=xl/ctrlProps/ctrlProp335.xml><?xml version="1.0" encoding="utf-8"?>
<formControlPr xmlns="http://schemas.microsoft.com/office/spreadsheetml/2009/9/main" objectType="CheckBox" checked="Checked" lockText="1" noThreeD="1"/>
</file>

<file path=xl/ctrlProps/ctrlProp336.xml><?xml version="1.0" encoding="utf-8"?>
<formControlPr xmlns="http://schemas.microsoft.com/office/spreadsheetml/2009/9/main" objectType="CheckBox" checked="Checked" lockText="1" noThreeD="1"/>
</file>

<file path=xl/ctrlProps/ctrlProp337.xml><?xml version="1.0" encoding="utf-8"?>
<formControlPr xmlns="http://schemas.microsoft.com/office/spreadsheetml/2009/9/main" objectType="CheckBox" checked="Checked" lockText="1" noThreeD="1"/>
</file>

<file path=xl/ctrlProps/ctrlProp338.xml><?xml version="1.0" encoding="utf-8"?>
<formControlPr xmlns="http://schemas.microsoft.com/office/spreadsheetml/2009/9/main" objectType="CheckBox" checked="Checked" lockText="1" noThreeD="1"/>
</file>

<file path=xl/ctrlProps/ctrlProp339.xml><?xml version="1.0" encoding="utf-8"?>
<formControlPr xmlns="http://schemas.microsoft.com/office/spreadsheetml/2009/9/main" objectType="CheckBox" checked="Checked" lockText="1" noThreeD="1"/>
</file>

<file path=xl/ctrlProps/ctrlProp340.xml><?xml version="1.0" encoding="utf-8"?>
<formControlPr xmlns="http://schemas.microsoft.com/office/spreadsheetml/2009/9/main" objectType="CheckBox" checked="Checked" lockText="1" noThreeD="1"/>
</file>

<file path=xl/ctrlProps/ctrlProp341.xml><?xml version="1.0" encoding="utf-8"?>
<formControlPr xmlns="http://schemas.microsoft.com/office/spreadsheetml/2009/9/main" objectType="CheckBox" checked="Checked" lockText="1" noThreeD="1"/>
</file>

<file path=xl/ctrlProps/ctrlProp342.xml><?xml version="1.0" encoding="utf-8"?>
<formControlPr xmlns="http://schemas.microsoft.com/office/spreadsheetml/2009/9/main" objectType="CheckBox" checked="Checked" lockText="1" noThreeD="1"/>
</file>

<file path=xl/ctrlProps/ctrlProp343.xml><?xml version="1.0" encoding="utf-8"?>
<formControlPr xmlns="http://schemas.microsoft.com/office/spreadsheetml/2009/9/main" objectType="CheckBox" checked="Checked" lockText="1" noThreeD="1"/>
</file>

<file path=xl/ctrlProps/ctrlProp344.xml><?xml version="1.0" encoding="utf-8"?>
<formControlPr xmlns="http://schemas.microsoft.com/office/spreadsheetml/2009/9/main" objectType="CheckBox" checked="Checked" lockText="1" noThreeD="1"/>
</file>

<file path=xl/ctrlProps/ctrlProp345.xml><?xml version="1.0" encoding="utf-8"?>
<formControlPr xmlns="http://schemas.microsoft.com/office/spreadsheetml/2009/9/main" objectType="CheckBox" checked="Checked" lockText="1" noThreeD="1"/>
</file>

<file path=xl/ctrlProps/ctrlProp346.xml><?xml version="1.0" encoding="utf-8"?>
<formControlPr xmlns="http://schemas.microsoft.com/office/spreadsheetml/2009/9/main" objectType="CheckBox" checked="Checked" lockText="1" noThreeD="1"/>
</file>

<file path=xl/ctrlProps/ctrlProp347.xml><?xml version="1.0" encoding="utf-8"?>
<formControlPr xmlns="http://schemas.microsoft.com/office/spreadsheetml/2009/9/main" objectType="CheckBox" checked="Checked" lockText="1" noThreeD="1"/>
</file>

<file path=xl/ctrlProps/ctrlProp348.xml><?xml version="1.0" encoding="utf-8"?>
<formControlPr xmlns="http://schemas.microsoft.com/office/spreadsheetml/2009/9/main" objectType="CheckBox" checked="Checked" lockText="1" noThreeD="1"/>
</file>

<file path=xl/ctrlProps/ctrlProp349.xml><?xml version="1.0" encoding="utf-8"?>
<formControlPr xmlns="http://schemas.microsoft.com/office/spreadsheetml/2009/9/main" objectType="CheckBox" checked="Checked" lockText="1" noThreeD="1"/>
</file>

<file path=xl/ctrlProps/ctrlProp350.xml><?xml version="1.0" encoding="utf-8"?>
<formControlPr xmlns="http://schemas.microsoft.com/office/spreadsheetml/2009/9/main" objectType="CheckBox" checked="Checked" lockText="1" noThreeD="1"/>
</file>

<file path=xl/ctrlProps/ctrlProp351.xml><?xml version="1.0" encoding="utf-8"?>
<formControlPr xmlns="http://schemas.microsoft.com/office/spreadsheetml/2009/9/main" objectType="CheckBox" checked="Checked" lockText="1" noThreeD="1"/>
</file>

<file path=xl/ctrlProps/ctrlProp352.xml><?xml version="1.0" encoding="utf-8"?>
<formControlPr xmlns="http://schemas.microsoft.com/office/spreadsheetml/2009/9/main" objectType="CheckBox" checked="Checked" lockText="1" noThreeD="1"/>
</file>

<file path=xl/ctrlProps/ctrlProp353.xml><?xml version="1.0" encoding="utf-8"?>
<formControlPr xmlns="http://schemas.microsoft.com/office/spreadsheetml/2009/9/main" objectType="CheckBox" checked="Checked" lockText="1" noThreeD="1"/>
</file>

<file path=xl/ctrlProps/ctrlProp354.xml><?xml version="1.0" encoding="utf-8"?>
<formControlPr xmlns="http://schemas.microsoft.com/office/spreadsheetml/2009/9/main" objectType="CheckBox" checked="Checked" lockText="1" noThreeD="1"/>
</file>

<file path=xl/ctrlProps/ctrlProp355.xml><?xml version="1.0" encoding="utf-8"?>
<formControlPr xmlns="http://schemas.microsoft.com/office/spreadsheetml/2009/9/main" objectType="CheckBox" checked="Checked" lockText="1" noThreeD="1"/>
</file>

<file path=xl/ctrlProps/ctrlProp356.xml><?xml version="1.0" encoding="utf-8"?>
<formControlPr xmlns="http://schemas.microsoft.com/office/spreadsheetml/2009/9/main" objectType="CheckBox" checked="Checked" lockText="1" noThreeD="1"/>
</file>

<file path=xl/ctrlProps/ctrlProp357.xml><?xml version="1.0" encoding="utf-8"?>
<formControlPr xmlns="http://schemas.microsoft.com/office/spreadsheetml/2009/9/main" objectType="CheckBox" checked="Checked" lockText="1" noThreeD="1"/>
</file>

<file path=xl/ctrlProps/ctrlProp358.xml><?xml version="1.0" encoding="utf-8"?>
<formControlPr xmlns="http://schemas.microsoft.com/office/spreadsheetml/2009/9/main" objectType="CheckBox" checked="Checked" lockText="1" noThreeD="1"/>
</file>

<file path=xl/ctrlProps/ctrlProp359.xml><?xml version="1.0" encoding="utf-8"?>
<formControlPr xmlns="http://schemas.microsoft.com/office/spreadsheetml/2009/9/main" objectType="CheckBox" checked="Checked" lockText="1" noThreeD="1"/>
</file>

<file path=xl/ctrlProps/ctrlProp360.xml><?xml version="1.0" encoding="utf-8"?>
<formControlPr xmlns="http://schemas.microsoft.com/office/spreadsheetml/2009/9/main" objectType="CheckBox" checked="Checked" lockText="1" noThreeD="1"/>
</file>

<file path=xl/ctrlProps/ctrlProp361.xml><?xml version="1.0" encoding="utf-8"?>
<formControlPr xmlns="http://schemas.microsoft.com/office/spreadsheetml/2009/9/main" objectType="CheckBox" checked="Checked" lockText="1" noThreeD="1"/>
</file>

<file path=xl/ctrlProps/ctrlProp362.xml><?xml version="1.0" encoding="utf-8"?>
<formControlPr xmlns="http://schemas.microsoft.com/office/spreadsheetml/2009/9/main" objectType="CheckBox" checked="Checked" lockText="1" noThreeD="1"/>
</file>

<file path=xl/ctrlProps/ctrlProp363.xml><?xml version="1.0" encoding="utf-8"?>
<formControlPr xmlns="http://schemas.microsoft.com/office/spreadsheetml/2009/9/main" objectType="CheckBox" checked="Checked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ctrlProps/ctrlProp366.xml><?xml version="1.0" encoding="utf-8"?>
<formControlPr xmlns="http://schemas.microsoft.com/office/spreadsheetml/2009/9/main" objectType="CheckBox" checked="Checked" lockText="1" noThreeD="1"/>
</file>

<file path=xl/ctrlProps/ctrlProp367.xml><?xml version="1.0" encoding="utf-8"?>
<formControlPr xmlns="http://schemas.microsoft.com/office/spreadsheetml/2009/9/main" objectType="CheckBox" checked="Checked" lockText="1" noThreeD="1"/>
</file>

<file path=xl/ctrlProps/ctrlProp368.xml><?xml version="1.0" encoding="utf-8"?>
<formControlPr xmlns="http://schemas.microsoft.com/office/spreadsheetml/2009/9/main" objectType="CheckBox" lockText="1" noThreeD="1"/>
</file>

<file path=xl/ctrlProps/ctrlProp369.xml><?xml version="1.0" encoding="utf-8"?>
<formControlPr xmlns="http://schemas.microsoft.com/office/spreadsheetml/2009/9/main" objectType="CheckBox" checked="Checked" lockText="1" noThreeD="1"/>
</file>

<file path=xl/ctrlProps/ctrlProp370.xml><?xml version="1.0" encoding="utf-8"?>
<formControlPr xmlns="http://schemas.microsoft.com/office/spreadsheetml/2009/9/main" objectType="CheckBox" checked="Checked" lockText="1" noThreeD="1"/>
</file>

<file path=xl/ctrlProps/ctrlProp371.xml><?xml version="1.0" encoding="utf-8"?>
<formControlPr xmlns="http://schemas.microsoft.com/office/spreadsheetml/2009/9/main" objectType="CheckBox" checked="Checked" lockText="1" noThreeD="1"/>
</file>

<file path=xl/ctrlProps/ctrlProp372.xml><?xml version="1.0" encoding="utf-8"?>
<formControlPr xmlns="http://schemas.microsoft.com/office/spreadsheetml/2009/9/main" objectType="CheckBox" checked="Checked" lockText="1" noThreeD="1"/>
</file>

<file path=xl/ctrlProps/ctrlProp373.xml><?xml version="1.0" encoding="utf-8"?>
<formControlPr xmlns="http://schemas.microsoft.com/office/spreadsheetml/2009/9/main" objectType="CheckBox" checked="Checked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checked="Checked" lockText="1" noThreeD="1"/>
</file>

<file path=xl/ctrlProps/ctrlProp376.xml><?xml version="1.0" encoding="utf-8"?>
<formControlPr xmlns="http://schemas.microsoft.com/office/spreadsheetml/2009/9/main" objectType="CheckBox" checked="Checked" lockText="1" noThreeD="1"/>
</file>

<file path=xl/ctrlProps/ctrlProp377.xml><?xml version="1.0" encoding="utf-8"?>
<formControlPr xmlns="http://schemas.microsoft.com/office/spreadsheetml/2009/9/main" objectType="CheckBox" checked="Checked" lockText="1" noThreeD="1"/>
</file>

<file path=xl/ctrlProps/ctrlProp378.xml><?xml version="1.0" encoding="utf-8"?>
<formControlPr xmlns="http://schemas.microsoft.com/office/spreadsheetml/2009/9/main" objectType="CheckBox" checked="Checked" lockText="1" noThreeD="1"/>
</file>

<file path=xl/ctrlProps/ctrlProp379.xml><?xml version="1.0" encoding="utf-8"?>
<formControlPr xmlns="http://schemas.microsoft.com/office/spreadsheetml/2009/9/main" objectType="CheckBox" checked="Checked" lockText="1" noThreeD="1"/>
</file>

<file path=xl/ctrlProps/ctrlProp380.xml><?xml version="1.0" encoding="utf-8"?>
<formControlPr xmlns="http://schemas.microsoft.com/office/spreadsheetml/2009/9/main" objectType="CheckBox" checked="Checked" lockText="1" noThreeD="1"/>
</file>

<file path=xl/ctrlProps/ctrlProp381.xml><?xml version="1.0" encoding="utf-8"?>
<formControlPr xmlns="http://schemas.microsoft.com/office/spreadsheetml/2009/9/main" objectType="CheckBox" checked="Checked" lockText="1" noThreeD="1"/>
</file>

<file path=xl/ctrlProps/ctrlProp382.xml><?xml version="1.0" encoding="utf-8"?>
<formControlPr xmlns="http://schemas.microsoft.com/office/spreadsheetml/2009/9/main" objectType="CheckBox" checked="Checked" lockText="1" noThreeD="1"/>
</file>

<file path=xl/ctrlProps/ctrlProp383.xml><?xml version="1.0" encoding="utf-8"?>
<formControlPr xmlns="http://schemas.microsoft.com/office/spreadsheetml/2009/9/main" objectType="CheckBox" checked="Checked" lockText="1" noThreeD="1"/>
</file>

<file path=xl/ctrlProps/ctrlProp384.xml><?xml version="1.0" encoding="utf-8"?>
<formControlPr xmlns="http://schemas.microsoft.com/office/spreadsheetml/2009/9/main" objectType="CheckBox" checked="Checked" lockText="1" noThreeD="1"/>
</file>

<file path=xl/ctrlProps/ctrlProp385.xml><?xml version="1.0" encoding="utf-8"?>
<formControlPr xmlns="http://schemas.microsoft.com/office/spreadsheetml/2009/9/main" objectType="CheckBox" checked="Checked" lockText="1" noThreeD="1"/>
</file>

<file path=xl/ctrlProps/ctrlProp386.xml><?xml version="1.0" encoding="utf-8"?>
<formControlPr xmlns="http://schemas.microsoft.com/office/spreadsheetml/2009/9/main" objectType="CheckBox" checked="Checked" lockText="1" noThreeD="1"/>
</file>

<file path=xl/ctrlProps/ctrlProp387.xml><?xml version="1.0" encoding="utf-8"?>
<formControlPr xmlns="http://schemas.microsoft.com/office/spreadsheetml/2009/9/main" objectType="CheckBox" checked="Checked" lockText="1" noThreeD="1"/>
</file>

<file path=xl/ctrlProps/ctrlProp388.xml><?xml version="1.0" encoding="utf-8"?>
<formControlPr xmlns="http://schemas.microsoft.com/office/spreadsheetml/2009/9/main" objectType="CheckBox" checked="Checked" lockText="1" noThreeD="1"/>
</file>

<file path=xl/ctrlProps/ctrlProp389.xml><?xml version="1.0" encoding="utf-8"?>
<formControlPr xmlns="http://schemas.microsoft.com/office/spreadsheetml/2009/9/main" objectType="CheckBox" checked="Checked" lockText="1" noThreeD="1"/>
</file>

<file path=xl/ctrlProps/ctrlProp390.xml><?xml version="1.0" encoding="utf-8"?>
<formControlPr xmlns="http://schemas.microsoft.com/office/spreadsheetml/2009/9/main" objectType="CheckBox" checked="Checked" lockText="1" noThreeD="1"/>
</file>

<file path=xl/ctrlProps/ctrlProp391.xml><?xml version="1.0" encoding="utf-8"?>
<formControlPr xmlns="http://schemas.microsoft.com/office/spreadsheetml/2009/9/main" objectType="CheckBox" checked="Checked" lockText="1" noThreeD="1"/>
</file>

<file path=xl/ctrlProps/ctrlProp392.xml><?xml version="1.0" encoding="utf-8"?>
<formControlPr xmlns="http://schemas.microsoft.com/office/spreadsheetml/2009/9/main" objectType="CheckBox" checked="Checked" lockText="1" noThreeD="1"/>
</file>

<file path=xl/ctrlProps/ctrlProp393.xml><?xml version="1.0" encoding="utf-8"?>
<formControlPr xmlns="http://schemas.microsoft.com/office/spreadsheetml/2009/9/main" objectType="CheckBox" checked="Checked" lockText="1" noThreeD="1"/>
</file>

<file path=xl/ctrlProps/ctrlProp394.xml><?xml version="1.0" encoding="utf-8"?>
<formControlPr xmlns="http://schemas.microsoft.com/office/spreadsheetml/2009/9/main" objectType="CheckBox" checked="Checked" lockText="1" noThreeD="1"/>
</file>

<file path=xl/ctrlProps/ctrlProp395.xml><?xml version="1.0" encoding="utf-8"?>
<formControlPr xmlns="http://schemas.microsoft.com/office/spreadsheetml/2009/9/main" objectType="CheckBox" checked="Checked" lockText="1" noThreeD="1"/>
</file>

<file path=xl/ctrlProps/ctrlProp396.xml><?xml version="1.0" encoding="utf-8"?>
<formControlPr xmlns="http://schemas.microsoft.com/office/spreadsheetml/2009/9/main" objectType="CheckBox" checked="Checked" lockText="1" noThreeD="1"/>
</file>

<file path=xl/ctrlProps/ctrlProp397.xml><?xml version="1.0" encoding="utf-8"?>
<formControlPr xmlns="http://schemas.microsoft.com/office/spreadsheetml/2009/9/main" objectType="CheckBox" checked="Checked" lockText="1" noThreeD="1"/>
</file>

<file path=xl/ctrlProps/ctrlProp398.xml><?xml version="1.0" encoding="utf-8"?>
<formControlPr xmlns="http://schemas.microsoft.com/office/spreadsheetml/2009/9/main" objectType="CheckBox" checked="Checked" lockText="1" noThreeD="1"/>
</file>

<file path=xl/ctrlProps/ctrlProp399.xml><?xml version="1.0" encoding="utf-8"?>
<formControlPr xmlns="http://schemas.microsoft.com/office/spreadsheetml/2009/9/main" objectType="CheckBox" checked="Checked" lockText="1" noThreeD="1"/>
</file>

<file path=xl/ctrlProps/ctrlProp400.xml><?xml version="1.0" encoding="utf-8"?>
<formControlPr xmlns="http://schemas.microsoft.com/office/spreadsheetml/2009/9/main" objectType="CheckBox" checked="Checked" lockText="1" noThreeD="1"/>
</file>

<file path=xl/ctrlProps/ctrlProp401.xml><?xml version="1.0" encoding="utf-8"?>
<formControlPr xmlns="http://schemas.microsoft.com/office/spreadsheetml/2009/9/main" objectType="CheckBox" checked="Checked" lockText="1" noThreeD="1"/>
</file>

<file path=xl/ctrlProps/ctrlProp402.xml><?xml version="1.0" encoding="utf-8"?>
<formControlPr xmlns="http://schemas.microsoft.com/office/spreadsheetml/2009/9/main" objectType="CheckBox" checked="Checked" lockText="1" noThreeD="1"/>
</file>

<file path=xl/ctrlProps/ctrlProp403.xml><?xml version="1.0" encoding="utf-8"?>
<formControlPr xmlns="http://schemas.microsoft.com/office/spreadsheetml/2009/9/main" objectType="CheckBox" checked="Checked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checked="Checked" lockText="1" noThreeD="1"/>
</file>

<file path=xl/ctrlProps/ctrlProp407.xml><?xml version="1.0" encoding="utf-8"?>
<formControlPr xmlns="http://schemas.microsoft.com/office/spreadsheetml/2009/9/main" objectType="CheckBox" checked="Checked" lockText="1" noThreeD="1"/>
</file>

<file path=xl/ctrlProps/ctrlProp408.xml><?xml version="1.0" encoding="utf-8"?>
<formControlPr xmlns="http://schemas.microsoft.com/office/spreadsheetml/2009/9/main" objectType="CheckBox" lockText="1" noThreeD="1"/>
</file>

<file path=xl/ctrlProps/ctrlProp409.xml><?xml version="1.0" encoding="utf-8"?>
<formControlPr xmlns="http://schemas.microsoft.com/office/spreadsheetml/2009/9/main" objectType="CheckBox" checked="Checked" lockText="1" noThreeD="1"/>
</file>

<file path=xl/ctrlProps/ctrlProp410.xml><?xml version="1.0" encoding="utf-8"?>
<formControlPr xmlns="http://schemas.microsoft.com/office/spreadsheetml/2009/9/main" objectType="CheckBox" checked="Checked" lockText="1" noThreeD="1"/>
</file>

<file path=xl/ctrlProps/ctrlProp411.xml><?xml version="1.0" encoding="utf-8"?>
<formControlPr xmlns="http://schemas.microsoft.com/office/spreadsheetml/2009/9/main" objectType="CheckBox" checked="Checked" lockText="1" noThreeD="1"/>
</file>

<file path=xl/ctrlProps/ctrlProp412.xml><?xml version="1.0" encoding="utf-8"?>
<formControlPr xmlns="http://schemas.microsoft.com/office/spreadsheetml/2009/9/main" objectType="CheckBox" checked="Checked" lockText="1" noThreeD="1"/>
</file>

<file path=xl/ctrlProps/ctrlProp413.xml><?xml version="1.0" encoding="utf-8"?>
<formControlPr xmlns="http://schemas.microsoft.com/office/spreadsheetml/2009/9/main" objectType="CheckBox" checked="Checked" lockText="1" noThreeD="1"/>
</file>

<file path=xl/ctrlProps/ctrlProp41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0</xdr:row>
          <xdr:rowOff>133350</xdr:rowOff>
        </xdr:from>
        <xdr:to>
          <xdr:col>4</xdr:col>
          <xdr:colOff>28575</xdr:colOff>
          <xdr:row>2</xdr:row>
          <xdr:rowOff>85725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xmlns="" id="{00000000-0008-0000-04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xmlns="" id="{00000000-0008-0000-04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xmlns="" id="{00000000-0008-0000-04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xmlns="" id="{00000000-0008-0000-04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xmlns="" id="{00000000-0008-0000-04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xmlns="" id="{00000000-0008-0000-04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xmlns="" id="{00000000-0008-0000-04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xmlns="" id="{00000000-0008-0000-04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xmlns="" id="{00000000-0008-0000-04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xmlns="" id="{00000000-0008-0000-04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xmlns="" id="{00000000-0008-0000-04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xmlns="" id="{00000000-0008-0000-04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xmlns="" id="{00000000-0008-0000-04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xmlns="" id="{00000000-0008-0000-04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xmlns="" id="{00000000-0008-0000-04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xmlns="" id="{00000000-0008-0000-04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xmlns="" id="{00000000-0008-0000-04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xmlns="" id="{00000000-0008-0000-04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xmlns="" id="{00000000-0008-0000-04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xmlns="" id="{00000000-0008-0000-04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xmlns="" id="{00000000-0008-0000-04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xmlns="" id="{00000000-0008-0000-04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0</xdr:row>
          <xdr:rowOff>133350</xdr:rowOff>
        </xdr:from>
        <xdr:to>
          <xdr:col>5</xdr:col>
          <xdr:colOff>28575</xdr:colOff>
          <xdr:row>2</xdr:row>
          <xdr:rowOff>85725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xmlns="" id="{00000000-0008-0000-04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xmlns="" id="{00000000-0008-0000-04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0</xdr:row>
          <xdr:rowOff>133350</xdr:rowOff>
        </xdr:from>
        <xdr:to>
          <xdr:col>6</xdr:col>
          <xdr:colOff>28575</xdr:colOff>
          <xdr:row>2</xdr:row>
          <xdr:rowOff>85725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xmlns="" id="{00000000-0008-0000-04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xmlns="" id="{00000000-0008-0000-04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xmlns="" id="{00000000-0008-0000-04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0</xdr:row>
          <xdr:rowOff>133350</xdr:rowOff>
        </xdr:from>
        <xdr:to>
          <xdr:col>7</xdr:col>
          <xdr:colOff>28575</xdr:colOff>
          <xdr:row>2</xdr:row>
          <xdr:rowOff>85725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xmlns="" id="{00000000-0008-0000-04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xmlns="" id="{00000000-0008-0000-04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xmlns="" id="{00000000-0008-0000-04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0</xdr:row>
          <xdr:rowOff>133350</xdr:rowOff>
        </xdr:from>
        <xdr:to>
          <xdr:col>8</xdr:col>
          <xdr:colOff>28575</xdr:colOff>
          <xdr:row>2</xdr:row>
          <xdr:rowOff>85725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xmlns="" id="{00000000-0008-0000-04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xmlns="" id="{00000000-0008-0000-04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xmlns="" id="{00000000-0008-0000-04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xmlns="" id="{00000000-0008-0000-04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xmlns="" id="{00000000-0008-0000-04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0</xdr:row>
          <xdr:rowOff>133350</xdr:rowOff>
        </xdr:from>
        <xdr:to>
          <xdr:col>11</xdr:col>
          <xdr:colOff>28575</xdr:colOff>
          <xdr:row>2</xdr:row>
          <xdr:rowOff>85725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xmlns="" id="{00000000-0008-0000-04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</xdr:row>
          <xdr:rowOff>133350</xdr:rowOff>
        </xdr:from>
        <xdr:to>
          <xdr:col>4</xdr:col>
          <xdr:colOff>28575</xdr:colOff>
          <xdr:row>3</xdr:row>
          <xdr:rowOff>85725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xmlns="" id="{00000000-0008-0000-04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xmlns="" id="{00000000-0008-0000-04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</xdr:row>
          <xdr:rowOff>133350</xdr:rowOff>
        </xdr:from>
        <xdr:to>
          <xdr:col>5</xdr:col>
          <xdr:colOff>28575</xdr:colOff>
          <xdr:row>3</xdr:row>
          <xdr:rowOff>85725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xmlns="" id="{00000000-0008-0000-04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xmlns="" id="{00000000-0008-0000-04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</xdr:row>
          <xdr:rowOff>133350</xdr:rowOff>
        </xdr:from>
        <xdr:to>
          <xdr:col>6</xdr:col>
          <xdr:colOff>28575</xdr:colOff>
          <xdr:row>3</xdr:row>
          <xdr:rowOff>85725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xmlns="" id="{00000000-0008-0000-04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xmlns="" id="{00000000-0008-0000-04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xmlns="" id="{00000000-0008-0000-04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</xdr:row>
          <xdr:rowOff>133350</xdr:rowOff>
        </xdr:from>
        <xdr:to>
          <xdr:col>7</xdr:col>
          <xdr:colOff>28575</xdr:colOff>
          <xdr:row>3</xdr:row>
          <xdr:rowOff>85725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xmlns="" id="{00000000-0008-0000-04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xmlns="" id="{00000000-0008-0000-04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xmlns="" id="{00000000-0008-0000-04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</xdr:row>
          <xdr:rowOff>133350</xdr:rowOff>
        </xdr:from>
        <xdr:to>
          <xdr:col>8</xdr:col>
          <xdr:colOff>28575</xdr:colOff>
          <xdr:row>3</xdr:row>
          <xdr:rowOff>85725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xmlns="" id="{00000000-0008-0000-04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xmlns="" id="{00000000-0008-0000-04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xmlns="" id="{00000000-0008-0000-04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xmlns="" id="{00000000-0008-0000-04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xmlns="" id="{00000000-0008-0000-04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</xdr:row>
          <xdr:rowOff>133350</xdr:rowOff>
        </xdr:from>
        <xdr:to>
          <xdr:col>11</xdr:col>
          <xdr:colOff>28575</xdr:colOff>
          <xdr:row>3</xdr:row>
          <xdr:rowOff>85725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xmlns="" id="{00000000-0008-0000-04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2</xdr:row>
          <xdr:rowOff>133350</xdr:rowOff>
        </xdr:from>
        <xdr:to>
          <xdr:col>4</xdr:col>
          <xdr:colOff>28575</xdr:colOff>
          <xdr:row>4</xdr:row>
          <xdr:rowOff>85725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xmlns="" id="{00000000-0008-0000-04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xmlns="" id="{00000000-0008-0000-04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</xdr:row>
          <xdr:rowOff>133350</xdr:rowOff>
        </xdr:from>
        <xdr:to>
          <xdr:col>5</xdr:col>
          <xdr:colOff>28575</xdr:colOff>
          <xdr:row>4</xdr:row>
          <xdr:rowOff>85725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xmlns="" id="{00000000-0008-0000-04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xmlns="" id="{00000000-0008-0000-04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2</xdr:row>
          <xdr:rowOff>133350</xdr:rowOff>
        </xdr:from>
        <xdr:to>
          <xdr:col>6</xdr:col>
          <xdr:colOff>28575</xdr:colOff>
          <xdr:row>4</xdr:row>
          <xdr:rowOff>85725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xmlns="" id="{00000000-0008-0000-04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xmlns="" id="{00000000-0008-0000-04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xmlns="" id="{00000000-0008-0000-04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</xdr:row>
          <xdr:rowOff>133350</xdr:rowOff>
        </xdr:from>
        <xdr:to>
          <xdr:col>7</xdr:col>
          <xdr:colOff>28575</xdr:colOff>
          <xdr:row>4</xdr:row>
          <xdr:rowOff>85725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xmlns="" id="{00000000-0008-0000-04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xmlns="" id="{00000000-0008-0000-04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xmlns="" id="{00000000-0008-0000-04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2</xdr:row>
          <xdr:rowOff>133350</xdr:rowOff>
        </xdr:from>
        <xdr:to>
          <xdr:col>8</xdr:col>
          <xdr:colOff>28575</xdr:colOff>
          <xdr:row>4</xdr:row>
          <xdr:rowOff>85725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xmlns="" id="{00000000-0008-0000-04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xmlns="" id="{00000000-0008-0000-04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xmlns="" id="{00000000-0008-0000-04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xmlns="" id="{00000000-0008-0000-04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xmlns="" id="{00000000-0008-0000-04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2</xdr:row>
          <xdr:rowOff>133350</xdr:rowOff>
        </xdr:from>
        <xdr:to>
          <xdr:col>11</xdr:col>
          <xdr:colOff>28575</xdr:colOff>
          <xdr:row>4</xdr:row>
          <xdr:rowOff>85725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xmlns="" id="{00000000-0008-0000-04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133350</xdr:rowOff>
        </xdr:from>
        <xdr:to>
          <xdr:col>4</xdr:col>
          <xdr:colOff>28575</xdr:colOff>
          <xdr:row>5</xdr:row>
          <xdr:rowOff>85725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xmlns="" id="{00000000-0008-0000-04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xmlns="" id="{00000000-0008-0000-04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</xdr:row>
          <xdr:rowOff>133350</xdr:rowOff>
        </xdr:from>
        <xdr:to>
          <xdr:col>5</xdr:col>
          <xdr:colOff>28575</xdr:colOff>
          <xdr:row>5</xdr:row>
          <xdr:rowOff>85725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xmlns="" id="{00000000-0008-0000-04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xmlns="" id="{00000000-0008-0000-04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3</xdr:row>
          <xdr:rowOff>133350</xdr:rowOff>
        </xdr:from>
        <xdr:to>
          <xdr:col>6</xdr:col>
          <xdr:colOff>28575</xdr:colOff>
          <xdr:row>5</xdr:row>
          <xdr:rowOff>85725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xmlns="" id="{00000000-0008-0000-04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xmlns="" id="{00000000-0008-0000-04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xmlns="" id="{00000000-0008-0000-04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</xdr:row>
          <xdr:rowOff>133350</xdr:rowOff>
        </xdr:from>
        <xdr:to>
          <xdr:col>7</xdr:col>
          <xdr:colOff>28575</xdr:colOff>
          <xdr:row>5</xdr:row>
          <xdr:rowOff>85725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xmlns="" id="{00000000-0008-0000-04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xmlns="" id="{00000000-0008-0000-04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xmlns="" id="{00000000-0008-0000-04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133350</xdr:rowOff>
        </xdr:from>
        <xdr:to>
          <xdr:col>8</xdr:col>
          <xdr:colOff>28575</xdr:colOff>
          <xdr:row>5</xdr:row>
          <xdr:rowOff>85725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xmlns="" id="{00000000-0008-0000-04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xmlns="" id="{00000000-0008-0000-04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xmlns="" id="{00000000-0008-0000-04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xmlns="" id="{00000000-0008-0000-04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xmlns="" id="{00000000-0008-0000-04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3</xdr:row>
          <xdr:rowOff>133350</xdr:rowOff>
        </xdr:from>
        <xdr:to>
          <xdr:col>11</xdr:col>
          <xdr:colOff>28575</xdr:colOff>
          <xdr:row>5</xdr:row>
          <xdr:rowOff>85725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xmlns="" id="{00000000-0008-0000-04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4</xdr:row>
          <xdr:rowOff>133350</xdr:rowOff>
        </xdr:from>
        <xdr:to>
          <xdr:col>4</xdr:col>
          <xdr:colOff>28575</xdr:colOff>
          <xdr:row>6</xdr:row>
          <xdr:rowOff>85725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xmlns="" id="{00000000-0008-0000-04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xmlns="" id="{00000000-0008-0000-04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4</xdr:row>
          <xdr:rowOff>133350</xdr:rowOff>
        </xdr:from>
        <xdr:to>
          <xdr:col>5</xdr:col>
          <xdr:colOff>28575</xdr:colOff>
          <xdr:row>6</xdr:row>
          <xdr:rowOff>85725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xmlns="" id="{00000000-0008-0000-04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xmlns="" id="{00000000-0008-0000-04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4</xdr:row>
          <xdr:rowOff>133350</xdr:rowOff>
        </xdr:from>
        <xdr:to>
          <xdr:col>6</xdr:col>
          <xdr:colOff>28575</xdr:colOff>
          <xdr:row>6</xdr:row>
          <xdr:rowOff>85725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xmlns="" id="{00000000-0008-0000-04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xmlns="" id="{00000000-0008-0000-04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xmlns="" id="{00000000-0008-0000-04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</xdr:row>
          <xdr:rowOff>133350</xdr:rowOff>
        </xdr:from>
        <xdr:to>
          <xdr:col>7</xdr:col>
          <xdr:colOff>28575</xdr:colOff>
          <xdr:row>6</xdr:row>
          <xdr:rowOff>85725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xmlns="" id="{00000000-0008-0000-04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xmlns="" id="{00000000-0008-0000-04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xmlns="" id="{00000000-0008-0000-04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4</xdr:row>
          <xdr:rowOff>133350</xdr:rowOff>
        </xdr:from>
        <xdr:to>
          <xdr:col>8</xdr:col>
          <xdr:colOff>28575</xdr:colOff>
          <xdr:row>6</xdr:row>
          <xdr:rowOff>85725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xmlns="" id="{00000000-0008-0000-04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xmlns="" id="{00000000-0008-0000-04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xmlns="" id="{00000000-0008-0000-04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xmlns="" id="{00000000-0008-0000-04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xmlns="" id="{00000000-0008-0000-04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4</xdr:row>
          <xdr:rowOff>133350</xdr:rowOff>
        </xdr:from>
        <xdr:to>
          <xdr:col>11</xdr:col>
          <xdr:colOff>28575</xdr:colOff>
          <xdr:row>6</xdr:row>
          <xdr:rowOff>85725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xmlns="" id="{00000000-0008-0000-04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5</xdr:row>
          <xdr:rowOff>133350</xdr:rowOff>
        </xdr:from>
        <xdr:to>
          <xdr:col>4</xdr:col>
          <xdr:colOff>28575</xdr:colOff>
          <xdr:row>7</xdr:row>
          <xdr:rowOff>85725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xmlns="" id="{00000000-0008-0000-04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xmlns="" id="{00000000-0008-0000-04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5</xdr:row>
          <xdr:rowOff>133350</xdr:rowOff>
        </xdr:from>
        <xdr:to>
          <xdr:col>5</xdr:col>
          <xdr:colOff>28575</xdr:colOff>
          <xdr:row>7</xdr:row>
          <xdr:rowOff>85725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xmlns="" id="{00000000-0008-0000-04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xmlns="" id="{00000000-0008-0000-04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5</xdr:row>
          <xdr:rowOff>133350</xdr:rowOff>
        </xdr:from>
        <xdr:to>
          <xdr:col>6</xdr:col>
          <xdr:colOff>28575</xdr:colOff>
          <xdr:row>7</xdr:row>
          <xdr:rowOff>85725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xmlns="" id="{00000000-0008-0000-04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xmlns="" id="{00000000-0008-0000-04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xmlns="" id="{00000000-0008-0000-04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5</xdr:row>
          <xdr:rowOff>133350</xdr:rowOff>
        </xdr:from>
        <xdr:to>
          <xdr:col>7</xdr:col>
          <xdr:colOff>28575</xdr:colOff>
          <xdr:row>7</xdr:row>
          <xdr:rowOff>85725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xmlns="" id="{00000000-0008-0000-04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xmlns="" id="{00000000-0008-0000-04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xmlns="" id="{00000000-0008-0000-04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5</xdr:row>
          <xdr:rowOff>133350</xdr:rowOff>
        </xdr:from>
        <xdr:to>
          <xdr:col>8</xdr:col>
          <xdr:colOff>28575</xdr:colOff>
          <xdr:row>7</xdr:row>
          <xdr:rowOff>85725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xmlns="" id="{00000000-0008-0000-04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xmlns="" id="{00000000-0008-0000-04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xmlns="" id="{00000000-0008-0000-04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xmlns="" id="{00000000-0008-0000-04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xmlns="" id="{00000000-0008-0000-04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5</xdr:row>
          <xdr:rowOff>133350</xdr:rowOff>
        </xdr:from>
        <xdr:to>
          <xdr:col>11</xdr:col>
          <xdr:colOff>28575</xdr:colOff>
          <xdr:row>7</xdr:row>
          <xdr:rowOff>85725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xmlns="" id="{00000000-0008-0000-04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6</xdr:row>
          <xdr:rowOff>133350</xdr:rowOff>
        </xdr:from>
        <xdr:to>
          <xdr:col>4</xdr:col>
          <xdr:colOff>28575</xdr:colOff>
          <xdr:row>8</xdr:row>
          <xdr:rowOff>85725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xmlns="" id="{00000000-0008-0000-04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xmlns="" id="{00000000-0008-0000-04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6</xdr:row>
          <xdr:rowOff>133350</xdr:rowOff>
        </xdr:from>
        <xdr:to>
          <xdr:col>5</xdr:col>
          <xdr:colOff>28575</xdr:colOff>
          <xdr:row>8</xdr:row>
          <xdr:rowOff>85725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xmlns="" id="{00000000-0008-0000-04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xmlns="" id="{00000000-0008-0000-04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6</xdr:row>
          <xdr:rowOff>133350</xdr:rowOff>
        </xdr:from>
        <xdr:to>
          <xdr:col>6</xdr:col>
          <xdr:colOff>28575</xdr:colOff>
          <xdr:row>8</xdr:row>
          <xdr:rowOff>85725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xmlns="" id="{00000000-0008-0000-04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xmlns="" id="{00000000-0008-0000-04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xmlns="" id="{00000000-0008-0000-04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6</xdr:row>
          <xdr:rowOff>133350</xdr:rowOff>
        </xdr:from>
        <xdr:to>
          <xdr:col>7</xdr:col>
          <xdr:colOff>28575</xdr:colOff>
          <xdr:row>8</xdr:row>
          <xdr:rowOff>85725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xmlns="" id="{00000000-0008-0000-04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xmlns="" id="{00000000-0008-0000-04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xmlns="" id="{00000000-0008-0000-04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6</xdr:row>
          <xdr:rowOff>133350</xdr:rowOff>
        </xdr:from>
        <xdr:to>
          <xdr:col>8</xdr:col>
          <xdr:colOff>28575</xdr:colOff>
          <xdr:row>8</xdr:row>
          <xdr:rowOff>85725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xmlns="" id="{00000000-0008-0000-04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xmlns="" id="{00000000-0008-0000-04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xmlns="" id="{00000000-0008-0000-04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xmlns="" id="{00000000-0008-0000-04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xmlns="" id="{00000000-0008-0000-04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6</xdr:row>
          <xdr:rowOff>133350</xdr:rowOff>
        </xdr:from>
        <xdr:to>
          <xdr:col>11</xdr:col>
          <xdr:colOff>28575</xdr:colOff>
          <xdr:row>8</xdr:row>
          <xdr:rowOff>85725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xmlns="" id="{00000000-0008-0000-04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7</xdr:row>
          <xdr:rowOff>133350</xdr:rowOff>
        </xdr:from>
        <xdr:to>
          <xdr:col>4</xdr:col>
          <xdr:colOff>28575</xdr:colOff>
          <xdr:row>9</xdr:row>
          <xdr:rowOff>85725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xmlns="" id="{00000000-0008-0000-04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xmlns="" id="{00000000-0008-0000-04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7</xdr:row>
          <xdr:rowOff>133350</xdr:rowOff>
        </xdr:from>
        <xdr:to>
          <xdr:col>5</xdr:col>
          <xdr:colOff>28575</xdr:colOff>
          <xdr:row>9</xdr:row>
          <xdr:rowOff>85725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xmlns="" id="{00000000-0008-0000-04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xmlns="" id="{00000000-0008-0000-04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7</xdr:row>
          <xdr:rowOff>133350</xdr:rowOff>
        </xdr:from>
        <xdr:to>
          <xdr:col>6</xdr:col>
          <xdr:colOff>28575</xdr:colOff>
          <xdr:row>9</xdr:row>
          <xdr:rowOff>85725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xmlns="" id="{00000000-0008-0000-04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xmlns="" id="{00000000-0008-0000-04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xmlns="" id="{00000000-0008-0000-04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7</xdr:row>
          <xdr:rowOff>133350</xdr:rowOff>
        </xdr:from>
        <xdr:to>
          <xdr:col>7</xdr:col>
          <xdr:colOff>28575</xdr:colOff>
          <xdr:row>9</xdr:row>
          <xdr:rowOff>85725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xmlns="" id="{00000000-0008-0000-04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xmlns="" id="{00000000-0008-0000-04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xmlns="" id="{00000000-0008-0000-04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7</xdr:row>
          <xdr:rowOff>133350</xdr:rowOff>
        </xdr:from>
        <xdr:to>
          <xdr:col>8</xdr:col>
          <xdr:colOff>28575</xdr:colOff>
          <xdr:row>9</xdr:row>
          <xdr:rowOff>85725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xmlns="" id="{00000000-0008-0000-04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xmlns="" id="{00000000-0008-0000-04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xmlns="" id="{00000000-0008-0000-04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xmlns="" id="{00000000-0008-0000-04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xmlns="" id="{00000000-0008-0000-04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7</xdr:row>
          <xdr:rowOff>133350</xdr:rowOff>
        </xdr:from>
        <xdr:to>
          <xdr:col>11</xdr:col>
          <xdr:colOff>28575</xdr:colOff>
          <xdr:row>9</xdr:row>
          <xdr:rowOff>85725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xmlns="" id="{00000000-0008-0000-04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8</xdr:row>
          <xdr:rowOff>133350</xdr:rowOff>
        </xdr:from>
        <xdr:to>
          <xdr:col>4</xdr:col>
          <xdr:colOff>28575</xdr:colOff>
          <xdr:row>10</xdr:row>
          <xdr:rowOff>85725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xmlns="" id="{00000000-0008-0000-04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xmlns="" id="{00000000-0008-0000-04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8</xdr:row>
          <xdr:rowOff>133350</xdr:rowOff>
        </xdr:from>
        <xdr:to>
          <xdr:col>5</xdr:col>
          <xdr:colOff>28575</xdr:colOff>
          <xdr:row>10</xdr:row>
          <xdr:rowOff>85725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xmlns="" id="{00000000-0008-0000-04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xmlns="" id="{00000000-0008-0000-04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8</xdr:row>
          <xdr:rowOff>133350</xdr:rowOff>
        </xdr:from>
        <xdr:to>
          <xdr:col>6</xdr:col>
          <xdr:colOff>28575</xdr:colOff>
          <xdr:row>10</xdr:row>
          <xdr:rowOff>85725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xmlns="" id="{00000000-0008-0000-04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xmlns="" id="{00000000-0008-0000-04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xmlns="" id="{00000000-0008-0000-04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8</xdr:row>
          <xdr:rowOff>133350</xdr:rowOff>
        </xdr:from>
        <xdr:to>
          <xdr:col>7</xdr:col>
          <xdr:colOff>28575</xdr:colOff>
          <xdr:row>10</xdr:row>
          <xdr:rowOff>85725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xmlns="" id="{00000000-0008-0000-04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xmlns="" id="{00000000-0008-0000-04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xmlns="" id="{00000000-0008-0000-04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8</xdr:row>
          <xdr:rowOff>133350</xdr:rowOff>
        </xdr:from>
        <xdr:to>
          <xdr:col>8</xdr:col>
          <xdr:colOff>28575</xdr:colOff>
          <xdr:row>10</xdr:row>
          <xdr:rowOff>85725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xmlns="" id="{00000000-0008-0000-04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xmlns="" id="{00000000-0008-0000-04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xmlns="" id="{00000000-0008-0000-04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xmlns="" id="{00000000-0008-0000-04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xmlns="" id="{00000000-0008-0000-04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8</xdr:row>
          <xdr:rowOff>133350</xdr:rowOff>
        </xdr:from>
        <xdr:to>
          <xdr:col>11</xdr:col>
          <xdr:colOff>28575</xdr:colOff>
          <xdr:row>10</xdr:row>
          <xdr:rowOff>85725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xmlns="" id="{00000000-0008-0000-04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12</xdr:row>
          <xdr:rowOff>133350</xdr:rowOff>
        </xdr:from>
        <xdr:to>
          <xdr:col>4</xdr:col>
          <xdr:colOff>28575</xdr:colOff>
          <xdr:row>14</xdr:row>
          <xdr:rowOff>85725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xmlns="" id="{00000000-0008-0000-04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xmlns="" id="{00000000-0008-0000-04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12</xdr:row>
          <xdr:rowOff>133350</xdr:rowOff>
        </xdr:from>
        <xdr:to>
          <xdr:col>5</xdr:col>
          <xdr:colOff>28575</xdr:colOff>
          <xdr:row>14</xdr:row>
          <xdr:rowOff>85725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xmlns="" id="{00000000-0008-0000-04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xmlns="" id="{00000000-0008-0000-04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12</xdr:row>
          <xdr:rowOff>133350</xdr:rowOff>
        </xdr:from>
        <xdr:to>
          <xdr:col>6</xdr:col>
          <xdr:colOff>28575</xdr:colOff>
          <xdr:row>14</xdr:row>
          <xdr:rowOff>85725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xmlns="" id="{00000000-0008-0000-04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xmlns="" id="{00000000-0008-0000-04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xmlns="" id="{00000000-0008-0000-04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133350</xdr:rowOff>
        </xdr:from>
        <xdr:to>
          <xdr:col>7</xdr:col>
          <xdr:colOff>28575</xdr:colOff>
          <xdr:row>14</xdr:row>
          <xdr:rowOff>85725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xmlns="" id="{00000000-0008-0000-04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xmlns="" id="{00000000-0008-0000-04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xmlns="" id="{00000000-0008-0000-04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12</xdr:row>
          <xdr:rowOff>133350</xdr:rowOff>
        </xdr:from>
        <xdr:to>
          <xdr:col>8</xdr:col>
          <xdr:colOff>28575</xdr:colOff>
          <xdr:row>14</xdr:row>
          <xdr:rowOff>85725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xmlns="" id="{00000000-0008-0000-04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xmlns="" id="{00000000-0008-0000-04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xmlns="" id="{00000000-0008-0000-04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xmlns="" id="{00000000-0008-0000-04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xmlns="" id="{00000000-0008-0000-04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12</xdr:row>
          <xdr:rowOff>133350</xdr:rowOff>
        </xdr:from>
        <xdr:to>
          <xdr:col>11</xdr:col>
          <xdr:colOff>28575</xdr:colOff>
          <xdr:row>14</xdr:row>
          <xdr:rowOff>85725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xmlns="" id="{00000000-0008-0000-04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13</xdr:row>
          <xdr:rowOff>133350</xdr:rowOff>
        </xdr:from>
        <xdr:to>
          <xdr:col>4</xdr:col>
          <xdr:colOff>28575</xdr:colOff>
          <xdr:row>15</xdr:row>
          <xdr:rowOff>85725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xmlns="" id="{00000000-0008-0000-04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xmlns="" id="{00000000-0008-0000-04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13</xdr:row>
          <xdr:rowOff>133350</xdr:rowOff>
        </xdr:from>
        <xdr:to>
          <xdr:col>5</xdr:col>
          <xdr:colOff>28575</xdr:colOff>
          <xdr:row>15</xdr:row>
          <xdr:rowOff>85725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xmlns="" id="{00000000-0008-0000-04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xmlns="" id="{00000000-0008-0000-04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13</xdr:row>
          <xdr:rowOff>133350</xdr:rowOff>
        </xdr:from>
        <xdr:to>
          <xdr:col>6</xdr:col>
          <xdr:colOff>28575</xdr:colOff>
          <xdr:row>15</xdr:row>
          <xdr:rowOff>85725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xmlns="" id="{00000000-0008-0000-04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xmlns="" id="{00000000-0008-0000-04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xmlns="" id="{00000000-0008-0000-04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13</xdr:row>
          <xdr:rowOff>133350</xdr:rowOff>
        </xdr:from>
        <xdr:to>
          <xdr:col>7</xdr:col>
          <xdr:colOff>28575</xdr:colOff>
          <xdr:row>15</xdr:row>
          <xdr:rowOff>85725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xmlns="" id="{00000000-0008-0000-04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xmlns="" id="{00000000-0008-0000-04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xmlns="" id="{00000000-0008-0000-04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13</xdr:row>
          <xdr:rowOff>133350</xdr:rowOff>
        </xdr:from>
        <xdr:to>
          <xdr:col>8</xdr:col>
          <xdr:colOff>28575</xdr:colOff>
          <xdr:row>15</xdr:row>
          <xdr:rowOff>85725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xmlns="" id="{00000000-0008-0000-04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xmlns="" id="{00000000-0008-0000-04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xmlns="" id="{00000000-0008-0000-04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xmlns="" id="{00000000-0008-0000-04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xmlns="" id="{00000000-0008-0000-04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13</xdr:row>
          <xdr:rowOff>133350</xdr:rowOff>
        </xdr:from>
        <xdr:to>
          <xdr:col>11</xdr:col>
          <xdr:colOff>28575</xdr:colOff>
          <xdr:row>15</xdr:row>
          <xdr:rowOff>85725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xmlns="" id="{00000000-0008-0000-04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xmlns="" id="{00000000-0008-0000-04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xmlns="" id="{00000000-0008-0000-04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9</xdr:row>
          <xdr:rowOff>133350</xdr:rowOff>
        </xdr:from>
        <xdr:to>
          <xdr:col>4</xdr:col>
          <xdr:colOff>28575</xdr:colOff>
          <xdr:row>11</xdr:row>
          <xdr:rowOff>85725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xmlns="" id="{00000000-0008-0000-04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xmlns="" id="{00000000-0008-0000-04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9</xdr:row>
          <xdr:rowOff>133350</xdr:rowOff>
        </xdr:from>
        <xdr:to>
          <xdr:col>5</xdr:col>
          <xdr:colOff>28575</xdr:colOff>
          <xdr:row>11</xdr:row>
          <xdr:rowOff>85725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xmlns="" id="{00000000-0008-0000-04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xmlns="" id="{00000000-0008-0000-04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9</xdr:row>
          <xdr:rowOff>133350</xdr:rowOff>
        </xdr:from>
        <xdr:to>
          <xdr:col>6</xdr:col>
          <xdr:colOff>28575</xdr:colOff>
          <xdr:row>11</xdr:row>
          <xdr:rowOff>85725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xmlns="" id="{00000000-0008-0000-04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xmlns="" id="{00000000-0008-0000-04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xmlns="" id="{00000000-0008-0000-04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9</xdr:row>
          <xdr:rowOff>133350</xdr:rowOff>
        </xdr:from>
        <xdr:to>
          <xdr:col>7</xdr:col>
          <xdr:colOff>28575</xdr:colOff>
          <xdr:row>11</xdr:row>
          <xdr:rowOff>85725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xmlns="" id="{00000000-0008-0000-04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xmlns="" id="{00000000-0008-0000-04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xmlns="" id="{00000000-0008-0000-04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9</xdr:row>
          <xdr:rowOff>133350</xdr:rowOff>
        </xdr:from>
        <xdr:to>
          <xdr:col>8</xdr:col>
          <xdr:colOff>28575</xdr:colOff>
          <xdr:row>11</xdr:row>
          <xdr:rowOff>85725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xmlns="" id="{00000000-0008-0000-04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xmlns="" id="{00000000-0008-0000-04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xmlns="" id="{00000000-0008-0000-04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xmlns="" id="{00000000-0008-0000-04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xmlns="" id="{00000000-0008-0000-04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9</xdr:row>
          <xdr:rowOff>133350</xdr:rowOff>
        </xdr:from>
        <xdr:to>
          <xdr:col>11</xdr:col>
          <xdr:colOff>28575</xdr:colOff>
          <xdr:row>11</xdr:row>
          <xdr:rowOff>85725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xmlns="" id="{00000000-0008-0000-04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xmlns="" id="{00000000-0008-0000-04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xmlns="" id="{00000000-0008-0000-04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10</xdr:row>
          <xdr:rowOff>133350</xdr:rowOff>
        </xdr:from>
        <xdr:to>
          <xdr:col>4</xdr:col>
          <xdr:colOff>28575</xdr:colOff>
          <xdr:row>12</xdr:row>
          <xdr:rowOff>85725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xmlns="" id="{00000000-0008-0000-04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xmlns="" id="{00000000-0008-0000-04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10</xdr:row>
          <xdr:rowOff>133350</xdr:rowOff>
        </xdr:from>
        <xdr:to>
          <xdr:col>5</xdr:col>
          <xdr:colOff>28575</xdr:colOff>
          <xdr:row>12</xdr:row>
          <xdr:rowOff>85725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xmlns="" id="{00000000-0008-0000-04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xmlns="" id="{00000000-0008-0000-04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10</xdr:row>
          <xdr:rowOff>133350</xdr:rowOff>
        </xdr:from>
        <xdr:to>
          <xdr:col>6</xdr:col>
          <xdr:colOff>28575</xdr:colOff>
          <xdr:row>12</xdr:row>
          <xdr:rowOff>85725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xmlns="" id="{00000000-0008-0000-04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xmlns="" id="{00000000-0008-0000-04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xmlns="" id="{00000000-0008-0000-04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10</xdr:row>
          <xdr:rowOff>133350</xdr:rowOff>
        </xdr:from>
        <xdr:to>
          <xdr:col>7</xdr:col>
          <xdr:colOff>28575</xdr:colOff>
          <xdr:row>12</xdr:row>
          <xdr:rowOff>85725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xmlns="" id="{00000000-0008-0000-04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xmlns="" id="{00000000-0008-0000-04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xmlns="" id="{00000000-0008-0000-04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10</xdr:row>
          <xdr:rowOff>133350</xdr:rowOff>
        </xdr:from>
        <xdr:to>
          <xdr:col>8</xdr:col>
          <xdr:colOff>28575</xdr:colOff>
          <xdr:row>12</xdr:row>
          <xdr:rowOff>85725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xmlns="" id="{00000000-0008-0000-04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xmlns="" id="{00000000-0008-0000-04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xmlns="" id="{00000000-0008-0000-04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xmlns="" id="{00000000-0008-0000-04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xmlns="" id="{00000000-0008-0000-04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10</xdr:row>
          <xdr:rowOff>133350</xdr:rowOff>
        </xdr:from>
        <xdr:to>
          <xdr:col>11</xdr:col>
          <xdr:colOff>28575</xdr:colOff>
          <xdr:row>12</xdr:row>
          <xdr:rowOff>85725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xmlns="" id="{00000000-0008-0000-04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xmlns="" id="{00000000-0008-0000-04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xmlns="" id="{00000000-0008-0000-04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0</xdr:row>
          <xdr:rowOff>133350</xdr:rowOff>
        </xdr:from>
        <xdr:to>
          <xdr:col>9</xdr:col>
          <xdr:colOff>28575</xdr:colOff>
          <xdr:row>2</xdr:row>
          <xdr:rowOff>85725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xmlns="" id="{00000000-0008-0000-04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xmlns="" id="{00000000-0008-0000-04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xmlns="" id="{00000000-0008-0000-04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0</xdr:row>
          <xdr:rowOff>133350</xdr:rowOff>
        </xdr:from>
        <xdr:to>
          <xdr:col>10</xdr:col>
          <xdr:colOff>28575</xdr:colOff>
          <xdr:row>2</xdr:row>
          <xdr:rowOff>85725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xmlns="" id="{00000000-0008-0000-04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xmlns="" id="{00000000-0008-0000-04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xmlns="" id="{00000000-0008-0000-04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</xdr:row>
          <xdr:rowOff>133350</xdr:rowOff>
        </xdr:from>
        <xdr:to>
          <xdr:col>9</xdr:col>
          <xdr:colOff>28575</xdr:colOff>
          <xdr:row>3</xdr:row>
          <xdr:rowOff>85725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xmlns="" id="{00000000-0008-0000-04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xmlns="" id="{00000000-0008-0000-04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xmlns="" id="{00000000-0008-0000-04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</xdr:row>
          <xdr:rowOff>133350</xdr:rowOff>
        </xdr:from>
        <xdr:to>
          <xdr:col>10</xdr:col>
          <xdr:colOff>28575</xdr:colOff>
          <xdr:row>3</xdr:row>
          <xdr:rowOff>85725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xmlns="" id="{00000000-0008-0000-04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xmlns="" id="{00000000-0008-0000-04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xmlns="" id="{00000000-0008-0000-04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2</xdr:row>
          <xdr:rowOff>133350</xdr:rowOff>
        </xdr:from>
        <xdr:to>
          <xdr:col>9</xdr:col>
          <xdr:colOff>28575</xdr:colOff>
          <xdr:row>4</xdr:row>
          <xdr:rowOff>85725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xmlns="" id="{00000000-0008-0000-04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xmlns="" id="{00000000-0008-0000-04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xmlns="" id="{00000000-0008-0000-04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</xdr:row>
          <xdr:rowOff>133350</xdr:rowOff>
        </xdr:from>
        <xdr:to>
          <xdr:col>10</xdr:col>
          <xdr:colOff>28575</xdr:colOff>
          <xdr:row>4</xdr:row>
          <xdr:rowOff>85725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xmlns="" id="{00000000-0008-0000-04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xmlns="" id="{00000000-0008-0000-04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xmlns="" id="{00000000-0008-0000-04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3</xdr:row>
          <xdr:rowOff>133350</xdr:rowOff>
        </xdr:from>
        <xdr:to>
          <xdr:col>9</xdr:col>
          <xdr:colOff>28575</xdr:colOff>
          <xdr:row>5</xdr:row>
          <xdr:rowOff>85725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xmlns="" id="{00000000-0008-0000-04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xmlns="" id="{00000000-0008-0000-04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xmlns="" id="{00000000-0008-0000-04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3</xdr:row>
          <xdr:rowOff>133350</xdr:rowOff>
        </xdr:from>
        <xdr:to>
          <xdr:col>10</xdr:col>
          <xdr:colOff>28575</xdr:colOff>
          <xdr:row>5</xdr:row>
          <xdr:rowOff>85725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xmlns="" id="{00000000-0008-0000-04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xmlns="" id="{00000000-0008-0000-04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xmlns="" id="{00000000-0008-0000-04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4</xdr:row>
          <xdr:rowOff>133350</xdr:rowOff>
        </xdr:from>
        <xdr:to>
          <xdr:col>9</xdr:col>
          <xdr:colOff>28575</xdr:colOff>
          <xdr:row>6</xdr:row>
          <xdr:rowOff>85725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xmlns="" id="{00000000-0008-0000-04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xmlns="" id="{00000000-0008-0000-04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xmlns="" id="{00000000-0008-0000-04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4</xdr:row>
          <xdr:rowOff>133350</xdr:rowOff>
        </xdr:from>
        <xdr:to>
          <xdr:col>10</xdr:col>
          <xdr:colOff>28575</xdr:colOff>
          <xdr:row>6</xdr:row>
          <xdr:rowOff>85725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xmlns="" id="{00000000-0008-0000-04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xmlns="" id="{00000000-0008-0000-04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xmlns="" id="{00000000-0008-0000-04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5</xdr:row>
          <xdr:rowOff>133350</xdr:rowOff>
        </xdr:from>
        <xdr:to>
          <xdr:col>9</xdr:col>
          <xdr:colOff>28575</xdr:colOff>
          <xdr:row>7</xdr:row>
          <xdr:rowOff>85725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xmlns="" id="{00000000-0008-0000-04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xmlns="" id="{00000000-0008-0000-04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xmlns="" id="{00000000-0008-0000-04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5</xdr:row>
          <xdr:rowOff>133350</xdr:rowOff>
        </xdr:from>
        <xdr:to>
          <xdr:col>10</xdr:col>
          <xdr:colOff>28575</xdr:colOff>
          <xdr:row>7</xdr:row>
          <xdr:rowOff>85725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xmlns="" id="{00000000-0008-0000-04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xmlns="" id="{00000000-0008-0000-04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xmlns="" id="{00000000-0008-0000-04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6</xdr:row>
          <xdr:rowOff>133350</xdr:rowOff>
        </xdr:from>
        <xdr:to>
          <xdr:col>9</xdr:col>
          <xdr:colOff>28575</xdr:colOff>
          <xdr:row>8</xdr:row>
          <xdr:rowOff>85725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xmlns="" id="{00000000-0008-0000-04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xmlns="" id="{00000000-0008-0000-04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xmlns="" id="{00000000-0008-0000-04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6</xdr:row>
          <xdr:rowOff>133350</xdr:rowOff>
        </xdr:from>
        <xdr:to>
          <xdr:col>10</xdr:col>
          <xdr:colOff>28575</xdr:colOff>
          <xdr:row>8</xdr:row>
          <xdr:rowOff>85725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xmlns="" id="{00000000-0008-0000-04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xmlns="" id="{00000000-0008-0000-04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xmlns="" id="{00000000-0008-0000-04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7</xdr:row>
          <xdr:rowOff>133350</xdr:rowOff>
        </xdr:from>
        <xdr:to>
          <xdr:col>9</xdr:col>
          <xdr:colOff>28575</xdr:colOff>
          <xdr:row>9</xdr:row>
          <xdr:rowOff>85725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xmlns="" id="{00000000-0008-0000-04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xmlns="" id="{00000000-0008-0000-04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xmlns="" id="{00000000-0008-0000-04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7</xdr:row>
          <xdr:rowOff>133350</xdr:rowOff>
        </xdr:from>
        <xdr:to>
          <xdr:col>10</xdr:col>
          <xdr:colOff>28575</xdr:colOff>
          <xdr:row>9</xdr:row>
          <xdr:rowOff>85725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xmlns="" id="{00000000-0008-0000-04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xmlns="" id="{00000000-0008-0000-04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xmlns="" id="{00000000-0008-0000-04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8</xdr:row>
          <xdr:rowOff>133350</xdr:rowOff>
        </xdr:from>
        <xdr:to>
          <xdr:col>9</xdr:col>
          <xdr:colOff>28575</xdr:colOff>
          <xdr:row>10</xdr:row>
          <xdr:rowOff>85725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xmlns="" id="{00000000-0008-0000-04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xmlns="" id="{00000000-0008-0000-04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xmlns="" id="{00000000-0008-0000-04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8</xdr:row>
          <xdr:rowOff>133350</xdr:rowOff>
        </xdr:from>
        <xdr:to>
          <xdr:col>10</xdr:col>
          <xdr:colOff>28575</xdr:colOff>
          <xdr:row>10</xdr:row>
          <xdr:rowOff>85725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xmlns="" id="{00000000-0008-0000-04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xmlns="" id="{00000000-0008-0000-04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xmlns="" id="{00000000-0008-0000-04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12</xdr:row>
          <xdr:rowOff>133350</xdr:rowOff>
        </xdr:from>
        <xdr:to>
          <xdr:col>9</xdr:col>
          <xdr:colOff>28575</xdr:colOff>
          <xdr:row>14</xdr:row>
          <xdr:rowOff>85725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xmlns="" id="{00000000-0008-0000-04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xmlns="" id="{00000000-0008-0000-04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xmlns="" id="{00000000-0008-0000-04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12</xdr:row>
          <xdr:rowOff>133350</xdr:rowOff>
        </xdr:from>
        <xdr:to>
          <xdr:col>10</xdr:col>
          <xdr:colOff>28575</xdr:colOff>
          <xdr:row>14</xdr:row>
          <xdr:rowOff>85725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xmlns="" id="{00000000-0008-0000-04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xmlns="" id="{00000000-0008-0000-04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xmlns="" id="{00000000-0008-0000-04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13</xdr:row>
          <xdr:rowOff>133350</xdr:rowOff>
        </xdr:from>
        <xdr:to>
          <xdr:col>9</xdr:col>
          <xdr:colOff>28575</xdr:colOff>
          <xdr:row>15</xdr:row>
          <xdr:rowOff>85725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xmlns="" id="{00000000-0008-0000-04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xmlns="" id="{00000000-0008-0000-04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xmlns="" id="{00000000-0008-0000-04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13</xdr:row>
          <xdr:rowOff>133350</xdr:rowOff>
        </xdr:from>
        <xdr:to>
          <xdr:col>10</xdr:col>
          <xdr:colOff>28575</xdr:colOff>
          <xdr:row>15</xdr:row>
          <xdr:rowOff>85725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xmlns="" id="{00000000-0008-0000-04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xmlns="" id="{00000000-0008-0000-04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xmlns="" id="{00000000-0008-0000-04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9</xdr:row>
          <xdr:rowOff>133350</xdr:rowOff>
        </xdr:from>
        <xdr:to>
          <xdr:col>9</xdr:col>
          <xdr:colOff>28575</xdr:colOff>
          <xdr:row>11</xdr:row>
          <xdr:rowOff>85725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xmlns="" id="{00000000-0008-0000-04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xmlns="" id="{00000000-0008-0000-04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xmlns="" id="{00000000-0008-0000-04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9</xdr:row>
          <xdr:rowOff>133350</xdr:rowOff>
        </xdr:from>
        <xdr:to>
          <xdr:col>10</xdr:col>
          <xdr:colOff>28575</xdr:colOff>
          <xdr:row>11</xdr:row>
          <xdr:rowOff>85725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xmlns="" id="{00000000-0008-0000-04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xmlns="" id="{00000000-0008-0000-04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xmlns="" id="{00000000-0008-0000-04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10</xdr:row>
          <xdr:rowOff>133350</xdr:rowOff>
        </xdr:from>
        <xdr:to>
          <xdr:col>9</xdr:col>
          <xdr:colOff>28575</xdr:colOff>
          <xdr:row>12</xdr:row>
          <xdr:rowOff>85725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xmlns="" id="{00000000-0008-0000-04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xmlns="" id="{00000000-0008-0000-04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xmlns="" id="{00000000-0008-0000-04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10</xdr:row>
          <xdr:rowOff>133350</xdr:rowOff>
        </xdr:from>
        <xdr:to>
          <xdr:col>10</xdr:col>
          <xdr:colOff>28575</xdr:colOff>
          <xdr:row>12</xdr:row>
          <xdr:rowOff>85725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xmlns="" id="{00000000-0008-0000-04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xmlns="" id="{00000000-0008-0000-04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xmlns="" id="{00000000-0008-0000-04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11</xdr:row>
          <xdr:rowOff>133350</xdr:rowOff>
        </xdr:from>
        <xdr:to>
          <xdr:col>4</xdr:col>
          <xdr:colOff>28575</xdr:colOff>
          <xdr:row>13</xdr:row>
          <xdr:rowOff>85725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xmlns="" id="{00000000-0008-0000-04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xmlns="" id="{00000000-0008-0000-04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11</xdr:row>
          <xdr:rowOff>133350</xdr:rowOff>
        </xdr:from>
        <xdr:to>
          <xdr:col>5</xdr:col>
          <xdr:colOff>28575</xdr:colOff>
          <xdr:row>13</xdr:row>
          <xdr:rowOff>85725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xmlns="" id="{00000000-0008-0000-04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xmlns="" id="{00000000-0008-0000-04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114300</xdr:colOff>
          <xdr:row>11</xdr:row>
          <xdr:rowOff>133350</xdr:rowOff>
        </xdr:from>
        <xdr:to>
          <xdr:col>6</xdr:col>
          <xdr:colOff>28575</xdr:colOff>
          <xdr:row>13</xdr:row>
          <xdr:rowOff>85725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xmlns="" id="{00000000-0008-0000-04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xmlns="" id="{00000000-0008-0000-04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xmlns="" id="{00000000-0008-0000-04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11</xdr:row>
          <xdr:rowOff>133350</xdr:rowOff>
        </xdr:from>
        <xdr:to>
          <xdr:col>7</xdr:col>
          <xdr:colOff>28575</xdr:colOff>
          <xdr:row>13</xdr:row>
          <xdr:rowOff>85725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xmlns="" id="{00000000-0008-0000-04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xmlns="" id="{00000000-0008-0000-04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xmlns="" id="{00000000-0008-0000-04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11</xdr:row>
          <xdr:rowOff>133350</xdr:rowOff>
        </xdr:from>
        <xdr:to>
          <xdr:col>8</xdr:col>
          <xdr:colOff>28575</xdr:colOff>
          <xdr:row>13</xdr:row>
          <xdr:rowOff>85725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xmlns="" id="{00000000-0008-0000-04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xmlns="" id="{00000000-0008-0000-04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xmlns="" id="{00000000-0008-0000-04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xmlns="" id="{00000000-0008-0000-04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xmlns="" id="{00000000-0008-0000-04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114300</xdr:colOff>
          <xdr:row>11</xdr:row>
          <xdr:rowOff>133350</xdr:rowOff>
        </xdr:from>
        <xdr:to>
          <xdr:col>11</xdr:col>
          <xdr:colOff>28575</xdr:colOff>
          <xdr:row>13</xdr:row>
          <xdr:rowOff>85725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xmlns="" id="{00000000-0008-0000-04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xmlns="" id="{00000000-0008-0000-04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xmlns="" id="{00000000-0008-0000-04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114300</xdr:colOff>
          <xdr:row>11</xdr:row>
          <xdr:rowOff>133350</xdr:rowOff>
        </xdr:from>
        <xdr:to>
          <xdr:col>9</xdr:col>
          <xdr:colOff>28575</xdr:colOff>
          <xdr:row>13</xdr:row>
          <xdr:rowOff>85725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xmlns="" id="{00000000-0008-0000-04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xmlns="" id="{00000000-0008-0000-04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xmlns="" id="{00000000-0008-0000-04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11</xdr:row>
          <xdr:rowOff>133350</xdr:rowOff>
        </xdr:from>
        <xdr:to>
          <xdr:col>10</xdr:col>
          <xdr:colOff>28575</xdr:colOff>
          <xdr:row>13</xdr:row>
          <xdr:rowOff>85725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xmlns="" id="{00000000-0008-0000-04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0</xdr:row>
          <xdr:rowOff>133350</xdr:rowOff>
        </xdr:from>
        <xdr:to>
          <xdr:col>2</xdr:col>
          <xdr:colOff>28575</xdr:colOff>
          <xdr:row>2</xdr:row>
          <xdr:rowOff>85725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xmlns="" id="{00000000-0008-0000-04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xmlns="" id="{00000000-0008-0000-04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xmlns="" id="{00000000-0008-0000-04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xmlns="" id="{00000000-0008-0000-04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xmlns="" id="{00000000-0008-0000-04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xmlns="" id="{00000000-0008-0000-04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xmlns="" id="{00000000-0008-0000-04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xmlns="" id="{00000000-0008-0000-04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xmlns="" id="{00000000-0008-0000-04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xmlns="" id="{00000000-0008-0000-04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xmlns="" id="{00000000-0008-0000-04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  <a:ext uri="{FF2B5EF4-FFF2-40B4-BE49-F238E27FC236}">
                  <a16:creationId xmlns:a16="http://schemas.microsoft.com/office/drawing/2014/main" xmlns="" id="{00000000-0008-0000-0400-00009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  <a:ext uri="{FF2B5EF4-FFF2-40B4-BE49-F238E27FC236}">
                  <a16:creationId xmlns:a16="http://schemas.microsoft.com/office/drawing/2014/main" xmlns="" id="{00000000-0008-0000-0400-00009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  <a:ext uri="{FF2B5EF4-FFF2-40B4-BE49-F238E27FC236}">
                  <a16:creationId xmlns:a16="http://schemas.microsoft.com/office/drawing/2014/main" xmlns="" id="{00000000-0008-0000-0400-00009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  <a:ext uri="{FF2B5EF4-FFF2-40B4-BE49-F238E27FC236}">
                  <a16:creationId xmlns:a16="http://schemas.microsoft.com/office/drawing/2014/main" xmlns="" id="{00000000-0008-0000-0400-00009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  <a:ext uri="{FF2B5EF4-FFF2-40B4-BE49-F238E27FC236}">
                  <a16:creationId xmlns:a16="http://schemas.microsoft.com/office/drawing/2014/main" xmlns="" id="{00000000-0008-0000-0400-00009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  <a:ext uri="{FF2B5EF4-FFF2-40B4-BE49-F238E27FC236}">
                  <a16:creationId xmlns:a16="http://schemas.microsoft.com/office/drawing/2014/main" xmlns="" id="{00000000-0008-0000-0400-00009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  <a:ext uri="{FF2B5EF4-FFF2-40B4-BE49-F238E27FC236}">
                  <a16:creationId xmlns:a16="http://schemas.microsoft.com/office/drawing/2014/main" xmlns="" id="{00000000-0008-0000-0400-00009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  <a:ext uri="{FF2B5EF4-FFF2-40B4-BE49-F238E27FC236}">
                  <a16:creationId xmlns:a16="http://schemas.microsoft.com/office/drawing/2014/main" xmlns="" id="{00000000-0008-0000-0400-00009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  <a:ext uri="{FF2B5EF4-FFF2-40B4-BE49-F238E27FC236}">
                  <a16:creationId xmlns:a16="http://schemas.microsoft.com/office/drawing/2014/main" xmlns="" id="{00000000-0008-0000-0400-00009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  <a:ext uri="{FF2B5EF4-FFF2-40B4-BE49-F238E27FC236}">
                  <a16:creationId xmlns:a16="http://schemas.microsoft.com/office/drawing/2014/main" xmlns="" id="{00000000-0008-0000-0400-00009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</xdr:row>
          <xdr:rowOff>133350</xdr:rowOff>
        </xdr:from>
        <xdr:to>
          <xdr:col>2</xdr:col>
          <xdr:colOff>28575</xdr:colOff>
          <xdr:row>3</xdr:row>
          <xdr:rowOff>85725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  <a:ext uri="{FF2B5EF4-FFF2-40B4-BE49-F238E27FC236}">
                  <a16:creationId xmlns:a16="http://schemas.microsoft.com/office/drawing/2014/main" xmlns="" id="{00000000-0008-0000-0400-00009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2</xdr:row>
          <xdr:rowOff>133350</xdr:rowOff>
        </xdr:from>
        <xdr:to>
          <xdr:col>2</xdr:col>
          <xdr:colOff>28575</xdr:colOff>
          <xdr:row>4</xdr:row>
          <xdr:rowOff>85725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  <a:ext uri="{FF2B5EF4-FFF2-40B4-BE49-F238E27FC236}">
                  <a16:creationId xmlns:a16="http://schemas.microsoft.com/office/drawing/2014/main" xmlns="" id="{00000000-0008-0000-0400-00009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3</xdr:row>
          <xdr:rowOff>133350</xdr:rowOff>
        </xdr:from>
        <xdr:to>
          <xdr:col>2</xdr:col>
          <xdr:colOff>28575</xdr:colOff>
          <xdr:row>5</xdr:row>
          <xdr:rowOff>85725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  <a:ext uri="{FF2B5EF4-FFF2-40B4-BE49-F238E27FC236}">
                  <a16:creationId xmlns:a16="http://schemas.microsoft.com/office/drawing/2014/main" xmlns="" id="{00000000-0008-0000-0400-00009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4</xdr:row>
          <xdr:rowOff>133350</xdr:rowOff>
        </xdr:from>
        <xdr:to>
          <xdr:col>2</xdr:col>
          <xdr:colOff>28575</xdr:colOff>
          <xdr:row>6</xdr:row>
          <xdr:rowOff>85725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xmlns="" id="{00000000-0008-0000-04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133350</xdr:rowOff>
        </xdr:from>
        <xdr:to>
          <xdr:col>2</xdr:col>
          <xdr:colOff>28575</xdr:colOff>
          <xdr:row>7</xdr:row>
          <xdr:rowOff>85725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  <a:ext uri="{FF2B5EF4-FFF2-40B4-BE49-F238E27FC236}">
                  <a16:creationId xmlns:a16="http://schemas.microsoft.com/office/drawing/2014/main" xmlns="" id="{00000000-0008-0000-0400-00009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6</xdr:row>
          <xdr:rowOff>133350</xdr:rowOff>
        </xdr:from>
        <xdr:to>
          <xdr:col>2</xdr:col>
          <xdr:colOff>28575</xdr:colOff>
          <xdr:row>8</xdr:row>
          <xdr:rowOff>85725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  <a:ext uri="{FF2B5EF4-FFF2-40B4-BE49-F238E27FC236}">
                  <a16:creationId xmlns:a16="http://schemas.microsoft.com/office/drawing/2014/main" xmlns="" id="{00000000-0008-0000-0400-00009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7</xdr:row>
          <xdr:rowOff>133350</xdr:rowOff>
        </xdr:from>
        <xdr:to>
          <xdr:col>2</xdr:col>
          <xdr:colOff>28575</xdr:colOff>
          <xdr:row>9</xdr:row>
          <xdr:rowOff>85725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  <a:ext uri="{FF2B5EF4-FFF2-40B4-BE49-F238E27FC236}">
                  <a16:creationId xmlns:a16="http://schemas.microsoft.com/office/drawing/2014/main" xmlns="" id="{00000000-0008-0000-0400-0000A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8</xdr:row>
          <xdr:rowOff>133350</xdr:rowOff>
        </xdr:from>
        <xdr:to>
          <xdr:col>2</xdr:col>
          <xdr:colOff>28575</xdr:colOff>
          <xdr:row>10</xdr:row>
          <xdr:rowOff>85725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  <a:ext uri="{FF2B5EF4-FFF2-40B4-BE49-F238E27FC236}">
                  <a16:creationId xmlns:a16="http://schemas.microsoft.com/office/drawing/2014/main" xmlns="" id="{00000000-0008-0000-0400-0000A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133350</xdr:rowOff>
        </xdr:from>
        <xdr:to>
          <xdr:col>2</xdr:col>
          <xdr:colOff>28575</xdr:colOff>
          <xdr:row>14</xdr:row>
          <xdr:rowOff>85725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  <a:ext uri="{FF2B5EF4-FFF2-40B4-BE49-F238E27FC236}">
                  <a16:creationId xmlns:a16="http://schemas.microsoft.com/office/drawing/2014/main" xmlns="" id="{00000000-0008-0000-0400-0000A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13</xdr:row>
          <xdr:rowOff>133350</xdr:rowOff>
        </xdr:from>
        <xdr:to>
          <xdr:col>2</xdr:col>
          <xdr:colOff>28575</xdr:colOff>
          <xdr:row>15</xdr:row>
          <xdr:rowOff>85725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  <a:ext uri="{FF2B5EF4-FFF2-40B4-BE49-F238E27FC236}">
                  <a16:creationId xmlns:a16="http://schemas.microsoft.com/office/drawing/2014/main" xmlns="" id="{00000000-0008-0000-0400-0000A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  <a:ext uri="{FF2B5EF4-FFF2-40B4-BE49-F238E27FC236}">
                  <a16:creationId xmlns:a16="http://schemas.microsoft.com/office/drawing/2014/main" xmlns="" id="{00000000-0008-0000-0400-0000A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  <a:ext uri="{FF2B5EF4-FFF2-40B4-BE49-F238E27FC236}">
                  <a16:creationId xmlns:a16="http://schemas.microsoft.com/office/drawing/2014/main" xmlns="" id="{00000000-0008-0000-0400-0000A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9</xdr:row>
          <xdr:rowOff>133350</xdr:rowOff>
        </xdr:from>
        <xdr:to>
          <xdr:col>2</xdr:col>
          <xdr:colOff>28575</xdr:colOff>
          <xdr:row>11</xdr:row>
          <xdr:rowOff>85725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  <a:ext uri="{FF2B5EF4-FFF2-40B4-BE49-F238E27FC236}">
                  <a16:creationId xmlns:a16="http://schemas.microsoft.com/office/drawing/2014/main" xmlns="" id="{00000000-0008-0000-0400-0000A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  <a:ext uri="{FF2B5EF4-FFF2-40B4-BE49-F238E27FC236}">
                  <a16:creationId xmlns:a16="http://schemas.microsoft.com/office/drawing/2014/main" xmlns="" id="{00000000-0008-0000-0400-0000A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  <a:ext uri="{FF2B5EF4-FFF2-40B4-BE49-F238E27FC236}">
                  <a16:creationId xmlns:a16="http://schemas.microsoft.com/office/drawing/2014/main" xmlns="" id="{00000000-0008-0000-0400-0000A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10</xdr:row>
          <xdr:rowOff>133350</xdr:rowOff>
        </xdr:from>
        <xdr:to>
          <xdr:col>2</xdr:col>
          <xdr:colOff>28575</xdr:colOff>
          <xdr:row>12</xdr:row>
          <xdr:rowOff>85725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  <a:ext uri="{FF2B5EF4-FFF2-40B4-BE49-F238E27FC236}">
                  <a16:creationId xmlns:a16="http://schemas.microsoft.com/office/drawing/2014/main" xmlns="" id="{00000000-0008-0000-0400-0000A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  <a:ext uri="{FF2B5EF4-FFF2-40B4-BE49-F238E27FC236}">
                  <a16:creationId xmlns:a16="http://schemas.microsoft.com/office/drawing/2014/main" xmlns="" id="{00000000-0008-0000-0400-0000A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  <a:ext uri="{FF2B5EF4-FFF2-40B4-BE49-F238E27FC236}">
                  <a16:creationId xmlns:a16="http://schemas.microsoft.com/office/drawing/2014/main" xmlns="" id="{00000000-0008-0000-0400-0000A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11</xdr:row>
          <xdr:rowOff>133350</xdr:rowOff>
        </xdr:from>
        <xdr:to>
          <xdr:col>2</xdr:col>
          <xdr:colOff>28575</xdr:colOff>
          <xdr:row>13</xdr:row>
          <xdr:rowOff>85725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  <a:ext uri="{FF2B5EF4-FFF2-40B4-BE49-F238E27FC236}">
                  <a16:creationId xmlns:a16="http://schemas.microsoft.com/office/drawing/2014/main" xmlns="" id="{00000000-0008-0000-0400-0000A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0</xdr:row>
          <xdr:rowOff>133350</xdr:rowOff>
        </xdr:from>
        <xdr:to>
          <xdr:col>3</xdr:col>
          <xdr:colOff>28575</xdr:colOff>
          <xdr:row>2</xdr:row>
          <xdr:rowOff>85725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  <a:ext uri="{FF2B5EF4-FFF2-40B4-BE49-F238E27FC236}">
                  <a16:creationId xmlns:a16="http://schemas.microsoft.com/office/drawing/2014/main" xmlns="" id="{00000000-0008-0000-0400-0000A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  <a:ext uri="{FF2B5EF4-FFF2-40B4-BE49-F238E27FC236}">
                  <a16:creationId xmlns:a16="http://schemas.microsoft.com/office/drawing/2014/main" xmlns="" id="{00000000-0008-0000-0400-0000A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  <a:ext uri="{FF2B5EF4-FFF2-40B4-BE49-F238E27FC236}">
                  <a16:creationId xmlns:a16="http://schemas.microsoft.com/office/drawing/2014/main" xmlns="" id="{00000000-0008-0000-0400-0000A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  <a:ext uri="{FF2B5EF4-FFF2-40B4-BE49-F238E27FC236}">
                  <a16:creationId xmlns:a16="http://schemas.microsoft.com/office/drawing/2014/main" xmlns="" id="{00000000-0008-0000-0400-0000B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  <a:ext uri="{FF2B5EF4-FFF2-40B4-BE49-F238E27FC236}">
                  <a16:creationId xmlns:a16="http://schemas.microsoft.com/office/drawing/2014/main" xmlns="" id="{00000000-0008-0000-0400-0000B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  <a:ext uri="{FF2B5EF4-FFF2-40B4-BE49-F238E27FC236}">
                  <a16:creationId xmlns:a16="http://schemas.microsoft.com/office/drawing/2014/main" xmlns="" id="{00000000-0008-0000-0400-0000B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  <a:ext uri="{FF2B5EF4-FFF2-40B4-BE49-F238E27FC236}">
                  <a16:creationId xmlns:a16="http://schemas.microsoft.com/office/drawing/2014/main" xmlns="" id="{00000000-0008-0000-0400-0000B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  <a:ext uri="{FF2B5EF4-FFF2-40B4-BE49-F238E27FC236}">
                  <a16:creationId xmlns:a16="http://schemas.microsoft.com/office/drawing/2014/main" xmlns="" id="{00000000-0008-0000-0400-0000B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  <a:ext uri="{FF2B5EF4-FFF2-40B4-BE49-F238E27FC236}">
                  <a16:creationId xmlns:a16="http://schemas.microsoft.com/office/drawing/2014/main" xmlns="" id="{00000000-0008-0000-0400-0000B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  <a:ext uri="{FF2B5EF4-FFF2-40B4-BE49-F238E27FC236}">
                  <a16:creationId xmlns:a16="http://schemas.microsoft.com/office/drawing/2014/main" xmlns="" id="{00000000-0008-0000-0400-0000B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  <a:ext uri="{FF2B5EF4-FFF2-40B4-BE49-F238E27FC236}">
                  <a16:creationId xmlns:a16="http://schemas.microsoft.com/office/drawing/2014/main" xmlns="" id="{00000000-0008-0000-0400-0000B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  <a:ext uri="{FF2B5EF4-FFF2-40B4-BE49-F238E27FC236}">
                  <a16:creationId xmlns:a16="http://schemas.microsoft.com/office/drawing/2014/main" xmlns="" id="{00000000-0008-0000-0400-0000B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  <a:ext uri="{FF2B5EF4-FFF2-40B4-BE49-F238E27FC236}">
                  <a16:creationId xmlns:a16="http://schemas.microsoft.com/office/drawing/2014/main" xmlns="" id="{00000000-0008-0000-0400-0000B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  <a:ext uri="{FF2B5EF4-FFF2-40B4-BE49-F238E27FC236}">
                  <a16:creationId xmlns:a16="http://schemas.microsoft.com/office/drawing/2014/main" xmlns="" id="{00000000-0008-0000-0400-0000B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  <a:ext uri="{FF2B5EF4-FFF2-40B4-BE49-F238E27FC236}">
                  <a16:creationId xmlns:a16="http://schemas.microsoft.com/office/drawing/2014/main" xmlns="" id="{00000000-0008-0000-0400-0000B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  <a:ext uri="{FF2B5EF4-FFF2-40B4-BE49-F238E27FC236}">
                  <a16:creationId xmlns:a16="http://schemas.microsoft.com/office/drawing/2014/main" xmlns="" id="{00000000-0008-0000-0400-0000B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  <a:ext uri="{FF2B5EF4-FFF2-40B4-BE49-F238E27FC236}">
                  <a16:creationId xmlns:a16="http://schemas.microsoft.com/office/drawing/2014/main" xmlns="" id="{00000000-0008-0000-0400-0000B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  <a:ext uri="{FF2B5EF4-FFF2-40B4-BE49-F238E27FC236}">
                  <a16:creationId xmlns:a16="http://schemas.microsoft.com/office/drawing/2014/main" xmlns="" id="{00000000-0008-0000-0400-0000B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  <a:ext uri="{FF2B5EF4-FFF2-40B4-BE49-F238E27FC236}">
                  <a16:creationId xmlns:a16="http://schemas.microsoft.com/office/drawing/2014/main" xmlns="" id="{00000000-0008-0000-0400-0000B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  <a:ext uri="{FF2B5EF4-FFF2-40B4-BE49-F238E27FC236}">
                  <a16:creationId xmlns:a16="http://schemas.microsoft.com/office/drawing/2014/main" xmlns="" id="{00000000-0008-0000-0400-0000C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  <a:ext uri="{FF2B5EF4-FFF2-40B4-BE49-F238E27FC236}">
                  <a16:creationId xmlns:a16="http://schemas.microsoft.com/office/drawing/2014/main" xmlns="" id="{00000000-0008-0000-0400-0000C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</xdr:row>
          <xdr:rowOff>133350</xdr:rowOff>
        </xdr:from>
        <xdr:to>
          <xdr:col>3</xdr:col>
          <xdr:colOff>28575</xdr:colOff>
          <xdr:row>3</xdr:row>
          <xdr:rowOff>85725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  <a:ext uri="{FF2B5EF4-FFF2-40B4-BE49-F238E27FC236}">
                  <a16:creationId xmlns:a16="http://schemas.microsoft.com/office/drawing/2014/main" xmlns="" id="{00000000-0008-0000-0400-0000C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133350</xdr:rowOff>
        </xdr:from>
        <xdr:to>
          <xdr:col>3</xdr:col>
          <xdr:colOff>28575</xdr:colOff>
          <xdr:row>4</xdr:row>
          <xdr:rowOff>85725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  <a:ext uri="{FF2B5EF4-FFF2-40B4-BE49-F238E27FC236}">
                  <a16:creationId xmlns:a16="http://schemas.microsoft.com/office/drawing/2014/main" xmlns="" id="{00000000-0008-0000-0400-0000C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133350</xdr:rowOff>
        </xdr:from>
        <xdr:to>
          <xdr:col>3</xdr:col>
          <xdr:colOff>28575</xdr:colOff>
          <xdr:row>5</xdr:row>
          <xdr:rowOff>85725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  <a:ext uri="{FF2B5EF4-FFF2-40B4-BE49-F238E27FC236}">
                  <a16:creationId xmlns:a16="http://schemas.microsoft.com/office/drawing/2014/main" xmlns="" id="{00000000-0008-0000-0400-0000C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133350</xdr:rowOff>
        </xdr:from>
        <xdr:to>
          <xdr:col>3</xdr:col>
          <xdr:colOff>28575</xdr:colOff>
          <xdr:row>6</xdr:row>
          <xdr:rowOff>85725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  <a:ext uri="{FF2B5EF4-FFF2-40B4-BE49-F238E27FC236}">
                  <a16:creationId xmlns:a16="http://schemas.microsoft.com/office/drawing/2014/main" xmlns="" id="{00000000-0008-0000-0400-0000C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5</xdr:row>
          <xdr:rowOff>133350</xdr:rowOff>
        </xdr:from>
        <xdr:to>
          <xdr:col>3</xdr:col>
          <xdr:colOff>28575</xdr:colOff>
          <xdr:row>7</xdr:row>
          <xdr:rowOff>85725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  <a:ext uri="{FF2B5EF4-FFF2-40B4-BE49-F238E27FC236}">
                  <a16:creationId xmlns:a16="http://schemas.microsoft.com/office/drawing/2014/main" xmlns="" id="{00000000-0008-0000-0400-0000C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6</xdr:row>
          <xdr:rowOff>133350</xdr:rowOff>
        </xdr:from>
        <xdr:to>
          <xdr:col>3</xdr:col>
          <xdr:colOff>28575</xdr:colOff>
          <xdr:row>8</xdr:row>
          <xdr:rowOff>85725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  <a:ext uri="{FF2B5EF4-FFF2-40B4-BE49-F238E27FC236}">
                  <a16:creationId xmlns:a16="http://schemas.microsoft.com/office/drawing/2014/main" xmlns="" id="{00000000-0008-0000-0400-0000C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7</xdr:row>
          <xdr:rowOff>133350</xdr:rowOff>
        </xdr:from>
        <xdr:to>
          <xdr:col>3</xdr:col>
          <xdr:colOff>28575</xdr:colOff>
          <xdr:row>9</xdr:row>
          <xdr:rowOff>85725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  <a:ext uri="{FF2B5EF4-FFF2-40B4-BE49-F238E27FC236}">
                  <a16:creationId xmlns:a16="http://schemas.microsoft.com/office/drawing/2014/main" xmlns="" id="{00000000-0008-0000-0400-0000C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8</xdr:row>
          <xdr:rowOff>133350</xdr:rowOff>
        </xdr:from>
        <xdr:to>
          <xdr:col>3</xdr:col>
          <xdr:colOff>28575</xdr:colOff>
          <xdr:row>10</xdr:row>
          <xdr:rowOff>85725</xdr:rowOff>
        </xdr:to>
        <xdr:sp macro="" textlink="">
          <xdr:nvSpPr>
            <xdr:cNvPr id="1481" name="Check Box 457" hidden="1">
              <a:extLst>
                <a:ext uri="{63B3BB69-23CF-44E3-9099-C40C66FF867C}">
                  <a14:compatExt spid="_x0000_s1481"/>
                </a:ext>
                <a:ext uri="{FF2B5EF4-FFF2-40B4-BE49-F238E27FC236}">
                  <a16:creationId xmlns:a16="http://schemas.microsoft.com/office/drawing/2014/main" xmlns="" id="{00000000-0008-0000-0400-0000C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12</xdr:row>
          <xdr:rowOff>133350</xdr:rowOff>
        </xdr:from>
        <xdr:to>
          <xdr:col>3</xdr:col>
          <xdr:colOff>28575</xdr:colOff>
          <xdr:row>14</xdr:row>
          <xdr:rowOff>85725</xdr:rowOff>
        </xdr:to>
        <xdr:sp macro="" textlink="">
          <xdr:nvSpPr>
            <xdr:cNvPr id="1482" name="Check Box 458" hidden="1">
              <a:extLst>
                <a:ext uri="{63B3BB69-23CF-44E3-9099-C40C66FF867C}">
                  <a14:compatExt spid="_x0000_s1482"/>
                </a:ext>
                <a:ext uri="{FF2B5EF4-FFF2-40B4-BE49-F238E27FC236}">
                  <a16:creationId xmlns:a16="http://schemas.microsoft.com/office/drawing/2014/main" xmlns="" id="{00000000-0008-0000-0400-0000C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13</xdr:row>
          <xdr:rowOff>133350</xdr:rowOff>
        </xdr:from>
        <xdr:to>
          <xdr:col>3</xdr:col>
          <xdr:colOff>28575</xdr:colOff>
          <xdr:row>15</xdr:row>
          <xdr:rowOff>85725</xdr:rowOff>
        </xdr:to>
        <xdr:sp macro="" textlink="">
          <xdr:nvSpPr>
            <xdr:cNvPr id="1483" name="Check Box 459" hidden="1">
              <a:extLst>
                <a:ext uri="{63B3BB69-23CF-44E3-9099-C40C66FF867C}">
                  <a14:compatExt spid="_x0000_s1483"/>
                </a:ext>
                <a:ext uri="{FF2B5EF4-FFF2-40B4-BE49-F238E27FC236}">
                  <a16:creationId xmlns:a16="http://schemas.microsoft.com/office/drawing/2014/main" xmlns="" id="{00000000-0008-0000-0400-0000C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4" name="Check Box 460" hidden="1">
              <a:extLst>
                <a:ext uri="{63B3BB69-23CF-44E3-9099-C40C66FF867C}">
                  <a14:compatExt spid="_x0000_s1484"/>
                </a:ext>
                <a:ext uri="{FF2B5EF4-FFF2-40B4-BE49-F238E27FC236}">
                  <a16:creationId xmlns:a16="http://schemas.microsoft.com/office/drawing/2014/main" xmlns="" id="{00000000-0008-0000-0400-0000C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5" name="Check Box 461" hidden="1">
              <a:extLst>
                <a:ext uri="{63B3BB69-23CF-44E3-9099-C40C66FF867C}">
                  <a14:compatExt spid="_x0000_s1485"/>
                </a:ext>
                <a:ext uri="{FF2B5EF4-FFF2-40B4-BE49-F238E27FC236}">
                  <a16:creationId xmlns:a16="http://schemas.microsoft.com/office/drawing/2014/main" xmlns="" id="{00000000-0008-0000-0400-0000C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9</xdr:row>
          <xdr:rowOff>133350</xdr:rowOff>
        </xdr:from>
        <xdr:to>
          <xdr:col>3</xdr:col>
          <xdr:colOff>28575</xdr:colOff>
          <xdr:row>11</xdr:row>
          <xdr:rowOff>85725</xdr:rowOff>
        </xdr:to>
        <xdr:sp macro="" textlink="">
          <xdr:nvSpPr>
            <xdr:cNvPr id="1486" name="Check Box 462" hidden="1">
              <a:extLst>
                <a:ext uri="{63B3BB69-23CF-44E3-9099-C40C66FF867C}">
                  <a14:compatExt spid="_x0000_s1486"/>
                </a:ext>
                <a:ext uri="{FF2B5EF4-FFF2-40B4-BE49-F238E27FC236}">
                  <a16:creationId xmlns:a16="http://schemas.microsoft.com/office/drawing/2014/main" xmlns="" id="{00000000-0008-0000-0400-0000C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7" name="Check Box 463" hidden="1">
              <a:extLst>
                <a:ext uri="{63B3BB69-23CF-44E3-9099-C40C66FF867C}">
                  <a14:compatExt spid="_x0000_s1487"/>
                </a:ext>
                <a:ext uri="{FF2B5EF4-FFF2-40B4-BE49-F238E27FC236}">
                  <a16:creationId xmlns:a16="http://schemas.microsoft.com/office/drawing/2014/main" xmlns="" id="{00000000-0008-0000-0400-0000C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8" name="Check Box 464" hidden="1">
              <a:extLst>
                <a:ext uri="{63B3BB69-23CF-44E3-9099-C40C66FF867C}">
                  <a14:compatExt spid="_x0000_s1488"/>
                </a:ext>
                <a:ext uri="{FF2B5EF4-FFF2-40B4-BE49-F238E27FC236}">
                  <a16:creationId xmlns:a16="http://schemas.microsoft.com/office/drawing/2014/main" xmlns="" id="{00000000-0008-0000-0400-0000D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10</xdr:row>
          <xdr:rowOff>133350</xdr:rowOff>
        </xdr:from>
        <xdr:to>
          <xdr:col>3</xdr:col>
          <xdr:colOff>28575</xdr:colOff>
          <xdr:row>12</xdr:row>
          <xdr:rowOff>85725</xdr:rowOff>
        </xdr:to>
        <xdr:sp macro="" textlink="">
          <xdr:nvSpPr>
            <xdr:cNvPr id="1489" name="Check Box 465" hidden="1">
              <a:extLst>
                <a:ext uri="{63B3BB69-23CF-44E3-9099-C40C66FF867C}">
                  <a14:compatExt spid="_x0000_s1489"/>
                </a:ext>
                <a:ext uri="{FF2B5EF4-FFF2-40B4-BE49-F238E27FC236}">
                  <a16:creationId xmlns:a16="http://schemas.microsoft.com/office/drawing/2014/main" xmlns="" id="{00000000-0008-0000-0400-0000D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0" name="Check Box 466" hidden="1">
              <a:extLst>
                <a:ext uri="{63B3BB69-23CF-44E3-9099-C40C66FF867C}">
                  <a14:compatExt spid="_x0000_s1490"/>
                </a:ext>
                <a:ext uri="{FF2B5EF4-FFF2-40B4-BE49-F238E27FC236}">
                  <a16:creationId xmlns:a16="http://schemas.microsoft.com/office/drawing/2014/main" xmlns="" id="{00000000-0008-0000-0400-0000D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1" name="Check Box 467" hidden="1">
              <a:extLst>
                <a:ext uri="{63B3BB69-23CF-44E3-9099-C40C66FF867C}">
                  <a14:compatExt spid="_x0000_s1491"/>
                </a:ext>
                <a:ext uri="{FF2B5EF4-FFF2-40B4-BE49-F238E27FC236}">
                  <a16:creationId xmlns:a16="http://schemas.microsoft.com/office/drawing/2014/main" xmlns="" id="{00000000-0008-0000-0400-0000D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11</xdr:row>
          <xdr:rowOff>133350</xdr:rowOff>
        </xdr:from>
        <xdr:to>
          <xdr:col>3</xdr:col>
          <xdr:colOff>28575</xdr:colOff>
          <xdr:row>13</xdr:row>
          <xdr:rowOff>85725</xdr:rowOff>
        </xdr:to>
        <xdr:sp macro="" textlink="">
          <xdr:nvSpPr>
            <xdr:cNvPr id="1492" name="Check Box 468" hidden="1">
              <a:extLst>
                <a:ext uri="{63B3BB69-23CF-44E3-9099-C40C66FF867C}">
                  <a14:compatExt spid="_x0000_s1492"/>
                </a:ext>
                <a:ext uri="{FF2B5EF4-FFF2-40B4-BE49-F238E27FC236}">
                  <a16:creationId xmlns:a16="http://schemas.microsoft.com/office/drawing/2014/main" xmlns="" id="{00000000-0008-0000-0400-0000D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366" Type="http://schemas.openxmlformats.org/officeDocument/2006/relationships/ctrlProp" Target="../ctrlProps/ctrlProp363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377" Type="http://schemas.openxmlformats.org/officeDocument/2006/relationships/ctrlProp" Target="../ctrlProps/ctrlProp374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402" Type="http://schemas.openxmlformats.org/officeDocument/2006/relationships/ctrlProp" Target="../ctrlProps/ctrlProp399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46" Type="http://schemas.openxmlformats.org/officeDocument/2006/relationships/ctrlProp" Target="../ctrlProps/ctrlProp343.xml"/><Relationship Id="rId388" Type="http://schemas.openxmlformats.org/officeDocument/2006/relationships/ctrlProp" Target="../ctrlProps/ctrlProp385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399" Type="http://schemas.openxmlformats.org/officeDocument/2006/relationships/ctrlProp" Target="../ctrlProps/ctrlProp396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390" Type="http://schemas.openxmlformats.org/officeDocument/2006/relationships/ctrlProp" Target="../ctrlProps/ctrlProp387.xml"/><Relationship Id="rId404" Type="http://schemas.openxmlformats.org/officeDocument/2006/relationships/ctrlProp" Target="../ctrlProps/ctrlProp401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370" Type="http://schemas.openxmlformats.org/officeDocument/2006/relationships/ctrlProp" Target="../ctrlProps/ctrlProp367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41" Type="http://schemas.openxmlformats.org/officeDocument/2006/relationships/ctrlProp" Target="../ctrlProps/ctrlProp238.xml"/><Relationship Id="rId36" Type="http://schemas.openxmlformats.org/officeDocument/2006/relationships/ctrlProp" Target="../ctrlProps/ctrlProp33.xml"/><Relationship Id="rId283" Type="http://schemas.openxmlformats.org/officeDocument/2006/relationships/ctrlProp" Target="../ctrlProps/ctrlProp280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101" Type="http://schemas.openxmlformats.org/officeDocument/2006/relationships/ctrlProp" Target="../ctrlProps/ctrlProp98.xml"/><Relationship Id="rId143" Type="http://schemas.openxmlformats.org/officeDocument/2006/relationships/ctrlProp" Target="../ctrlProps/ctrlProp140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406" Type="http://schemas.openxmlformats.org/officeDocument/2006/relationships/ctrlProp" Target="../ctrlProps/ctrlProp403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392" Type="http://schemas.openxmlformats.org/officeDocument/2006/relationships/ctrlProp" Target="../ctrlProps/ctrlProp389.xml"/><Relationship Id="rId252" Type="http://schemas.openxmlformats.org/officeDocument/2006/relationships/ctrlProp" Target="../ctrlProps/ctrlProp249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47" Type="http://schemas.openxmlformats.org/officeDocument/2006/relationships/ctrlProp" Target="../ctrlProps/ctrlProp44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417" Type="http://schemas.openxmlformats.org/officeDocument/2006/relationships/ctrlProp" Target="../ctrlProps/ctrlProp414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63" Type="http://schemas.openxmlformats.org/officeDocument/2006/relationships/ctrlProp" Target="../ctrlProps/ctrlProp260.xml"/><Relationship Id="rId319" Type="http://schemas.openxmlformats.org/officeDocument/2006/relationships/ctrlProp" Target="../ctrlProps/ctrlProp316.xml"/><Relationship Id="rId58" Type="http://schemas.openxmlformats.org/officeDocument/2006/relationships/ctrlProp" Target="../ctrlProps/ctrlProp55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232" Type="http://schemas.openxmlformats.org/officeDocument/2006/relationships/ctrlProp" Target="../ctrlProps/ctrlProp229.xml"/><Relationship Id="rId274" Type="http://schemas.openxmlformats.org/officeDocument/2006/relationships/ctrlProp" Target="../ctrlProps/ctrlProp271.xml"/><Relationship Id="rId27" Type="http://schemas.openxmlformats.org/officeDocument/2006/relationships/ctrlProp" Target="../ctrlProps/ctrlProp24.xml"/><Relationship Id="rId69" Type="http://schemas.openxmlformats.org/officeDocument/2006/relationships/ctrlProp" Target="../ctrlProps/ctrlProp66.xml"/><Relationship Id="rId134" Type="http://schemas.openxmlformats.org/officeDocument/2006/relationships/ctrlProp" Target="../ctrlProps/ctrlProp131.xml"/><Relationship Id="rId80" Type="http://schemas.openxmlformats.org/officeDocument/2006/relationships/ctrlProp" Target="../ctrlProps/ctrlProp77.xml"/><Relationship Id="rId176" Type="http://schemas.openxmlformats.org/officeDocument/2006/relationships/ctrlProp" Target="../ctrlProps/ctrlProp173.xml"/><Relationship Id="rId341" Type="http://schemas.openxmlformats.org/officeDocument/2006/relationships/ctrlProp" Target="../ctrlProps/ctrlProp338.xml"/><Relationship Id="rId383" Type="http://schemas.openxmlformats.org/officeDocument/2006/relationships/ctrlProp" Target="../ctrlProps/ctrlProp380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352" Type="http://schemas.openxmlformats.org/officeDocument/2006/relationships/ctrlProp" Target="../ctrlProps/ctrlProp349.xml"/><Relationship Id="rId373" Type="http://schemas.openxmlformats.org/officeDocument/2006/relationships/ctrlProp" Target="../ctrlProps/ctrlProp370.xml"/><Relationship Id="rId394" Type="http://schemas.openxmlformats.org/officeDocument/2006/relationships/ctrlProp" Target="../ctrlProps/ctrlProp391.xml"/><Relationship Id="rId408" Type="http://schemas.openxmlformats.org/officeDocument/2006/relationships/ctrlProp" Target="../ctrlProps/ctrlProp405.xml"/><Relationship Id="rId1" Type="http://schemas.openxmlformats.org/officeDocument/2006/relationships/printerSettings" Target="../printerSettings/printerSettings3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42" Type="http://schemas.openxmlformats.org/officeDocument/2006/relationships/ctrlProp" Target="../ctrlProps/ctrlProp339.xml"/><Relationship Id="rId363" Type="http://schemas.openxmlformats.org/officeDocument/2006/relationships/ctrlProp" Target="../ctrlProps/ctrlProp360.xml"/><Relationship Id="rId384" Type="http://schemas.openxmlformats.org/officeDocument/2006/relationships/ctrlProp" Target="../ctrlProps/ctrlProp381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353" Type="http://schemas.openxmlformats.org/officeDocument/2006/relationships/ctrlProp" Target="../ctrlProps/ctrlProp350.xml"/><Relationship Id="rId374" Type="http://schemas.openxmlformats.org/officeDocument/2006/relationships/ctrlProp" Target="../ctrlProps/ctrlProp371.xml"/><Relationship Id="rId395" Type="http://schemas.openxmlformats.org/officeDocument/2006/relationships/ctrlProp" Target="../ctrlProps/ctrlProp392.xml"/><Relationship Id="rId409" Type="http://schemas.openxmlformats.org/officeDocument/2006/relationships/ctrlProp" Target="../ctrlProps/ctrlProp406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343" Type="http://schemas.openxmlformats.org/officeDocument/2006/relationships/ctrlProp" Target="../ctrlProps/ctrlProp340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385" Type="http://schemas.openxmlformats.org/officeDocument/2006/relationships/ctrlProp" Target="../ctrlProps/ctrlProp382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410" Type="http://schemas.openxmlformats.org/officeDocument/2006/relationships/ctrlProp" Target="../ctrlProps/ctrlProp407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75" Type="http://schemas.openxmlformats.org/officeDocument/2006/relationships/ctrlProp" Target="../ctrlProps/ctrlProp372.xml"/><Relationship Id="rId396" Type="http://schemas.openxmlformats.org/officeDocument/2006/relationships/ctrlProp" Target="../ctrlProps/ctrlProp393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400" Type="http://schemas.openxmlformats.org/officeDocument/2006/relationships/ctrlProp" Target="../ctrlProps/ctrlProp397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344" Type="http://schemas.openxmlformats.org/officeDocument/2006/relationships/ctrlProp" Target="../ctrlProps/ctrlProp341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65" Type="http://schemas.openxmlformats.org/officeDocument/2006/relationships/ctrlProp" Target="../ctrlProps/ctrlProp362.xml"/><Relationship Id="rId386" Type="http://schemas.openxmlformats.org/officeDocument/2006/relationships/ctrlProp" Target="../ctrlProps/ctrlProp383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411" Type="http://schemas.openxmlformats.org/officeDocument/2006/relationships/ctrlProp" Target="../ctrlProps/ctrlProp408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55" Type="http://schemas.openxmlformats.org/officeDocument/2006/relationships/ctrlProp" Target="../ctrlProps/ctrlProp352.xml"/><Relationship Id="rId376" Type="http://schemas.openxmlformats.org/officeDocument/2006/relationships/ctrlProp" Target="../ctrlProps/ctrlProp373.xml"/><Relationship Id="rId397" Type="http://schemas.openxmlformats.org/officeDocument/2006/relationships/ctrlProp" Target="../ctrlProps/ctrlProp394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401" Type="http://schemas.openxmlformats.org/officeDocument/2006/relationships/ctrlProp" Target="../ctrlProps/ctrlProp398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387" Type="http://schemas.openxmlformats.org/officeDocument/2006/relationships/ctrlProp" Target="../ctrlProps/ctrlProp384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412" Type="http://schemas.openxmlformats.org/officeDocument/2006/relationships/ctrlProp" Target="../ctrlProps/ctrlProp409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398" Type="http://schemas.openxmlformats.org/officeDocument/2006/relationships/ctrlProp" Target="../ctrlProps/ctrlProp395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378" Type="http://schemas.openxmlformats.org/officeDocument/2006/relationships/ctrlProp" Target="../ctrlProps/ctrlProp375.xml"/><Relationship Id="rId403" Type="http://schemas.openxmlformats.org/officeDocument/2006/relationships/ctrlProp" Target="../ctrlProps/ctrlProp400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414" Type="http://schemas.openxmlformats.org/officeDocument/2006/relationships/ctrlProp" Target="../ctrlProps/ctrlProp411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369" Type="http://schemas.openxmlformats.org/officeDocument/2006/relationships/ctrlProp" Target="../ctrlProps/ctrlProp366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380" Type="http://schemas.openxmlformats.org/officeDocument/2006/relationships/ctrlProp" Target="../ctrlProps/ctrlProp377.xml"/><Relationship Id="rId240" Type="http://schemas.openxmlformats.org/officeDocument/2006/relationships/ctrlProp" Target="../ctrlProps/ctrlProp237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405" Type="http://schemas.openxmlformats.org/officeDocument/2006/relationships/ctrlProp" Target="../ctrlProps/ctrlProp402.xml"/><Relationship Id="rId251" Type="http://schemas.openxmlformats.org/officeDocument/2006/relationships/ctrlProp" Target="../ctrlProps/ctrlProp248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Relationship Id="rId416" Type="http://schemas.openxmlformats.org/officeDocument/2006/relationships/ctrlProp" Target="../ctrlProps/ctrlProp413.xml"/><Relationship Id="rId220" Type="http://schemas.openxmlformats.org/officeDocument/2006/relationships/ctrlProp" Target="../ctrlProps/ctrlProp217.xml"/><Relationship Id="rId15" Type="http://schemas.openxmlformats.org/officeDocument/2006/relationships/ctrlProp" Target="../ctrlProps/ctrlProp12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318" Type="http://schemas.openxmlformats.org/officeDocument/2006/relationships/ctrlProp" Target="../ctrlProps/ctrlProp315.xml"/><Relationship Id="rId99" Type="http://schemas.openxmlformats.org/officeDocument/2006/relationships/ctrlProp" Target="../ctrlProps/ctrlProp96.xml"/><Relationship Id="rId122" Type="http://schemas.openxmlformats.org/officeDocument/2006/relationships/ctrlProp" Target="../ctrlProps/ctrlProp119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73" Type="http://schemas.openxmlformats.org/officeDocument/2006/relationships/ctrlProp" Target="../ctrlProps/ctrlProp270.xml"/><Relationship Id="rId329" Type="http://schemas.openxmlformats.org/officeDocument/2006/relationships/ctrlProp" Target="../ctrlProps/ctrlProp326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200" Type="http://schemas.openxmlformats.org/officeDocument/2006/relationships/ctrlProp" Target="../ctrlProps/ctrlProp197.xml"/><Relationship Id="rId382" Type="http://schemas.openxmlformats.org/officeDocument/2006/relationships/ctrlProp" Target="../ctrlProps/ctrlProp379.xml"/><Relationship Id="rId242" Type="http://schemas.openxmlformats.org/officeDocument/2006/relationships/ctrlProp" Target="../ctrlProps/ctrlProp239.xml"/><Relationship Id="rId284" Type="http://schemas.openxmlformats.org/officeDocument/2006/relationships/ctrlProp" Target="../ctrlProps/ctrlProp281.xml"/><Relationship Id="rId37" Type="http://schemas.openxmlformats.org/officeDocument/2006/relationships/ctrlProp" Target="../ctrlProps/ctrlProp34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44" Type="http://schemas.openxmlformats.org/officeDocument/2006/relationships/ctrlProp" Target="../ctrlProps/ctrlProp141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211" Type="http://schemas.openxmlformats.org/officeDocument/2006/relationships/ctrlProp" Target="../ctrlProps/ctrlProp208.xml"/><Relationship Id="rId253" Type="http://schemas.openxmlformats.org/officeDocument/2006/relationships/ctrlProp" Target="../ctrlProps/ctrlProp250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155" Type="http://schemas.openxmlformats.org/officeDocument/2006/relationships/ctrlProp" Target="../ctrlProps/ctrlProp152.xml"/><Relationship Id="rId197" Type="http://schemas.openxmlformats.org/officeDocument/2006/relationships/ctrlProp" Target="../ctrlProps/ctrlProp194.xml"/><Relationship Id="rId362" Type="http://schemas.openxmlformats.org/officeDocument/2006/relationships/ctrlProp" Target="../ctrlProps/ctrlProp35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F18"/>
  <sheetViews>
    <sheetView showGridLines="0" topLeftCell="A4" workbookViewId="0">
      <selection activeCell="A5" sqref="A5"/>
    </sheetView>
  </sheetViews>
  <sheetFormatPr defaultRowHeight="15" x14ac:dyDescent="0.25"/>
  <cols>
    <col min="1" max="1" width="15.140625" bestFit="1" customWidth="1"/>
    <col min="2" max="2" width="18" bestFit="1" customWidth="1"/>
    <col min="6" max="6" width="15" customWidth="1"/>
  </cols>
  <sheetData>
    <row r="2" spans="1:6" ht="15.75" thickBot="1" x14ac:dyDescent="0.3"/>
    <row r="3" spans="1:6" x14ac:dyDescent="0.25">
      <c r="A3" s="43" t="s">
        <v>130</v>
      </c>
    </row>
    <row r="4" spans="1:6" ht="15.75" thickBot="1" x14ac:dyDescent="0.3">
      <c r="A4" s="44" t="s">
        <v>102</v>
      </c>
    </row>
    <row r="5" spans="1:6" x14ac:dyDescent="0.25">
      <c r="A5" s="21"/>
    </row>
    <row r="6" spans="1:6" x14ac:dyDescent="0.25">
      <c r="A6" s="42" t="s">
        <v>38</v>
      </c>
      <c r="B6" s="34">
        <f>IFERROR(INDEX(Sheet2!B:B,MATCH('Main Sheet'!A4,Sheet2!A:A,0)),"")</f>
        <v>45161</v>
      </c>
    </row>
    <row r="7" spans="1:6" x14ac:dyDescent="0.25">
      <c r="A7" s="42" t="s">
        <v>9</v>
      </c>
      <c r="D7" s="75" t="s">
        <v>131</v>
      </c>
      <c r="E7" s="75"/>
      <c r="F7" s="75"/>
    </row>
    <row r="8" spans="1:6" x14ac:dyDescent="0.25">
      <c r="A8" s="73" t="str">
        <f>IFERROR(INDEX(Sheet2!J:J,MATCH('Main Sheet'!A4,Sheet2!A:A,0)),"")</f>
        <v>Kien Coung</v>
      </c>
      <c r="B8" s="73"/>
      <c r="D8" s="74" t="str">
        <f>IFERROR(INDEX(Sheet2!K:K,MATCH('Main Sheet'!A4,Sheet2!A:A,0)),"")</f>
        <v>DG Stone</v>
      </c>
      <c r="E8" s="74"/>
      <c r="F8" s="74"/>
    </row>
    <row r="9" spans="1:6" x14ac:dyDescent="0.25">
      <c r="A9" s="73"/>
      <c r="B9" s="73"/>
      <c r="D9" s="74"/>
      <c r="E9" s="74"/>
      <c r="F9" s="74"/>
    </row>
    <row r="11" spans="1:6" x14ac:dyDescent="0.25">
      <c r="A11" s="76" t="s">
        <v>86</v>
      </c>
      <c r="B11" s="76"/>
      <c r="D11" s="75" t="s">
        <v>87</v>
      </c>
      <c r="E11" s="75"/>
      <c r="F11" s="75"/>
    </row>
    <row r="12" spans="1:6" x14ac:dyDescent="0.25">
      <c r="A12" s="73">
        <f>IFERROR(INDEX(Sheet1!C:C,MATCH('Main Sheet'!A4,Sheet1!B:B,0)),"")</f>
        <v>3440075</v>
      </c>
      <c r="B12" s="73"/>
      <c r="D12" s="77">
        <f>IFERROR(INDEX(Sheet1!D:D,MATCH('Main Sheet'!A4,Sheet1!B:B,0)),"")</f>
        <v>45162</v>
      </c>
      <c r="E12" s="77"/>
      <c r="F12" s="77"/>
    </row>
    <row r="14" spans="1:6" x14ac:dyDescent="0.25">
      <c r="A14" s="36" t="s">
        <v>132</v>
      </c>
    </row>
    <row r="15" spans="1:6" x14ac:dyDescent="0.25">
      <c r="A15" s="72">
        <f>IFERROR(INDEX(Sheet1!I:I,MATCH('Main Sheet'!A4,Sheet1!B:B,0)),"")</f>
        <v>100380025849</v>
      </c>
      <c r="B15" s="72"/>
    </row>
    <row r="17" spans="1:6" x14ac:dyDescent="0.25">
      <c r="A17" s="36" t="s">
        <v>2</v>
      </c>
      <c r="B17" s="21"/>
      <c r="C17" s="21"/>
    </row>
    <row r="18" spans="1:6" x14ac:dyDescent="0.25">
      <c r="A18" s="21">
        <f>IFERROR(INDEX(Sheet2!C:C,MATCH('Main Sheet'!A4,Sheet2!A:A,0)),"")</f>
        <v>10607.6</v>
      </c>
      <c r="B18" s="21"/>
      <c r="C18" s="21"/>
      <c r="D18" s="21"/>
      <c r="E18" s="21"/>
      <c r="F18" s="21"/>
    </row>
  </sheetData>
  <mergeCells count="8">
    <mergeCell ref="A15:B15"/>
    <mergeCell ref="A8:B9"/>
    <mergeCell ref="D8:F9"/>
    <mergeCell ref="D7:F7"/>
    <mergeCell ref="A11:B11"/>
    <mergeCell ref="D11:F11"/>
    <mergeCell ref="A12:B12"/>
    <mergeCell ref="D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35"/>
  <sheetViews>
    <sheetView zoomScaleNormal="100" workbookViewId="0">
      <pane ySplit="1" topLeftCell="A16" activePane="bottomLeft" state="frozen"/>
      <selection pane="bottomLeft" activeCell="H25" sqref="H25:H26"/>
    </sheetView>
  </sheetViews>
  <sheetFormatPr defaultRowHeight="15" x14ac:dyDescent="0.25"/>
  <cols>
    <col min="1" max="1" width="11" bestFit="1" customWidth="1"/>
    <col min="2" max="2" width="18" style="34" bestFit="1" customWidth="1"/>
    <col min="3" max="3" width="15.140625" bestFit="1" customWidth="1"/>
    <col min="4" max="4" width="10" bestFit="1" customWidth="1"/>
    <col min="5" max="5" width="15.85546875" bestFit="1" customWidth="1"/>
    <col min="6" max="6" width="9.140625" customWidth="1"/>
    <col min="7" max="7" width="20.140625" customWidth="1"/>
    <col min="8" max="9" width="17.28515625" customWidth="1"/>
    <col min="10" max="10" width="13.5703125" bestFit="1" customWidth="1"/>
    <col min="11" max="11" width="22.85546875" bestFit="1" customWidth="1"/>
    <col min="12" max="12" width="19.42578125" bestFit="1" customWidth="1"/>
    <col min="13" max="13" width="12.28515625" customWidth="1"/>
  </cols>
  <sheetData>
    <row r="1" spans="1:14" ht="53.25" customHeight="1" x14ac:dyDescent="0.25">
      <c r="A1" s="9" t="s">
        <v>1</v>
      </c>
      <c r="B1" s="10" t="s">
        <v>38</v>
      </c>
      <c r="C1" s="9" t="s">
        <v>2</v>
      </c>
      <c r="D1" s="9" t="s">
        <v>3</v>
      </c>
      <c r="E1" s="11" t="s">
        <v>64</v>
      </c>
      <c r="F1" s="9" t="s">
        <v>4</v>
      </c>
      <c r="G1" s="11" t="s">
        <v>65</v>
      </c>
      <c r="H1" s="11" t="s">
        <v>23</v>
      </c>
      <c r="I1" s="11" t="s">
        <v>66</v>
      </c>
      <c r="J1" s="9" t="s">
        <v>9</v>
      </c>
      <c r="K1" s="11" t="s">
        <v>10</v>
      </c>
      <c r="L1" s="9" t="s">
        <v>13</v>
      </c>
      <c r="M1" s="11" t="s">
        <v>67</v>
      </c>
    </row>
    <row r="2" spans="1:14" ht="45" x14ac:dyDescent="0.25">
      <c r="A2" s="17" t="s">
        <v>129</v>
      </c>
      <c r="B2" s="27">
        <v>45376</v>
      </c>
      <c r="C2" s="17">
        <v>5152.4399999999996</v>
      </c>
      <c r="D2" s="17"/>
      <c r="E2" s="18"/>
      <c r="F2" s="17"/>
      <c r="G2" s="18"/>
      <c r="H2" s="18"/>
      <c r="I2" s="18"/>
      <c r="J2" s="19" t="s">
        <v>158</v>
      </c>
      <c r="K2" s="41" t="s">
        <v>157</v>
      </c>
      <c r="L2" s="17" t="s">
        <v>140</v>
      </c>
      <c r="M2" s="18"/>
    </row>
    <row r="3" spans="1:14" x14ac:dyDescent="0.25">
      <c r="A3" s="17" t="s">
        <v>128</v>
      </c>
      <c r="B3" s="27">
        <v>45373</v>
      </c>
      <c r="C3" s="17">
        <v>6580.6</v>
      </c>
      <c r="D3" s="17"/>
      <c r="E3" s="18"/>
      <c r="F3" s="17"/>
      <c r="G3" s="18"/>
      <c r="H3" s="18"/>
      <c r="I3" s="18"/>
      <c r="J3" s="19" t="s">
        <v>12</v>
      </c>
      <c r="K3" s="41" t="s">
        <v>11</v>
      </c>
      <c r="L3" s="17" t="s">
        <v>44</v>
      </c>
      <c r="M3" s="18"/>
    </row>
    <row r="4" spans="1:14" ht="45" hidden="1" x14ac:dyDescent="0.25">
      <c r="A4" s="17" t="s">
        <v>92</v>
      </c>
      <c r="B4" s="27">
        <v>45367</v>
      </c>
      <c r="C4" s="17">
        <v>4929.12</v>
      </c>
      <c r="D4" s="17"/>
      <c r="E4" s="18"/>
      <c r="F4" s="17"/>
      <c r="G4" s="18"/>
      <c r="H4" s="18"/>
      <c r="I4" s="18"/>
      <c r="J4" s="19" t="s">
        <v>158</v>
      </c>
      <c r="K4" s="41" t="s">
        <v>157</v>
      </c>
      <c r="L4" s="17" t="s">
        <v>77</v>
      </c>
      <c r="M4" s="18"/>
    </row>
    <row r="5" spans="1:14" x14ac:dyDescent="0.25">
      <c r="A5" s="17" t="s">
        <v>85</v>
      </c>
      <c r="B5" s="27">
        <v>45364</v>
      </c>
      <c r="C5" s="17">
        <v>9031.2000000000007</v>
      </c>
      <c r="D5" s="17"/>
      <c r="E5" s="18"/>
      <c r="F5" s="17"/>
      <c r="G5" s="28"/>
      <c r="H5" s="18"/>
      <c r="I5" s="18"/>
      <c r="J5" s="19" t="s">
        <v>127</v>
      </c>
      <c r="K5" t="s">
        <v>126</v>
      </c>
      <c r="L5" s="19" t="s">
        <v>21</v>
      </c>
      <c r="M5" s="18"/>
    </row>
    <row r="6" spans="1:14" x14ac:dyDescent="0.25">
      <c r="A6" s="17" t="s">
        <v>84</v>
      </c>
      <c r="B6" s="27">
        <v>45362</v>
      </c>
      <c r="C6" s="17">
        <v>13123.89</v>
      </c>
      <c r="D6" s="17">
        <v>1000</v>
      </c>
      <c r="E6" s="37">
        <v>45358</v>
      </c>
      <c r="F6" s="17" t="s">
        <v>69</v>
      </c>
      <c r="G6" s="28"/>
      <c r="H6" s="18"/>
      <c r="I6" s="18"/>
      <c r="J6" s="19" t="s">
        <v>12</v>
      </c>
      <c r="K6" s="33" t="s">
        <v>11</v>
      </c>
      <c r="L6" s="19" t="s">
        <v>16</v>
      </c>
      <c r="M6" s="18"/>
    </row>
    <row r="7" spans="1:14" x14ac:dyDescent="0.25">
      <c r="A7" s="19" t="s">
        <v>71</v>
      </c>
      <c r="B7" s="20">
        <v>45343</v>
      </c>
      <c r="C7" s="19">
        <v>5276.39</v>
      </c>
      <c r="D7" s="17"/>
      <c r="E7" s="18"/>
      <c r="F7" s="17"/>
      <c r="G7" s="28"/>
      <c r="H7" s="18"/>
      <c r="I7" s="18"/>
      <c r="J7" s="17" t="s">
        <v>46</v>
      </c>
      <c r="K7" s="18" t="s">
        <v>141</v>
      </c>
      <c r="L7" s="17" t="s">
        <v>142</v>
      </c>
      <c r="M7" s="18"/>
    </row>
    <row r="8" spans="1:14" x14ac:dyDescent="0.25">
      <c r="A8" s="19" t="s">
        <v>70</v>
      </c>
      <c r="B8" s="20">
        <v>45330</v>
      </c>
      <c r="C8" s="19">
        <v>5014.08</v>
      </c>
      <c r="D8" s="17"/>
      <c r="E8" s="18"/>
      <c r="F8" s="19">
        <v>3205</v>
      </c>
      <c r="G8" s="35">
        <v>45000</v>
      </c>
      <c r="H8" s="18"/>
      <c r="I8" s="18"/>
      <c r="J8" s="17" t="s">
        <v>139</v>
      </c>
      <c r="K8" s="18" t="s">
        <v>18</v>
      </c>
      <c r="L8" s="17" t="s">
        <v>140</v>
      </c>
      <c r="M8" s="18"/>
    </row>
    <row r="9" spans="1:14" x14ac:dyDescent="0.25">
      <c r="A9" s="1" t="s">
        <v>5</v>
      </c>
      <c r="B9" s="2">
        <v>45328</v>
      </c>
      <c r="C9" s="1">
        <v>8819.01</v>
      </c>
      <c r="D9" s="1">
        <v>980</v>
      </c>
      <c r="E9" s="2">
        <v>45330</v>
      </c>
      <c r="F9" s="1">
        <v>7789</v>
      </c>
      <c r="G9" s="2">
        <v>44990</v>
      </c>
      <c r="H9" s="18"/>
      <c r="I9" s="1"/>
      <c r="J9" s="1" t="s">
        <v>12</v>
      </c>
      <c r="K9" s="1" t="s">
        <v>11</v>
      </c>
      <c r="L9" s="1" t="s">
        <v>14</v>
      </c>
      <c r="M9" s="29">
        <f>C9-(D9+F9+H9)</f>
        <v>50.010000000000218</v>
      </c>
    </row>
    <row r="10" spans="1:14" x14ac:dyDescent="0.25">
      <c r="A10" s="1" t="s">
        <v>0</v>
      </c>
      <c r="B10" s="2">
        <v>44957</v>
      </c>
      <c r="C10" s="1">
        <v>4842</v>
      </c>
      <c r="D10" s="1" t="s">
        <v>69</v>
      </c>
      <c r="E10" s="1" t="s">
        <v>69</v>
      </c>
      <c r="F10" s="1">
        <v>4842</v>
      </c>
      <c r="G10" s="2">
        <v>45365</v>
      </c>
      <c r="H10" s="18"/>
      <c r="I10" s="1"/>
      <c r="J10" s="1" t="s">
        <v>15</v>
      </c>
      <c r="K10" s="1" t="s">
        <v>18</v>
      </c>
      <c r="L10" s="1" t="s">
        <v>16</v>
      </c>
      <c r="M10" s="29" t="e">
        <f t="shared" ref="M10:M35" si="0">C10-(D10+F10+H10)</f>
        <v>#VALUE!</v>
      </c>
    </row>
    <row r="11" spans="1:14" x14ac:dyDescent="0.25">
      <c r="A11" s="1" t="s">
        <v>6</v>
      </c>
      <c r="B11" s="2">
        <v>45286</v>
      </c>
      <c r="C11" s="1">
        <v>5484</v>
      </c>
      <c r="D11" s="1" t="s">
        <v>69</v>
      </c>
      <c r="E11" s="1" t="s">
        <v>69</v>
      </c>
      <c r="F11" s="1">
        <v>5459</v>
      </c>
      <c r="G11" s="2">
        <v>44943</v>
      </c>
      <c r="H11" s="18"/>
      <c r="I11" s="2"/>
      <c r="J11" s="1" t="s">
        <v>17</v>
      </c>
      <c r="K11" s="1" t="s">
        <v>18</v>
      </c>
      <c r="L11" s="1" t="s">
        <v>19</v>
      </c>
      <c r="M11" s="29" t="e">
        <f t="shared" si="0"/>
        <v>#VALUE!</v>
      </c>
    </row>
    <row r="12" spans="1:14" x14ac:dyDescent="0.25">
      <c r="A12" s="1" t="s">
        <v>7</v>
      </c>
      <c r="B12" s="32">
        <v>45264</v>
      </c>
      <c r="C12" s="1">
        <v>5219.54</v>
      </c>
      <c r="D12" s="1" t="s">
        <v>69</v>
      </c>
      <c r="E12" s="1" t="s">
        <v>69</v>
      </c>
      <c r="F12" s="78">
        <v>10355</v>
      </c>
      <c r="G12" s="80">
        <v>45289</v>
      </c>
      <c r="H12" s="18"/>
      <c r="I12" s="2"/>
      <c r="J12" s="78" t="s">
        <v>17</v>
      </c>
      <c r="K12" s="78" t="s">
        <v>18</v>
      </c>
      <c r="L12" s="1" t="s">
        <v>20</v>
      </c>
      <c r="M12" s="79">
        <f>(C12+C13)-F12</f>
        <v>58.520000000000437</v>
      </c>
    </row>
    <row r="13" spans="1:14" x14ac:dyDescent="0.25">
      <c r="A13" s="1" t="s">
        <v>8</v>
      </c>
      <c r="B13" s="32">
        <v>45264</v>
      </c>
      <c r="C13" s="1">
        <v>5193.9799999999996</v>
      </c>
      <c r="D13" s="1" t="s">
        <v>69</v>
      </c>
      <c r="E13" s="1" t="s">
        <v>69</v>
      </c>
      <c r="F13" s="78"/>
      <c r="G13" s="80"/>
      <c r="H13" s="18"/>
      <c r="I13" s="2"/>
      <c r="J13" s="78"/>
      <c r="K13" s="78"/>
      <c r="L13" s="1" t="s">
        <v>21</v>
      </c>
      <c r="M13" s="79"/>
      <c r="N13" s="16">
        <v>5541</v>
      </c>
    </row>
    <row r="14" spans="1:14" x14ac:dyDescent="0.25">
      <c r="A14" s="1" t="s">
        <v>22</v>
      </c>
      <c r="B14" s="2">
        <v>45237</v>
      </c>
      <c r="C14" s="1">
        <v>5494.12</v>
      </c>
      <c r="D14" s="1" t="s">
        <v>69</v>
      </c>
      <c r="E14" s="1" t="s">
        <v>69</v>
      </c>
      <c r="F14" s="1">
        <v>3416</v>
      </c>
      <c r="G14" s="2">
        <v>45259</v>
      </c>
      <c r="H14" s="3">
        <v>1725</v>
      </c>
      <c r="I14" s="2">
        <v>45323</v>
      </c>
      <c r="J14" s="1" t="s">
        <v>52</v>
      </c>
      <c r="K14" s="1" t="s">
        <v>18</v>
      </c>
      <c r="L14" s="1" t="s">
        <v>62</v>
      </c>
      <c r="M14" s="29" t="e">
        <f t="shared" si="0"/>
        <v>#VALUE!</v>
      </c>
    </row>
    <row r="15" spans="1:14" x14ac:dyDescent="0.25">
      <c r="A15" s="1" t="s">
        <v>24</v>
      </c>
      <c r="B15" s="2">
        <v>45225</v>
      </c>
      <c r="C15" s="1">
        <v>4981.29</v>
      </c>
      <c r="D15" s="1" t="s">
        <v>69</v>
      </c>
      <c r="E15" s="1" t="s">
        <v>69</v>
      </c>
      <c r="F15" s="1">
        <v>4956</v>
      </c>
      <c r="G15" s="2">
        <v>45250</v>
      </c>
      <c r="H15" s="3" t="s">
        <v>69</v>
      </c>
      <c r="I15" s="2" t="s">
        <v>69</v>
      </c>
      <c r="J15" s="1" t="s">
        <v>60</v>
      </c>
      <c r="K15" s="1" t="s">
        <v>18</v>
      </c>
      <c r="L15" s="1" t="s">
        <v>61</v>
      </c>
      <c r="M15" s="29" t="e">
        <f t="shared" si="0"/>
        <v>#VALUE!</v>
      </c>
    </row>
    <row r="16" spans="1:14" x14ac:dyDescent="0.25">
      <c r="A16" s="1" t="s">
        <v>25</v>
      </c>
      <c r="B16" s="2">
        <v>45221</v>
      </c>
      <c r="C16" s="1">
        <v>5130</v>
      </c>
      <c r="D16" s="1" t="s">
        <v>69</v>
      </c>
      <c r="E16" s="1" t="s">
        <v>69</v>
      </c>
      <c r="F16" s="15">
        <f>F19</f>
        <v>9816</v>
      </c>
      <c r="G16" s="2">
        <f>G19</f>
        <v>45245</v>
      </c>
      <c r="H16" s="3" t="s">
        <v>69</v>
      </c>
      <c r="I16" s="2" t="s">
        <v>69</v>
      </c>
      <c r="J16" s="1" t="s">
        <v>57</v>
      </c>
      <c r="K16" s="1" t="s">
        <v>58</v>
      </c>
      <c r="L16" s="1" t="s">
        <v>59</v>
      </c>
      <c r="M16" s="29" t="e">
        <f t="shared" si="0"/>
        <v>#VALUE!</v>
      </c>
    </row>
    <row r="17" spans="1:15" x14ac:dyDescent="0.25">
      <c r="A17" s="1" t="s">
        <v>26</v>
      </c>
      <c r="B17" s="2">
        <v>45221</v>
      </c>
      <c r="C17" s="1">
        <v>5487.73</v>
      </c>
      <c r="D17" s="1" t="s">
        <v>69</v>
      </c>
      <c r="E17" s="1" t="s">
        <v>69</v>
      </c>
      <c r="F17" s="78">
        <v>11022</v>
      </c>
      <c r="G17" s="80">
        <v>45245</v>
      </c>
      <c r="H17" s="3" t="s">
        <v>69</v>
      </c>
      <c r="I17" s="2" t="s">
        <v>69</v>
      </c>
      <c r="J17" s="78" t="s">
        <v>17</v>
      </c>
      <c r="K17" s="78" t="s">
        <v>18</v>
      </c>
      <c r="L17" s="78" t="s">
        <v>20</v>
      </c>
      <c r="M17" s="79">
        <f>(C17+C18)-F17</f>
        <v>25.6299999999992</v>
      </c>
    </row>
    <row r="18" spans="1:15" x14ac:dyDescent="0.25">
      <c r="A18" s="1" t="s">
        <v>27</v>
      </c>
      <c r="B18" s="2">
        <v>45218</v>
      </c>
      <c r="C18" s="1">
        <v>5559.9</v>
      </c>
      <c r="D18" s="1" t="s">
        <v>69</v>
      </c>
      <c r="E18" s="1" t="s">
        <v>69</v>
      </c>
      <c r="F18" s="78"/>
      <c r="G18" s="80"/>
      <c r="H18" s="3" t="s">
        <v>69</v>
      </c>
      <c r="I18" s="2" t="s">
        <v>69</v>
      </c>
      <c r="J18" s="78"/>
      <c r="K18" s="78"/>
      <c r="L18" s="78"/>
      <c r="M18" s="79"/>
    </row>
    <row r="19" spans="1:15" x14ac:dyDescent="0.25">
      <c r="A19" s="1" t="s">
        <v>28</v>
      </c>
      <c r="B19" s="2">
        <v>45216</v>
      </c>
      <c r="C19" s="1">
        <v>5682.67</v>
      </c>
      <c r="D19" s="1" t="s">
        <v>69</v>
      </c>
      <c r="E19" s="1" t="s">
        <v>69</v>
      </c>
      <c r="F19" s="82">
        <v>9816</v>
      </c>
      <c r="G19" s="80">
        <v>45245</v>
      </c>
      <c r="H19" s="3" t="s">
        <v>69</v>
      </c>
      <c r="I19" s="2" t="s">
        <v>69</v>
      </c>
      <c r="J19" s="78" t="s">
        <v>57</v>
      </c>
      <c r="K19" s="78" t="s">
        <v>58</v>
      </c>
      <c r="L19" s="78" t="s">
        <v>21</v>
      </c>
      <c r="M19" s="79">
        <f>(C19+C20)-F19</f>
        <v>1327.42</v>
      </c>
    </row>
    <row r="20" spans="1:15" x14ac:dyDescent="0.25">
      <c r="A20" s="1" t="s">
        <v>29</v>
      </c>
      <c r="B20" s="2">
        <v>45204</v>
      </c>
      <c r="C20" s="1">
        <v>5460.75</v>
      </c>
      <c r="D20" s="1" t="s">
        <v>69</v>
      </c>
      <c r="E20" s="1" t="s">
        <v>69</v>
      </c>
      <c r="F20" s="82"/>
      <c r="G20" s="80"/>
      <c r="H20" s="3" t="s">
        <v>69</v>
      </c>
      <c r="I20" s="2" t="s">
        <v>69</v>
      </c>
      <c r="J20" s="78"/>
      <c r="K20" s="78"/>
      <c r="L20" s="78"/>
      <c r="M20" s="79"/>
    </row>
    <row r="21" spans="1:15" x14ac:dyDescent="0.25">
      <c r="A21" s="1" t="s">
        <v>30</v>
      </c>
      <c r="B21" s="2">
        <v>45180</v>
      </c>
      <c r="C21" s="1">
        <v>5312.4</v>
      </c>
      <c r="D21" s="1" t="s">
        <v>69</v>
      </c>
      <c r="E21" s="1" t="s">
        <v>69</v>
      </c>
      <c r="F21" s="1">
        <v>4186</v>
      </c>
      <c r="G21" s="2">
        <v>45226</v>
      </c>
      <c r="H21" s="3" t="s">
        <v>69</v>
      </c>
      <c r="I21" s="2" t="s">
        <v>69</v>
      </c>
      <c r="J21" s="1" t="s">
        <v>57</v>
      </c>
      <c r="K21" s="1" t="s">
        <v>58</v>
      </c>
      <c r="L21" s="1" t="s">
        <v>21</v>
      </c>
      <c r="M21" s="29" t="e">
        <f t="shared" si="0"/>
        <v>#VALUE!</v>
      </c>
    </row>
    <row r="22" spans="1:15" x14ac:dyDescent="0.25">
      <c r="A22" s="1" t="s">
        <v>31</v>
      </c>
      <c r="B22" s="2">
        <v>45177</v>
      </c>
      <c r="C22" s="1">
        <v>10831.92</v>
      </c>
      <c r="D22" s="1">
        <v>972.5</v>
      </c>
      <c r="E22" s="7">
        <v>45170</v>
      </c>
      <c r="F22" s="1">
        <v>8750</v>
      </c>
      <c r="G22" s="2">
        <v>45222</v>
      </c>
      <c r="H22" s="3" t="s">
        <v>69</v>
      </c>
      <c r="I22" s="2" t="s">
        <v>69</v>
      </c>
      <c r="J22" s="1" t="s">
        <v>12</v>
      </c>
      <c r="K22" s="1" t="s">
        <v>55</v>
      </c>
      <c r="L22" s="1" t="s">
        <v>56</v>
      </c>
      <c r="M22" s="29" t="e">
        <f t="shared" si="0"/>
        <v>#VALUE!</v>
      </c>
    </row>
    <row r="23" spans="1:15" x14ac:dyDescent="0.25">
      <c r="A23" s="5" t="s">
        <v>32</v>
      </c>
      <c r="B23" s="6">
        <v>45176</v>
      </c>
      <c r="C23" s="5">
        <v>11243</v>
      </c>
      <c r="D23" s="5">
        <v>0</v>
      </c>
      <c r="E23" s="5" t="s">
        <v>42</v>
      </c>
      <c r="F23" s="5">
        <v>10207</v>
      </c>
      <c r="G23" s="6">
        <v>45205</v>
      </c>
      <c r="H23" s="3" t="s">
        <v>69</v>
      </c>
      <c r="I23" s="2" t="s">
        <v>69</v>
      </c>
      <c r="J23" s="5" t="s">
        <v>17</v>
      </c>
      <c r="K23" s="5" t="s">
        <v>18</v>
      </c>
      <c r="L23" s="5" t="s">
        <v>16</v>
      </c>
      <c r="M23" s="29" t="e">
        <f t="shared" si="0"/>
        <v>#VALUE!</v>
      </c>
    </row>
    <row r="24" spans="1:15" x14ac:dyDescent="0.25">
      <c r="A24" s="1" t="s">
        <v>102</v>
      </c>
      <c r="B24" s="2">
        <v>45161</v>
      </c>
      <c r="C24" s="1">
        <v>10607.6</v>
      </c>
      <c r="D24" s="1">
        <v>0</v>
      </c>
      <c r="E24" s="1" t="s">
        <v>42</v>
      </c>
      <c r="F24" s="1">
        <v>9911</v>
      </c>
      <c r="G24" s="2">
        <v>45195</v>
      </c>
      <c r="H24" s="3">
        <v>625</v>
      </c>
      <c r="I24" s="2">
        <v>45287</v>
      </c>
      <c r="J24" s="1" t="s">
        <v>54</v>
      </c>
      <c r="K24" s="1" t="s">
        <v>40</v>
      </c>
      <c r="L24" s="1" t="s">
        <v>16</v>
      </c>
      <c r="M24" s="29">
        <f t="shared" si="0"/>
        <v>71.600000000000364</v>
      </c>
    </row>
    <row r="25" spans="1:15" x14ac:dyDescent="0.25">
      <c r="A25" s="1" t="s">
        <v>101</v>
      </c>
      <c r="B25" s="32">
        <v>45159</v>
      </c>
      <c r="C25" s="1">
        <v>9071.11</v>
      </c>
      <c r="D25" s="1">
        <v>0</v>
      </c>
      <c r="E25" s="1" t="s">
        <v>42</v>
      </c>
      <c r="F25" s="78">
        <v>14891</v>
      </c>
      <c r="G25" s="2">
        <v>45187</v>
      </c>
      <c r="H25" s="81">
        <v>3564</v>
      </c>
      <c r="I25" s="80">
        <v>45595</v>
      </c>
      <c r="J25" s="1" t="s">
        <v>52</v>
      </c>
      <c r="K25" s="1" t="s">
        <v>53</v>
      </c>
      <c r="L25" s="1" t="s">
        <v>51</v>
      </c>
      <c r="M25" s="79">
        <f>(C26+C25)-(F25+H25)</f>
        <v>-127.80999999999767</v>
      </c>
    </row>
    <row r="26" spans="1:15" x14ac:dyDescent="0.25">
      <c r="A26" s="1" t="s">
        <v>100</v>
      </c>
      <c r="B26" s="32">
        <v>45159</v>
      </c>
      <c r="C26" s="1">
        <v>9256.08</v>
      </c>
      <c r="D26" s="1">
        <v>0</v>
      </c>
      <c r="E26" s="1" t="s">
        <v>42</v>
      </c>
      <c r="F26" s="78"/>
      <c r="G26" s="2">
        <v>45187</v>
      </c>
      <c r="H26" s="81"/>
      <c r="I26" s="80"/>
      <c r="J26" s="1" t="s">
        <v>52</v>
      </c>
      <c r="K26" s="1" t="s">
        <v>53</v>
      </c>
      <c r="L26" s="1" t="s">
        <v>51</v>
      </c>
      <c r="M26" s="79"/>
    </row>
    <row r="27" spans="1:15" x14ac:dyDescent="0.25">
      <c r="A27" s="1" t="s">
        <v>99</v>
      </c>
      <c r="B27" s="2">
        <v>45156</v>
      </c>
      <c r="C27" s="1">
        <v>6485.28</v>
      </c>
      <c r="D27" s="1">
        <v>960</v>
      </c>
      <c r="E27" s="7">
        <v>45154</v>
      </c>
      <c r="F27" s="1">
        <v>6426</v>
      </c>
      <c r="G27" s="2">
        <v>45177</v>
      </c>
      <c r="H27" s="3" t="s">
        <v>69</v>
      </c>
      <c r="I27" s="2" t="s">
        <v>69</v>
      </c>
      <c r="J27" s="1" t="s">
        <v>17</v>
      </c>
      <c r="K27" s="2" t="s">
        <v>18</v>
      </c>
      <c r="L27" s="2" t="s">
        <v>51</v>
      </c>
      <c r="M27" s="29" t="e">
        <f t="shared" si="0"/>
        <v>#VALUE!</v>
      </c>
      <c r="O27">
        <v>13</v>
      </c>
    </row>
    <row r="28" spans="1:15" x14ac:dyDescent="0.25">
      <c r="A28" s="12" t="s">
        <v>98</v>
      </c>
      <c r="B28" s="13">
        <v>45043</v>
      </c>
      <c r="C28" s="12">
        <v>7290.17</v>
      </c>
      <c r="D28" s="12">
        <v>967.5</v>
      </c>
      <c r="E28" s="14">
        <v>45036</v>
      </c>
      <c r="F28" s="12">
        <v>0</v>
      </c>
      <c r="G28" s="13" t="s">
        <v>42</v>
      </c>
      <c r="H28" s="3" t="s">
        <v>69</v>
      </c>
      <c r="I28" s="2" t="s">
        <v>69</v>
      </c>
      <c r="J28" s="13" t="s">
        <v>49</v>
      </c>
      <c r="K28" s="13" t="s">
        <v>50</v>
      </c>
      <c r="L28" s="13" t="s">
        <v>44</v>
      </c>
      <c r="M28" s="30" t="e">
        <f t="shared" si="0"/>
        <v>#VALUE!</v>
      </c>
      <c r="O28">
        <v>14</v>
      </c>
    </row>
    <row r="29" spans="1:15" x14ac:dyDescent="0.25">
      <c r="A29" s="12" t="s">
        <v>97</v>
      </c>
      <c r="B29" s="13">
        <v>45040</v>
      </c>
      <c r="C29" s="12">
        <v>7178.08</v>
      </c>
      <c r="D29" s="12">
        <v>967.5</v>
      </c>
      <c r="E29" s="14">
        <v>45036</v>
      </c>
      <c r="F29" s="12">
        <v>0</v>
      </c>
      <c r="G29" s="13" t="s">
        <v>42</v>
      </c>
      <c r="H29" s="3" t="s">
        <v>69</v>
      </c>
      <c r="I29" s="2" t="s">
        <v>69</v>
      </c>
      <c r="J29" s="13" t="s">
        <v>49</v>
      </c>
      <c r="K29" s="13" t="s">
        <v>50</v>
      </c>
      <c r="L29" s="13" t="s">
        <v>44</v>
      </c>
      <c r="M29" s="30" t="e">
        <f t="shared" si="0"/>
        <v>#VALUE!</v>
      </c>
      <c r="O29">
        <v>17</v>
      </c>
    </row>
    <row r="30" spans="1:15" ht="30" x14ac:dyDescent="0.25">
      <c r="A30" s="1" t="s">
        <v>96</v>
      </c>
      <c r="B30" s="2">
        <v>45030</v>
      </c>
      <c r="C30" s="1">
        <v>6746</v>
      </c>
      <c r="D30" s="1">
        <v>975</v>
      </c>
      <c r="E30" s="7">
        <v>45021</v>
      </c>
      <c r="F30" s="1">
        <v>5721</v>
      </c>
      <c r="G30" s="2">
        <v>45064</v>
      </c>
      <c r="H30" s="3" t="s">
        <v>69</v>
      </c>
      <c r="I30" s="2" t="s">
        <v>69</v>
      </c>
      <c r="J30" s="1" t="s">
        <v>46</v>
      </c>
      <c r="K30" s="8" t="s">
        <v>47</v>
      </c>
      <c r="L30" s="2" t="s">
        <v>48</v>
      </c>
      <c r="M30" s="29" t="e">
        <f t="shared" si="0"/>
        <v>#VALUE!</v>
      </c>
      <c r="O30">
        <v>3</v>
      </c>
    </row>
    <row r="31" spans="1:15" x14ac:dyDescent="0.25">
      <c r="A31" s="1" t="s">
        <v>95</v>
      </c>
      <c r="B31" s="2">
        <v>45043</v>
      </c>
      <c r="C31" s="1">
        <v>11218.71</v>
      </c>
      <c r="D31" s="1">
        <v>984</v>
      </c>
      <c r="E31" s="7">
        <v>45019</v>
      </c>
      <c r="F31" s="1">
        <v>10193.709999999999</v>
      </c>
      <c r="G31" s="2">
        <v>45071</v>
      </c>
      <c r="H31" s="3" t="s">
        <v>69</v>
      </c>
      <c r="I31" s="2" t="s">
        <v>69</v>
      </c>
      <c r="J31" s="1" t="s">
        <v>39</v>
      </c>
      <c r="K31" s="2" t="s">
        <v>40</v>
      </c>
      <c r="L31" s="2" t="s">
        <v>16</v>
      </c>
      <c r="M31" s="29" t="e">
        <f t="shared" si="0"/>
        <v>#VALUE!</v>
      </c>
      <c r="O31">
        <v>4</v>
      </c>
    </row>
    <row r="32" spans="1:15" x14ac:dyDescent="0.25">
      <c r="A32" s="1" t="s">
        <v>33</v>
      </c>
      <c r="B32" s="2">
        <v>44994</v>
      </c>
      <c r="C32" s="1">
        <v>5811.6</v>
      </c>
      <c r="D32" s="1">
        <v>0</v>
      </c>
      <c r="E32" s="1" t="s">
        <v>42</v>
      </c>
      <c r="F32" s="1">
        <v>5432</v>
      </c>
      <c r="G32" s="2">
        <v>45027</v>
      </c>
      <c r="H32" s="3" t="s">
        <v>69</v>
      </c>
      <c r="I32" s="2" t="s">
        <v>69</v>
      </c>
      <c r="J32" s="2" t="s">
        <v>43</v>
      </c>
      <c r="K32" s="2" t="s">
        <v>18</v>
      </c>
      <c r="L32" s="2" t="s">
        <v>44</v>
      </c>
      <c r="M32" s="29" t="e">
        <f t="shared" si="0"/>
        <v>#VALUE!</v>
      </c>
    </row>
    <row r="33" spans="1:13" x14ac:dyDescent="0.25">
      <c r="A33" s="1" t="s">
        <v>34</v>
      </c>
      <c r="B33" s="2">
        <v>44984</v>
      </c>
      <c r="C33" s="1">
        <v>8534.76</v>
      </c>
      <c r="D33" s="1">
        <v>984</v>
      </c>
      <c r="E33" s="7">
        <v>44984</v>
      </c>
      <c r="F33" s="1">
        <v>7509</v>
      </c>
      <c r="G33" s="2">
        <v>45006</v>
      </c>
      <c r="H33" s="3" t="s">
        <v>69</v>
      </c>
      <c r="I33" s="2" t="s">
        <v>69</v>
      </c>
      <c r="J33" s="1" t="s">
        <v>39</v>
      </c>
      <c r="K33" s="1" t="s">
        <v>40</v>
      </c>
      <c r="L33" s="2" t="s">
        <v>41</v>
      </c>
      <c r="M33" s="29" t="e">
        <f t="shared" si="0"/>
        <v>#VALUE!</v>
      </c>
    </row>
    <row r="34" spans="1:13" x14ac:dyDescent="0.25">
      <c r="A34" s="1" t="s">
        <v>35</v>
      </c>
      <c r="B34" s="2">
        <v>44977</v>
      </c>
      <c r="C34" s="1">
        <v>27473.33</v>
      </c>
      <c r="D34" s="1">
        <v>2975</v>
      </c>
      <c r="E34" s="7">
        <v>44959</v>
      </c>
      <c r="F34" s="1">
        <v>24148</v>
      </c>
      <c r="G34" s="2">
        <v>45001</v>
      </c>
      <c r="H34" s="3" t="s">
        <v>69</v>
      </c>
      <c r="I34" s="2" t="s">
        <v>69</v>
      </c>
      <c r="J34" s="1" t="s">
        <v>45</v>
      </c>
      <c r="K34" s="1" t="s">
        <v>18</v>
      </c>
      <c r="L34" s="1"/>
      <c r="M34" s="29" t="e">
        <f>C34-(D34+F34+H34)</f>
        <v>#VALUE!</v>
      </c>
    </row>
    <row r="35" spans="1:13" x14ac:dyDescent="0.25">
      <c r="A35" s="1" t="s">
        <v>36</v>
      </c>
      <c r="B35" s="2" t="s">
        <v>94</v>
      </c>
      <c r="C35" s="1">
        <v>8565.3700000000008</v>
      </c>
      <c r="D35" s="1">
        <v>984</v>
      </c>
      <c r="E35" s="7">
        <v>45259</v>
      </c>
      <c r="F35" s="1">
        <v>7540</v>
      </c>
      <c r="G35" s="7">
        <v>44924</v>
      </c>
      <c r="H35" s="3" t="s">
        <v>69</v>
      </c>
      <c r="I35" s="2" t="s">
        <v>69</v>
      </c>
      <c r="J35" s="1" t="s">
        <v>46</v>
      </c>
      <c r="K35" s="4" t="s">
        <v>63</v>
      </c>
      <c r="L35" s="1"/>
      <c r="M35" s="29" t="e">
        <f t="shared" si="0"/>
        <v>#VALUE!</v>
      </c>
    </row>
  </sheetData>
  <mergeCells count="21">
    <mergeCell ref="F12:F13"/>
    <mergeCell ref="G12:G13"/>
    <mergeCell ref="J12:J13"/>
    <mergeCell ref="K12:K13"/>
    <mergeCell ref="F25:F26"/>
    <mergeCell ref="H25:H26"/>
    <mergeCell ref="I25:I26"/>
    <mergeCell ref="F17:F18"/>
    <mergeCell ref="G17:G18"/>
    <mergeCell ref="J17:J18"/>
    <mergeCell ref="K17:K18"/>
    <mergeCell ref="F19:F20"/>
    <mergeCell ref="G19:G20"/>
    <mergeCell ref="J19:J20"/>
    <mergeCell ref="K19:K20"/>
    <mergeCell ref="L19:L20"/>
    <mergeCell ref="M25:M26"/>
    <mergeCell ref="M19:M20"/>
    <mergeCell ref="M17:M18"/>
    <mergeCell ref="M12:M13"/>
    <mergeCell ref="L17:L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58"/>
  <sheetViews>
    <sheetView tabSelected="1" zoomScaleNormal="100" workbookViewId="0">
      <pane ySplit="1" topLeftCell="A5" activePane="bottomLeft" state="frozen"/>
      <selection pane="bottomLeft" activeCell="P28" sqref="P28"/>
    </sheetView>
  </sheetViews>
  <sheetFormatPr defaultRowHeight="15" x14ac:dyDescent="0.25"/>
  <cols>
    <col min="1" max="1" width="23.5703125" bestFit="1" customWidth="1"/>
    <col min="2" max="2" width="12" bestFit="1" customWidth="1"/>
    <col min="3" max="3" width="15.7109375" bestFit="1" customWidth="1"/>
    <col min="4" max="4" width="16.7109375" bestFit="1" customWidth="1"/>
    <col min="5" max="5" width="11.140625" bestFit="1" customWidth="1"/>
    <col min="6" max="7" width="11.140625" customWidth="1"/>
    <col min="8" max="8" width="8.140625" customWidth="1"/>
    <col min="9" max="9" width="19.7109375" bestFit="1" customWidth="1"/>
    <col min="10" max="10" width="10.7109375" customWidth="1"/>
    <col min="12" max="12" width="7.7109375" bestFit="1" customWidth="1"/>
  </cols>
  <sheetData>
    <row r="1" spans="1:12" ht="30" x14ac:dyDescent="0.25">
      <c r="A1" s="55" t="s">
        <v>38</v>
      </c>
      <c r="B1" s="56" t="s">
        <v>1</v>
      </c>
      <c r="C1" s="55" t="s">
        <v>86</v>
      </c>
      <c r="D1" s="55" t="s">
        <v>87</v>
      </c>
      <c r="E1" s="55" t="s">
        <v>133</v>
      </c>
      <c r="F1" s="57" t="s">
        <v>37</v>
      </c>
      <c r="G1" s="57" t="s">
        <v>93</v>
      </c>
      <c r="H1" s="57" t="s">
        <v>90</v>
      </c>
      <c r="I1" s="57" t="s">
        <v>89</v>
      </c>
      <c r="J1" s="69" t="s">
        <v>202</v>
      </c>
      <c r="K1" s="55" t="s">
        <v>88</v>
      </c>
      <c r="L1" s="57" t="s">
        <v>91</v>
      </c>
    </row>
    <row r="2" spans="1:12" x14ac:dyDescent="0.25">
      <c r="A2" s="58" t="str">
        <f>IFERROR(INDEX(Sheet2!B:B,MATCH(Sheet1!B2,Sheet2!A:A,0)),"")</f>
        <v>31 November 2022</v>
      </c>
      <c r="B2" s="59" t="s">
        <v>36</v>
      </c>
      <c r="C2" s="59">
        <v>5861001</v>
      </c>
      <c r="D2" s="60" t="s">
        <v>103</v>
      </c>
      <c r="E2" s="60" t="s">
        <v>136</v>
      </c>
      <c r="F2" s="59">
        <v>6719</v>
      </c>
      <c r="G2" s="61">
        <v>44917</v>
      </c>
      <c r="H2" s="62" t="s">
        <v>68</v>
      </c>
      <c r="I2" s="59" t="s">
        <v>104</v>
      </c>
      <c r="J2">
        <v>6719</v>
      </c>
      <c r="K2" s="68" t="s">
        <v>156</v>
      </c>
      <c r="L2" s="67" t="s">
        <v>69</v>
      </c>
    </row>
    <row r="3" spans="1:12" x14ac:dyDescent="0.25">
      <c r="A3" s="58">
        <f>IFERROR(INDEX(Sheet2!B:B,MATCH(Sheet1!B3,Sheet2!A:A,0)),"")</f>
        <v>44977</v>
      </c>
      <c r="B3" s="59" t="s">
        <v>35</v>
      </c>
      <c r="C3" s="59">
        <v>7919940</v>
      </c>
      <c r="D3" s="60">
        <v>44977</v>
      </c>
      <c r="E3" s="60" t="s">
        <v>136</v>
      </c>
      <c r="F3" s="59">
        <v>22009</v>
      </c>
      <c r="G3" s="61">
        <v>45005</v>
      </c>
      <c r="H3" s="62" t="s">
        <v>68</v>
      </c>
      <c r="I3" s="59" t="s">
        <v>105</v>
      </c>
      <c r="J3" s="59">
        <v>22010</v>
      </c>
      <c r="K3" s="68" t="s">
        <v>156</v>
      </c>
      <c r="L3" s="67"/>
    </row>
    <row r="4" spans="1:12" x14ac:dyDescent="0.25">
      <c r="A4" s="58">
        <f>IFERROR(INDEX(Sheet2!B:B,MATCH(Sheet1!B4,Sheet2!A:A,0)),"")</f>
        <v>44984</v>
      </c>
      <c r="B4" s="59" t="s">
        <v>34</v>
      </c>
      <c r="C4" s="59">
        <v>8128514</v>
      </c>
      <c r="D4" s="60">
        <v>44985</v>
      </c>
      <c r="E4" s="60" t="s">
        <v>136</v>
      </c>
      <c r="F4" s="59">
        <v>6843</v>
      </c>
      <c r="G4" s="61">
        <v>44991</v>
      </c>
      <c r="H4" s="62" t="s">
        <v>68</v>
      </c>
      <c r="I4" s="59" t="s">
        <v>106</v>
      </c>
      <c r="J4">
        <v>6842</v>
      </c>
      <c r="K4" s="68" t="s">
        <v>156</v>
      </c>
      <c r="L4" s="67" t="s">
        <v>69</v>
      </c>
    </row>
    <row r="5" spans="1:12" x14ac:dyDescent="0.25">
      <c r="A5" s="58">
        <f>IFERROR(INDEX(Sheet2!B:B,MATCH(Sheet1!B5,Sheet2!A:A,0)),"")</f>
        <v>44994</v>
      </c>
      <c r="B5" s="59" t="s">
        <v>33</v>
      </c>
      <c r="C5" s="59">
        <v>8374152</v>
      </c>
      <c r="D5" s="60">
        <v>44995</v>
      </c>
      <c r="E5" s="60" t="s">
        <v>136</v>
      </c>
      <c r="F5" s="59">
        <v>4604</v>
      </c>
      <c r="G5" s="61">
        <v>45005</v>
      </c>
      <c r="H5" s="62" t="s">
        <v>68</v>
      </c>
      <c r="I5" s="59" t="s">
        <v>107</v>
      </c>
      <c r="J5" s="59" t="s">
        <v>69</v>
      </c>
      <c r="K5" s="68" t="s">
        <v>156</v>
      </c>
      <c r="L5" s="67"/>
    </row>
    <row r="6" spans="1:12" x14ac:dyDescent="0.25">
      <c r="A6" s="58">
        <f>IFERROR(INDEX(Sheet2!B:B,MATCH(Sheet1!B6,Sheet2!A:A,0)),"")</f>
        <v>45043</v>
      </c>
      <c r="B6" s="59" t="s">
        <v>95</v>
      </c>
      <c r="C6" s="59">
        <v>9157562</v>
      </c>
      <c r="D6" s="60">
        <v>45024</v>
      </c>
      <c r="E6" s="60" t="s">
        <v>136</v>
      </c>
      <c r="F6" s="59">
        <v>9898</v>
      </c>
      <c r="G6" s="61">
        <v>45051</v>
      </c>
      <c r="H6" s="62" t="s">
        <v>68</v>
      </c>
      <c r="I6" s="64" t="s">
        <v>108</v>
      </c>
      <c r="J6" s="59">
        <v>9098</v>
      </c>
      <c r="K6" s="68" t="s">
        <v>156</v>
      </c>
      <c r="L6" s="67"/>
    </row>
    <row r="7" spans="1:12" x14ac:dyDescent="0.25">
      <c r="A7" s="58">
        <f>IFERROR(INDEX(Sheet2!B:B,MATCH(Sheet1!B7,Sheet2!A:A,0)),"")</f>
        <v>45030</v>
      </c>
      <c r="B7" s="59" t="s">
        <v>96</v>
      </c>
      <c r="C7" s="59">
        <v>9350534</v>
      </c>
      <c r="D7" s="60">
        <v>45033</v>
      </c>
      <c r="E7" s="60" t="s">
        <v>136</v>
      </c>
      <c r="F7" s="59">
        <v>5297</v>
      </c>
      <c r="G7" s="61">
        <v>45056</v>
      </c>
      <c r="H7" s="62" t="s">
        <v>68</v>
      </c>
      <c r="I7" s="64" t="s">
        <v>109</v>
      </c>
      <c r="J7" s="59">
        <v>5297</v>
      </c>
      <c r="K7" s="68" t="s">
        <v>156</v>
      </c>
      <c r="L7" s="67"/>
    </row>
    <row r="8" spans="1:12" x14ac:dyDescent="0.25">
      <c r="A8" s="58">
        <f>IFERROR(INDEX(Sheet2!B:B,MATCH(Sheet1!B8,Sheet2!A:A,0)),"")</f>
        <v>45040</v>
      </c>
      <c r="B8" s="59" t="s">
        <v>97</v>
      </c>
      <c r="C8" s="59">
        <v>9564580</v>
      </c>
      <c r="D8" s="60">
        <v>45042</v>
      </c>
      <c r="E8" s="60" t="s">
        <v>136</v>
      </c>
      <c r="F8" s="59">
        <v>5696</v>
      </c>
      <c r="G8" s="61">
        <v>45056</v>
      </c>
      <c r="H8" s="4"/>
      <c r="I8" s="64" t="s">
        <v>110</v>
      </c>
      <c r="J8" s="59">
        <v>5696</v>
      </c>
      <c r="K8" s="68" t="s">
        <v>156</v>
      </c>
      <c r="L8" s="67"/>
    </row>
    <row r="9" spans="1:12" x14ac:dyDescent="0.25">
      <c r="A9" s="58">
        <f>IFERROR(INDEX(Sheet2!B:B,MATCH(Sheet1!B9,Sheet2!A:A,0)),"")</f>
        <v>45043</v>
      </c>
      <c r="B9" s="59" t="s">
        <v>98</v>
      </c>
      <c r="C9" s="59">
        <v>9620734</v>
      </c>
      <c r="D9" s="60">
        <v>45044</v>
      </c>
      <c r="E9" s="60" t="s">
        <v>136</v>
      </c>
      <c r="F9" s="59">
        <v>5788</v>
      </c>
      <c r="G9" s="61">
        <v>45056</v>
      </c>
      <c r="H9" s="4"/>
      <c r="I9" s="64" t="s">
        <v>110</v>
      </c>
      <c r="J9" s="59">
        <v>5788</v>
      </c>
      <c r="K9" s="68" t="s">
        <v>156</v>
      </c>
      <c r="L9" s="67"/>
    </row>
    <row r="10" spans="1:12" x14ac:dyDescent="0.25">
      <c r="A10" s="58">
        <f>IFERROR(INDEX(Sheet2!B:B,MATCH(Sheet1!B10,Sheet2!A:A,0)),"")</f>
        <v>45156</v>
      </c>
      <c r="B10" s="59" t="s">
        <v>99</v>
      </c>
      <c r="C10" s="59">
        <v>3307977</v>
      </c>
      <c r="D10" s="60">
        <v>45157</v>
      </c>
      <c r="E10" s="60" t="s">
        <v>134</v>
      </c>
      <c r="F10" s="59">
        <v>5273</v>
      </c>
      <c r="G10" s="61">
        <v>45462</v>
      </c>
      <c r="H10" s="62" t="s">
        <v>68</v>
      </c>
      <c r="I10" s="64" t="s">
        <v>111</v>
      </c>
      <c r="J10" s="59">
        <v>5274</v>
      </c>
      <c r="K10" s="68" t="s">
        <v>156</v>
      </c>
      <c r="L10" s="67"/>
    </row>
    <row r="11" spans="1:12" x14ac:dyDescent="0.25">
      <c r="A11" s="58">
        <f>IFERROR(INDEX(Sheet2!B:B,MATCH(Sheet1!B11,Sheet2!A:A,0)),"")</f>
        <v>45159</v>
      </c>
      <c r="B11" s="59" t="s">
        <v>100</v>
      </c>
      <c r="C11" s="59">
        <v>3337713</v>
      </c>
      <c r="D11" s="60">
        <v>45159</v>
      </c>
      <c r="E11" s="60" t="s">
        <v>134</v>
      </c>
      <c r="F11" s="59">
        <v>7551</v>
      </c>
      <c r="G11" s="61">
        <v>45174</v>
      </c>
      <c r="H11" s="62" t="s">
        <v>68</v>
      </c>
      <c r="I11" s="64" t="s">
        <v>112</v>
      </c>
      <c r="J11" s="59">
        <v>7551</v>
      </c>
      <c r="K11" s="68" t="s">
        <v>156</v>
      </c>
      <c r="L11" s="67"/>
    </row>
    <row r="12" spans="1:12" x14ac:dyDescent="0.25">
      <c r="A12" s="58">
        <f>IFERROR(INDEX(Sheet2!B:B,MATCH(Sheet1!B12,Sheet2!A:A,0)),"")</f>
        <v>45159</v>
      </c>
      <c r="B12" s="59" t="s">
        <v>101</v>
      </c>
      <c r="C12" s="59">
        <v>3403745</v>
      </c>
      <c r="D12" s="60">
        <v>45161</v>
      </c>
      <c r="E12" s="60" t="s">
        <v>134</v>
      </c>
      <c r="F12" s="59">
        <v>7391</v>
      </c>
      <c r="G12" s="61">
        <v>45462</v>
      </c>
      <c r="H12" s="62" t="s">
        <v>68</v>
      </c>
      <c r="I12" s="64" t="s">
        <v>113</v>
      </c>
      <c r="J12" s="59">
        <v>7391</v>
      </c>
      <c r="K12" s="68" t="s">
        <v>156</v>
      </c>
      <c r="L12" s="67"/>
    </row>
    <row r="13" spans="1:12" x14ac:dyDescent="0.25">
      <c r="A13" s="58">
        <f>IFERROR(INDEX(Sheet2!B:B,MATCH(Sheet1!B13,Sheet2!A:A,0)),"")</f>
        <v>45161</v>
      </c>
      <c r="B13" s="59" t="s">
        <v>102</v>
      </c>
      <c r="C13" s="59">
        <v>3440075</v>
      </c>
      <c r="D13" s="60">
        <v>45162</v>
      </c>
      <c r="E13" s="60" t="s">
        <v>137</v>
      </c>
      <c r="F13" s="59">
        <v>8547</v>
      </c>
      <c r="G13" s="61">
        <v>45190</v>
      </c>
      <c r="H13" s="62" t="s">
        <v>68</v>
      </c>
      <c r="I13" s="65">
        <v>100380025849</v>
      </c>
      <c r="J13" s="70">
        <v>8547</v>
      </c>
      <c r="K13" s="68" t="s">
        <v>156</v>
      </c>
      <c r="L13" s="67"/>
    </row>
    <row r="14" spans="1:12" x14ac:dyDescent="0.25">
      <c r="A14" s="58">
        <f>IFERROR(INDEX(Sheet2!B:B,MATCH(Sheet1!B14,Sheet2!A:A,0)),"")</f>
        <v>45176</v>
      </c>
      <c r="B14" s="59" t="s">
        <v>32</v>
      </c>
      <c r="C14" s="59">
        <v>3799502</v>
      </c>
      <c r="D14" s="60">
        <v>45177</v>
      </c>
      <c r="E14" s="60" t="s">
        <v>137</v>
      </c>
      <c r="F14" s="59">
        <v>9070</v>
      </c>
      <c r="G14" s="61">
        <v>45233</v>
      </c>
      <c r="H14" s="62" t="s">
        <v>68</v>
      </c>
      <c r="I14" s="66">
        <v>100380028112</v>
      </c>
      <c r="J14" s="71">
        <v>9070</v>
      </c>
      <c r="K14" s="59"/>
      <c r="L14" s="67"/>
    </row>
    <row r="15" spans="1:12" x14ac:dyDescent="0.25">
      <c r="A15" s="58">
        <f>IFERROR(INDEX(Sheet2!B:B,MATCH(Sheet1!B15,Sheet2!A:A,0)),"")</f>
        <v>45177</v>
      </c>
      <c r="B15" s="59" t="s">
        <v>31</v>
      </c>
      <c r="C15" s="59">
        <v>3817667</v>
      </c>
      <c r="D15" s="60">
        <v>45178</v>
      </c>
      <c r="E15" s="60" t="s">
        <v>137</v>
      </c>
      <c r="F15" s="59">
        <v>8904</v>
      </c>
      <c r="G15" s="61">
        <v>45233</v>
      </c>
      <c r="H15" s="62" t="s">
        <v>68</v>
      </c>
      <c r="I15" s="66">
        <v>10300047626</v>
      </c>
      <c r="J15" s="71">
        <v>8904</v>
      </c>
      <c r="K15" s="59"/>
      <c r="L15" s="67"/>
    </row>
    <row r="16" spans="1:12" x14ac:dyDescent="0.25">
      <c r="A16" s="58">
        <f>IFERROR(INDEX(Sheet2!B:B,MATCH(Sheet1!B16,Sheet2!A:A,0)),"")</f>
        <v>45180</v>
      </c>
      <c r="B16" s="59" t="s">
        <v>30</v>
      </c>
      <c r="C16" s="59">
        <v>3868042</v>
      </c>
      <c r="D16" s="60">
        <v>45181</v>
      </c>
      <c r="E16" s="60" t="s">
        <v>134</v>
      </c>
      <c r="F16" s="59">
        <v>4309</v>
      </c>
      <c r="G16" s="61">
        <v>45453</v>
      </c>
      <c r="H16" s="62" t="s">
        <v>68</v>
      </c>
      <c r="I16" s="64" t="s">
        <v>114</v>
      </c>
      <c r="J16" s="59">
        <v>4309</v>
      </c>
      <c r="K16" s="68" t="s">
        <v>156</v>
      </c>
      <c r="L16" s="67"/>
    </row>
    <row r="17" spans="1:12" x14ac:dyDescent="0.25">
      <c r="A17" s="58">
        <f>IFERROR(INDEX(Sheet2!B:B,MATCH(Sheet1!B17,Sheet2!A:A,0)),"")</f>
        <v>45204</v>
      </c>
      <c r="B17" s="59" t="s">
        <v>29</v>
      </c>
      <c r="C17" s="59">
        <v>4479626</v>
      </c>
      <c r="D17" s="60">
        <v>45206</v>
      </c>
      <c r="E17" s="60" t="s">
        <v>134</v>
      </c>
      <c r="F17" s="59">
        <v>4442</v>
      </c>
      <c r="G17" s="61">
        <v>45469</v>
      </c>
      <c r="H17" s="62" t="s">
        <v>68</v>
      </c>
      <c r="I17" s="64" t="s">
        <v>115</v>
      </c>
      <c r="J17" s="59">
        <v>4442</v>
      </c>
      <c r="K17" s="68" t="s">
        <v>156</v>
      </c>
      <c r="L17" s="67"/>
    </row>
    <row r="18" spans="1:12" x14ac:dyDescent="0.25">
      <c r="A18" s="58">
        <f>IFERROR(INDEX(Sheet2!B:B,MATCH(Sheet1!B18,Sheet2!A:A,0)),"")</f>
        <v>45216</v>
      </c>
      <c r="B18" s="59" t="s">
        <v>28</v>
      </c>
      <c r="C18" s="59">
        <v>4758161</v>
      </c>
      <c r="D18" s="60">
        <v>45218</v>
      </c>
      <c r="E18" s="60" t="s">
        <v>134</v>
      </c>
      <c r="F18" s="59">
        <v>4625</v>
      </c>
      <c r="G18" s="61">
        <v>45468</v>
      </c>
      <c r="H18" s="62" t="s">
        <v>68</v>
      </c>
      <c r="I18" s="64" t="s">
        <v>116</v>
      </c>
      <c r="J18" s="59">
        <v>4625</v>
      </c>
      <c r="K18" s="68" t="s">
        <v>156</v>
      </c>
      <c r="L18" s="67"/>
    </row>
    <row r="19" spans="1:12" x14ac:dyDescent="0.25">
      <c r="A19" s="58">
        <f>IFERROR(INDEX(Sheet2!B:B,MATCH(Sheet1!B19,Sheet2!A:A,0)),"")</f>
        <v>45218</v>
      </c>
      <c r="B19" s="59" t="s">
        <v>27</v>
      </c>
      <c r="C19" s="59">
        <v>4792598</v>
      </c>
      <c r="D19" s="60">
        <v>45219</v>
      </c>
      <c r="E19" s="60" t="s">
        <v>135</v>
      </c>
      <c r="F19" s="59">
        <v>4551</v>
      </c>
      <c r="G19" s="61">
        <v>45237</v>
      </c>
      <c r="H19" s="62" t="s">
        <v>68</v>
      </c>
      <c r="I19" s="66" t="s">
        <v>117</v>
      </c>
      <c r="J19" s="71">
        <v>4551</v>
      </c>
      <c r="K19" s="68" t="s">
        <v>156</v>
      </c>
      <c r="L19" s="67"/>
    </row>
    <row r="20" spans="1:12" x14ac:dyDescent="0.25">
      <c r="A20" s="58">
        <f>IFERROR(INDEX(Sheet2!B:B,MATCH(Sheet1!B20,Sheet2!A:A,0)),"")</f>
        <v>45221</v>
      </c>
      <c r="B20" s="59" t="s">
        <v>26</v>
      </c>
      <c r="C20" s="59">
        <v>4848440</v>
      </c>
      <c r="D20" s="60">
        <v>45222</v>
      </c>
      <c r="E20" s="60" t="s">
        <v>135</v>
      </c>
      <c r="F20" s="59">
        <v>4496</v>
      </c>
      <c r="G20" s="61">
        <v>45441</v>
      </c>
      <c r="H20" s="62" t="s">
        <v>68</v>
      </c>
      <c r="I20" s="66" t="s">
        <v>118</v>
      </c>
      <c r="J20" s="71">
        <v>4495</v>
      </c>
      <c r="K20" s="68" t="s">
        <v>156</v>
      </c>
      <c r="L20" s="67"/>
    </row>
    <row r="21" spans="1:12" x14ac:dyDescent="0.25">
      <c r="A21" s="58">
        <f>IFERROR(INDEX(Sheet2!B:B,MATCH(Sheet1!B21,Sheet2!A:A,0)),"")</f>
        <v>45221</v>
      </c>
      <c r="B21" s="59" t="s">
        <v>25</v>
      </c>
      <c r="C21" s="59">
        <v>4845527</v>
      </c>
      <c r="D21" s="60">
        <v>45222</v>
      </c>
      <c r="E21" s="60" t="s">
        <v>135</v>
      </c>
      <c r="F21" s="59">
        <v>4201</v>
      </c>
      <c r="G21" s="61">
        <v>45441</v>
      </c>
      <c r="H21" s="62" t="s">
        <v>201</v>
      </c>
      <c r="I21" s="64" t="s">
        <v>119</v>
      </c>
      <c r="J21" s="59">
        <v>4201</v>
      </c>
      <c r="K21" s="68" t="s">
        <v>156</v>
      </c>
      <c r="L21" s="67"/>
    </row>
    <row r="22" spans="1:12" x14ac:dyDescent="0.25">
      <c r="A22" s="58">
        <f>IFERROR(INDEX(Sheet2!B:B,MATCH(Sheet1!B22,Sheet2!A:A,0)),"")</f>
        <v>45225</v>
      </c>
      <c r="B22" s="59" t="s">
        <v>24</v>
      </c>
      <c r="C22" s="59">
        <v>4929602</v>
      </c>
      <c r="D22" s="60">
        <v>45226</v>
      </c>
      <c r="E22" s="60" t="s">
        <v>134</v>
      </c>
      <c r="F22" s="59">
        <v>4049</v>
      </c>
      <c r="G22" s="61">
        <v>45469</v>
      </c>
      <c r="H22" s="62" t="s">
        <v>68</v>
      </c>
      <c r="I22" s="64" t="s">
        <v>120</v>
      </c>
      <c r="J22" s="59">
        <v>4049</v>
      </c>
      <c r="K22" s="68" t="s">
        <v>156</v>
      </c>
      <c r="L22" s="67"/>
    </row>
    <row r="23" spans="1:12" x14ac:dyDescent="0.25">
      <c r="A23" s="58">
        <f>IFERROR(INDEX(Sheet2!B:B,MATCH(Sheet1!B23,Sheet2!A:A,0)),"")</f>
        <v>45237</v>
      </c>
      <c r="B23" s="59" t="s">
        <v>22</v>
      </c>
      <c r="C23" s="59">
        <v>5227518</v>
      </c>
      <c r="D23" s="60">
        <v>45238</v>
      </c>
      <c r="E23" s="60" t="s">
        <v>134</v>
      </c>
      <c r="F23" s="59">
        <v>4461</v>
      </c>
      <c r="G23" s="61">
        <v>45469</v>
      </c>
      <c r="H23" s="62" t="s">
        <v>68</v>
      </c>
      <c r="I23" s="64" t="s">
        <v>121</v>
      </c>
      <c r="J23" s="59">
        <v>4461</v>
      </c>
      <c r="K23" s="68" t="s">
        <v>156</v>
      </c>
      <c r="L23" s="67"/>
    </row>
    <row r="24" spans="1:12" x14ac:dyDescent="0.25">
      <c r="A24" s="58">
        <f>IFERROR(INDEX(Sheet2!B:B,MATCH(Sheet1!B24,Sheet2!A:A,0)),"")</f>
        <v>45264</v>
      </c>
      <c r="B24" s="59" t="s">
        <v>8</v>
      </c>
      <c r="C24" s="59">
        <v>5874109</v>
      </c>
      <c r="D24" s="60">
        <v>45267</v>
      </c>
      <c r="E24" s="60" t="s">
        <v>135</v>
      </c>
      <c r="F24" s="59">
        <v>4244</v>
      </c>
      <c r="G24" s="63"/>
      <c r="H24" s="62" t="s">
        <v>68</v>
      </c>
      <c r="I24" s="64" t="s">
        <v>122</v>
      </c>
      <c r="J24" s="59">
        <v>4244</v>
      </c>
      <c r="K24" s="68" t="s">
        <v>156</v>
      </c>
      <c r="L24" s="67"/>
    </row>
    <row r="25" spans="1:12" x14ac:dyDescent="0.25">
      <c r="A25" s="58">
        <f>IFERROR(INDEX(Sheet2!B:B,MATCH(Sheet1!B25,Sheet2!A:A,0)),"")</f>
        <v>45264</v>
      </c>
      <c r="B25" s="59" t="s">
        <v>7</v>
      </c>
      <c r="C25" s="59">
        <v>5951661</v>
      </c>
      <c r="D25" s="60">
        <v>45271</v>
      </c>
      <c r="E25" s="60" t="s">
        <v>135</v>
      </c>
      <c r="F25" s="59">
        <v>4265</v>
      </c>
      <c r="G25" s="63"/>
      <c r="H25" s="62" t="s">
        <v>68</v>
      </c>
      <c r="I25" s="64" t="s">
        <v>161</v>
      </c>
      <c r="J25" s="59">
        <v>4265</v>
      </c>
      <c r="K25" s="68" t="s">
        <v>156</v>
      </c>
      <c r="L25" s="67"/>
    </row>
    <row r="26" spans="1:12" x14ac:dyDescent="0.25">
      <c r="A26" s="58">
        <f>IFERROR(INDEX(Sheet2!B:B,MATCH(Sheet1!B26,Sheet2!A:A,0)),"")</f>
        <v>45286</v>
      </c>
      <c r="B26" s="59" t="s">
        <v>6</v>
      </c>
      <c r="C26" s="59">
        <v>6301293</v>
      </c>
      <c r="D26" s="60">
        <v>45286</v>
      </c>
      <c r="E26" s="60" t="s">
        <v>135</v>
      </c>
      <c r="F26" s="59">
        <v>4502</v>
      </c>
      <c r="G26" s="61">
        <v>45300</v>
      </c>
      <c r="H26" s="62" t="s">
        <v>68</v>
      </c>
      <c r="I26" s="64" t="s">
        <v>123</v>
      </c>
      <c r="J26" s="59">
        <v>4502</v>
      </c>
      <c r="K26" s="68" t="s">
        <v>156</v>
      </c>
      <c r="L26" s="67"/>
    </row>
    <row r="27" spans="1:12" x14ac:dyDescent="0.25">
      <c r="A27" s="58">
        <f>IFERROR(INDEX(Sheet2!B:B,MATCH(Sheet1!B27,Sheet2!A:A,0)),"")</f>
        <v>44957</v>
      </c>
      <c r="B27" s="59" t="s">
        <v>0</v>
      </c>
      <c r="C27" s="59">
        <v>7217927</v>
      </c>
      <c r="D27" s="60">
        <v>45324</v>
      </c>
      <c r="E27" s="60" t="s">
        <v>137</v>
      </c>
      <c r="F27" s="59">
        <v>3808</v>
      </c>
      <c r="G27" s="61">
        <v>44987</v>
      </c>
      <c r="H27" s="62" t="s">
        <v>68</v>
      </c>
      <c r="I27" s="64" t="s">
        <v>124</v>
      </c>
      <c r="J27" s="59">
        <v>3808</v>
      </c>
      <c r="K27" s="4"/>
      <c r="L27" s="67"/>
    </row>
    <row r="28" spans="1:12" x14ac:dyDescent="0.25">
      <c r="A28" s="58">
        <f>IFERROR(INDEX(Sheet2!B:B,MATCH(Sheet1!B28,Sheet2!A:A,0)),"")</f>
        <v>45328</v>
      </c>
      <c r="B28" s="59" t="s">
        <v>5</v>
      </c>
      <c r="C28" s="59">
        <v>7373152</v>
      </c>
      <c r="D28" s="60">
        <v>45330</v>
      </c>
      <c r="E28" s="60" t="s">
        <v>134</v>
      </c>
      <c r="F28" s="59">
        <v>7233</v>
      </c>
      <c r="G28" s="63" t="s">
        <v>69</v>
      </c>
      <c r="H28" s="62" t="s">
        <v>68</v>
      </c>
      <c r="I28" s="64">
        <v>2402092</v>
      </c>
      <c r="J28" s="59">
        <v>7232</v>
      </c>
      <c r="K28" s="68" t="s">
        <v>156</v>
      </c>
      <c r="L28" s="67"/>
    </row>
    <row r="29" spans="1:12" x14ac:dyDescent="0.25">
      <c r="A29" s="58">
        <f>IFERROR(INDEX(Sheet2!B:B,MATCH(Sheet1!B29,Sheet2!A:A,0)),"")</f>
        <v>45330</v>
      </c>
      <c r="B29" s="59" t="s">
        <v>70</v>
      </c>
      <c r="C29" s="59">
        <v>7393730</v>
      </c>
      <c r="D29" s="60">
        <v>45331</v>
      </c>
      <c r="E29" s="60" t="s">
        <v>135</v>
      </c>
      <c r="F29" s="59">
        <v>4093</v>
      </c>
      <c r="G29" s="61">
        <v>45483</v>
      </c>
      <c r="H29" s="62" t="s">
        <v>68</v>
      </c>
      <c r="I29" s="64" t="s">
        <v>125</v>
      </c>
      <c r="J29" s="59">
        <v>4093</v>
      </c>
      <c r="K29" s="68" t="s">
        <v>156</v>
      </c>
      <c r="L29" s="4"/>
    </row>
    <row r="30" spans="1:12" x14ac:dyDescent="0.25">
      <c r="A30" s="58">
        <f>IFERROR(INDEX(Sheet2!B:B,MATCH(Sheet1!B30,Sheet2!A:A,0)),"")</f>
        <v>45343</v>
      </c>
      <c r="B30" s="59" t="s">
        <v>71</v>
      </c>
      <c r="C30" s="59">
        <v>7788001</v>
      </c>
      <c r="D30" s="60">
        <v>45345</v>
      </c>
      <c r="E30" s="60" t="s">
        <v>138</v>
      </c>
      <c r="F30" s="59">
        <v>4239</v>
      </c>
      <c r="G30" s="61">
        <v>44999</v>
      </c>
      <c r="H30" s="62" t="s">
        <v>68</v>
      </c>
      <c r="I30" s="59" t="s">
        <v>163</v>
      </c>
      <c r="J30">
        <v>4239</v>
      </c>
      <c r="K30" s="68" t="s">
        <v>156</v>
      </c>
      <c r="L30" s="4"/>
    </row>
    <row r="31" spans="1:12" x14ac:dyDescent="0.25">
      <c r="A31" s="58">
        <f>IFERROR(INDEX(Sheet2!B:B,MATCH(Sheet1!B31,Sheet2!A:A,0)),"")</f>
        <v>45362</v>
      </c>
      <c r="B31" s="59" t="s">
        <v>84</v>
      </c>
      <c r="C31" s="59">
        <v>8275813</v>
      </c>
      <c r="D31" s="60">
        <v>45364</v>
      </c>
      <c r="E31" s="59" t="s">
        <v>138</v>
      </c>
      <c r="F31" s="59">
        <v>10663</v>
      </c>
      <c r="G31" s="61">
        <v>45388</v>
      </c>
      <c r="H31" s="62" t="s">
        <v>68</v>
      </c>
      <c r="I31" s="59" t="s">
        <v>164</v>
      </c>
      <c r="J31" s="59">
        <v>19194</v>
      </c>
      <c r="K31" s="68" t="s">
        <v>156</v>
      </c>
      <c r="L31" s="4"/>
    </row>
    <row r="32" spans="1:12" x14ac:dyDescent="0.25">
      <c r="A32" s="58">
        <f>IFERROR(INDEX(Sheet2!B:B,MATCH(Sheet1!B32,Sheet2!A:A,0)),"")</f>
        <v>45364</v>
      </c>
      <c r="B32" s="59" t="s">
        <v>85</v>
      </c>
      <c r="C32" s="59">
        <v>8316663</v>
      </c>
      <c r="D32" s="60">
        <v>45365</v>
      </c>
      <c r="E32" s="59" t="s">
        <v>135</v>
      </c>
      <c r="F32" s="59">
        <v>7352</v>
      </c>
      <c r="G32" s="61">
        <v>45385</v>
      </c>
      <c r="H32" s="62" t="s">
        <v>68</v>
      </c>
      <c r="I32" s="64" t="s">
        <v>165</v>
      </c>
      <c r="J32" s="59">
        <v>13234</v>
      </c>
      <c r="K32" s="68" t="s">
        <v>156</v>
      </c>
      <c r="L32" s="4"/>
    </row>
    <row r="33" spans="1:12" x14ac:dyDescent="0.25">
      <c r="A33" s="58">
        <f>IFERROR(INDEX(Sheet2!B:B,MATCH(Sheet1!B33,Sheet2!A:A,0)),"")</f>
        <v>45367</v>
      </c>
      <c r="B33" s="59" t="s">
        <v>92</v>
      </c>
      <c r="C33" s="59">
        <v>8408984</v>
      </c>
      <c r="D33" s="60">
        <v>45369</v>
      </c>
      <c r="E33" s="59" t="s">
        <v>135</v>
      </c>
      <c r="F33" s="59">
        <v>4009</v>
      </c>
      <c r="G33" s="61">
        <v>45386</v>
      </c>
      <c r="H33" s="62" t="s">
        <v>68</v>
      </c>
      <c r="I33" s="64" t="s">
        <v>166</v>
      </c>
      <c r="J33" s="59">
        <v>7216</v>
      </c>
      <c r="K33" s="68" t="s">
        <v>156</v>
      </c>
      <c r="L33" s="4"/>
    </row>
    <row r="34" spans="1:12" x14ac:dyDescent="0.25">
      <c r="A34" s="58">
        <f>IFERROR(INDEX(Sheet2!B:B,MATCH(Sheet1!B34,Sheet2!A:A,0)),"")</f>
        <v>45373</v>
      </c>
      <c r="B34" s="59" t="s">
        <v>128</v>
      </c>
      <c r="C34" s="59">
        <v>8574361</v>
      </c>
      <c r="D34" s="60">
        <v>45374</v>
      </c>
      <c r="E34" s="59" t="s">
        <v>135</v>
      </c>
      <c r="F34" s="59">
        <v>5359</v>
      </c>
      <c r="G34" s="61">
        <v>45398</v>
      </c>
      <c r="H34" s="62" t="s">
        <v>68</v>
      </c>
      <c r="I34" s="64" t="s">
        <v>167</v>
      </c>
      <c r="J34" s="59">
        <v>9647</v>
      </c>
      <c r="K34" s="68" t="s">
        <v>156</v>
      </c>
      <c r="L34" s="4"/>
    </row>
    <row r="35" spans="1:12" x14ac:dyDescent="0.25">
      <c r="A35" s="58">
        <f>IFERROR(INDEX(Sheet2!B:B,MATCH(Sheet1!B35,Sheet2!A:A,0)),"")</f>
        <v>45376</v>
      </c>
      <c r="B35" s="59" t="s">
        <v>129</v>
      </c>
      <c r="C35" s="59">
        <v>8620872</v>
      </c>
      <c r="D35" s="60">
        <v>45377</v>
      </c>
      <c r="E35" s="59" t="s">
        <v>135</v>
      </c>
      <c r="F35" s="59">
        <v>4188</v>
      </c>
      <c r="G35" s="61">
        <v>45398</v>
      </c>
      <c r="H35" s="62" t="s">
        <v>68</v>
      </c>
      <c r="I35" s="64" t="s">
        <v>168</v>
      </c>
      <c r="J35" s="59">
        <v>7538</v>
      </c>
      <c r="K35" s="68" t="s">
        <v>156</v>
      </c>
      <c r="L35" s="4"/>
    </row>
    <row r="36" spans="1:12" x14ac:dyDescent="0.25">
      <c r="A36" s="31" t="str">
        <f>IFERROR(INDEX(Sheet2!B:B,MATCH(Sheet1!#REF!,Sheet2!A:A,0)),"")</f>
        <v/>
      </c>
    </row>
    <row r="37" spans="1:12" x14ac:dyDescent="0.25">
      <c r="A37" s="31" t="str">
        <f>IFERROR(INDEX(Sheet2!B40:B71,MATCH(Sheet1!#REF!,Sheet2!A39:A71,0)),"")</f>
        <v/>
      </c>
    </row>
    <row r="38" spans="1:12" x14ac:dyDescent="0.25">
      <c r="A38" s="31" t="str">
        <f>IFERROR(INDEX(Sheet2!B41:B72,MATCH(Sheet1!#REF!,Sheet2!A40:A72,0)),"")</f>
        <v/>
      </c>
    </row>
    <row r="39" spans="1:12" x14ac:dyDescent="0.25">
      <c r="A39" s="31" t="str">
        <f>IFERROR(INDEX(Sheet2!B43:B73,MATCH(Sheet1!#REF!,Sheet2!A41:A73,0)),"")</f>
        <v/>
      </c>
    </row>
    <row r="40" spans="1:12" x14ac:dyDescent="0.25">
      <c r="A40" s="31" t="str">
        <f>IFERROR(INDEX(Sheet2!B43:B74,MATCH(Sheet1!#REF!,Sheet2!A43:A74,0)),"")</f>
        <v/>
      </c>
    </row>
    <row r="41" spans="1:12" x14ac:dyDescent="0.25">
      <c r="A41" s="31" t="str">
        <f>IFERROR(INDEX(Sheet2!B44:B75,MATCH(Sheet1!#REF!,Sheet2!A43:A75,0)),"")</f>
        <v/>
      </c>
    </row>
    <row r="42" spans="1:12" x14ac:dyDescent="0.25">
      <c r="A42" s="31" t="str">
        <f>IFERROR(INDEX(Sheet2!B45:B76,MATCH(Sheet1!#REF!,Sheet2!A44:A76,0)),"")</f>
        <v/>
      </c>
    </row>
    <row r="43" spans="1:12" x14ac:dyDescent="0.25">
      <c r="A43" s="31" t="str">
        <f>IFERROR(INDEX(Sheet2!B46:B77,MATCH(Sheet1!#REF!,Sheet2!A45:A77,0)),"")</f>
        <v/>
      </c>
    </row>
    <row r="44" spans="1:12" x14ac:dyDescent="0.25">
      <c r="A44" s="31" t="str">
        <f>IFERROR(INDEX(Sheet2!B47:B78,MATCH(Sheet1!#REF!,Sheet2!A46:A78,0)),"")</f>
        <v/>
      </c>
    </row>
    <row r="45" spans="1:12" x14ac:dyDescent="0.25">
      <c r="A45" s="31" t="str">
        <f>IFERROR(INDEX(Sheet2!B48:B79,MATCH(Sheet1!#REF!,Sheet2!A47:A79,0)),"")</f>
        <v/>
      </c>
    </row>
    <row r="46" spans="1:12" x14ac:dyDescent="0.25">
      <c r="A46" s="31" t="str">
        <f>IFERROR(INDEX(Sheet2!B49:B80,MATCH(Sheet1!#REF!,Sheet2!A48:A80,0)),"")</f>
        <v/>
      </c>
    </row>
    <row r="47" spans="1:12" x14ac:dyDescent="0.25">
      <c r="A47" s="31" t="str">
        <f>IFERROR(INDEX(Sheet2!B50:B81,MATCH(Sheet1!#REF!,Sheet2!A49:A81,0)),"")</f>
        <v/>
      </c>
    </row>
    <row r="48" spans="1:12" x14ac:dyDescent="0.25">
      <c r="A48" s="31" t="str">
        <f>IFERROR(INDEX(Sheet2!B51:B82,MATCH(Sheet1!#REF!,Sheet2!A50:A82,0)),"")</f>
        <v/>
      </c>
    </row>
    <row r="49" spans="1:1" x14ac:dyDescent="0.25">
      <c r="A49" s="31" t="str">
        <f>IFERROR(INDEX(Sheet2!B52:B83,MATCH(Sheet1!#REF!,Sheet2!A51:A83,0)),"")</f>
        <v/>
      </c>
    </row>
    <row r="50" spans="1:1" x14ac:dyDescent="0.25">
      <c r="A50" s="31" t="str">
        <f>IFERROR(INDEX(Sheet2!B53:B84,MATCH(Sheet1!#REF!,Sheet2!A52:A84,0)),"")</f>
        <v/>
      </c>
    </row>
    <row r="51" spans="1:1" x14ac:dyDescent="0.25">
      <c r="A51" s="31" t="str">
        <f>IFERROR(INDEX(Sheet2!B54:B85,MATCH(Sheet1!#REF!,Sheet2!A53:A85,0)),"")</f>
        <v/>
      </c>
    </row>
    <row r="52" spans="1:1" x14ac:dyDescent="0.25">
      <c r="A52" s="31" t="str">
        <f>IFERROR(INDEX(Sheet2!B55:B86,MATCH(Sheet1!#REF!,Sheet2!A54:A86,0)),"")</f>
        <v/>
      </c>
    </row>
    <row r="53" spans="1:1" x14ac:dyDescent="0.25">
      <c r="A53" s="31" t="str">
        <f>IFERROR(INDEX(Sheet2!B56:B87,MATCH(Sheet1!#REF!,Sheet2!A55:A87,0)),"")</f>
        <v/>
      </c>
    </row>
    <row r="54" spans="1:1" x14ac:dyDescent="0.25">
      <c r="A54" s="31" t="str">
        <f>IFERROR(INDEX(Sheet2!B57:B88,MATCH(Sheet1!#REF!,Sheet2!A56:A88,0)),"")</f>
        <v/>
      </c>
    </row>
    <row r="55" spans="1:1" x14ac:dyDescent="0.25">
      <c r="A55" s="31" t="str">
        <f>IFERROR(INDEX(Sheet2!B58:B89,MATCH(Sheet1!#REF!,Sheet2!A57:A89,0)),"")</f>
        <v/>
      </c>
    </row>
    <row r="56" spans="1:1" x14ac:dyDescent="0.25">
      <c r="A56" s="31" t="str">
        <f>IFERROR(INDEX(Sheet2!B59:B90,MATCH(Sheet1!#REF!,Sheet2!A58:A90,0)),"")</f>
        <v/>
      </c>
    </row>
    <row r="57" spans="1:1" x14ac:dyDescent="0.25">
      <c r="A57" s="31" t="str">
        <f>IFERROR(INDEX(Sheet2!B60:B91,MATCH(Sheet1!#REF!,Sheet2!A59:A91,0)),"")</f>
        <v/>
      </c>
    </row>
    <row r="58" spans="1:1" x14ac:dyDescent="0.25">
      <c r="A58" s="31" t="str">
        <f>IFERROR(INDEX(Sheet2!B61:B92,MATCH(Sheet1!#REF!,Sheet2!A60:A92,0)),"")</f>
        <v/>
      </c>
    </row>
  </sheetData>
  <autoFilter ref="A1:L58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"/>
  <sheetViews>
    <sheetView workbookViewId="0">
      <selection activeCell="B10" sqref="B10"/>
    </sheetView>
  </sheetViews>
  <sheetFormatPr defaultRowHeight="15" x14ac:dyDescent="0.25"/>
  <cols>
    <col min="2" max="3" width="10.140625" bestFit="1" customWidth="1"/>
    <col min="4" max="4" width="10.85546875" bestFit="1" customWidth="1"/>
  </cols>
  <sheetData>
    <row r="1" spans="1:8" x14ac:dyDescent="0.25">
      <c r="A1">
        <v>8620872</v>
      </c>
      <c r="B1" t="s">
        <v>178</v>
      </c>
      <c r="C1">
        <v>122142</v>
      </c>
      <c r="D1" t="s">
        <v>179</v>
      </c>
      <c r="F1" t="s">
        <v>180</v>
      </c>
      <c r="G1" s="54">
        <v>7538</v>
      </c>
    </row>
    <row r="2" spans="1:8" x14ac:dyDescent="0.25">
      <c r="B2">
        <v>8408984</v>
      </c>
      <c r="C2" t="s">
        <v>181</v>
      </c>
      <c r="D2">
        <v>121480</v>
      </c>
      <c r="E2" t="s">
        <v>182</v>
      </c>
      <c r="G2" t="s">
        <v>180</v>
      </c>
      <c r="H2" s="54">
        <v>7216</v>
      </c>
    </row>
    <row r="3" spans="1:8" x14ac:dyDescent="0.25">
      <c r="B3">
        <v>8275813</v>
      </c>
      <c r="C3" t="s">
        <v>183</v>
      </c>
      <c r="D3">
        <v>121162</v>
      </c>
      <c r="E3" t="s">
        <v>184</v>
      </c>
      <c r="G3" t="s">
        <v>185</v>
      </c>
      <c r="H3" s="54">
        <v>19194</v>
      </c>
    </row>
    <row r="4" spans="1:8" x14ac:dyDescent="0.25">
      <c r="B4">
        <v>6301293</v>
      </c>
      <c r="C4" t="s">
        <v>186</v>
      </c>
      <c r="D4">
        <v>115537</v>
      </c>
      <c r="E4" t="s">
        <v>187</v>
      </c>
      <c r="G4" t="s">
        <v>180</v>
      </c>
      <c r="H4" s="54">
        <v>4502</v>
      </c>
    </row>
    <row r="5" spans="1:8" x14ac:dyDescent="0.25">
      <c r="B5">
        <v>4792598</v>
      </c>
      <c r="C5" t="s">
        <v>188</v>
      </c>
      <c r="D5">
        <v>110468</v>
      </c>
      <c r="E5" t="s">
        <v>189</v>
      </c>
      <c r="G5" t="s">
        <v>180</v>
      </c>
      <c r="H5" s="54">
        <v>4551</v>
      </c>
    </row>
    <row r="6" spans="1:8" x14ac:dyDescent="0.25">
      <c r="B6">
        <v>3337713</v>
      </c>
      <c r="C6" t="s">
        <v>190</v>
      </c>
      <c r="D6">
        <v>105778</v>
      </c>
      <c r="E6" t="s">
        <v>191</v>
      </c>
      <c r="G6" t="s">
        <v>180</v>
      </c>
      <c r="H6" s="54">
        <v>7551</v>
      </c>
    </row>
    <row r="7" spans="1:8" x14ac:dyDescent="0.25">
      <c r="B7">
        <v>9564580</v>
      </c>
      <c r="C7" t="s">
        <v>192</v>
      </c>
      <c r="D7" t="s">
        <v>193</v>
      </c>
      <c r="E7" t="s">
        <v>194</v>
      </c>
      <c r="G7" t="s">
        <v>180</v>
      </c>
      <c r="H7" s="54">
        <v>5696</v>
      </c>
    </row>
    <row r="8" spans="1:8" x14ac:dyDescent="0.25">
      <c r="B8">
        <v>9620734</v>
      </c>
      <c r="C8" t="s">
        <v>195</v>
      </c>
      <c r="D8" t="s">
        <v>193</v>
      </c>
      <c r="E8" t="s">
        <v>194</v>
      </c>
      <c r="G8" t="s">
        <v>180</v>
      </c>
      <c r="H8" s="54">
        <v>5788</v>
      </c>
    </row>
    <row r="9" spans="1:8" x14ac:dyDescent="0.25">
      <c r="B9">
        <v>8374152</v>
      </c>
      <c r="C9" t="s">
        <v>196</v>
      </c>
      <c r="D9" t="s">
        <v>197</v>
      </c>
      <c r="E9" t="s">
        <v>195</v>
      </c>
      <c r="G9" t="s">
        <v>180</v>
      </c>
      <c r="H9" s="54">
        <v>4604</v>
      </c>
    </row>
    <row r="10" spans="1:8" x14ac:dyDescent="0.25">
      <c r="B10">
        <v>8128514</v>
      </c>
      <c r="C10" t="s">
        <v>198</v>
      </c>
      <c r="D10" t="s">
        <v>199</v>
      </c>
      <c r="E10" t="s">
        <v>200</v>
      </c>
      <c r="G10" t="s">
        <v>180</v>
      </c>
      <c r="H10" s="54">
        <v>6842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15"/>
  <sheetViews>
    <sheetView zoomScale="115" zoomScaleNormal="115" workbookViewId="0">
      <pane xSplit="1" topLeftCell="B1" activePane="topRight" state="frozen"/>
      <selection pane="topRight" activeCell="I17" sqref="I17"/>
    </sheetView>
  </sheetViews>
  <sheetFormatPr defaultRowHeight="15" x14ac:dyDescent="0.25"/>
  <cols>
    <col min="1" max="1" width="18.7109375" bestFit="1" customWidth="1"/>
    <col min="2" max="2" width="6.85546875" bestFit="1" customWidth="1"/>
    <col min="3" max="3" width="6.85546875" customWidth="1"/>
    <col min="4" max="11" width="6.85546875" bestFit="1" customWidth="1"/>
  </cols>
  <sheetData>
    <row r="1" spans="1:11" x14ac:dyDescent="0.25">
      <c r="A1" s="38" t="s">
        <v>152</v>
      </c>
      <c r="B1" s="38" t="s">
        <v>129</v>
      </c>
      <c r="C1" s="38" t="s">
        <v>128</v>
      </c>
      <c r="D1" s="38" t="s">
        <v>92</v>
      </c>
      <c r="E1" s="38" t="s">
        <v>85</v>
      </c>
      <c r="F1" s="38" t="s">
        <v>84</v>
      </c>
      <c r="G1" s="38" t="s">
        <v>71</v>
      </c>
      <c r="H1" s="38" t="s">
        <v>70</v>
      </c>
      <c r="I1" s="53" t="s">
        <v>5</v>
      </c>
      <c r="J1" s="40" t="s">
        <v>0</v>
      </c>
      <c r="K1" s="40" t="s">
        <v>6</v>
      </c>
    </row>
    <row r="2" spans="1:11" x14ac:dyDescent="0.25">
      <c r="A2" s="39" t="s">
        <v>143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39" t="s">
        <v>144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39" t="s">
        <v>145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5">
      <c r="A5" s="39" t="s">
        <v>146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25">
      <c r="A6" s="39" t="s">
        <v>162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5">
      <c r="A7" s="39" t="s">
        <v>147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9" t="s">
        <v>148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39" t="s">
        <v>149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39" t="s">
        <v>153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25">
      <c r="A11" s="39" t="s">
        <v>154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5">
      <c r="A12" s="39" t="s">
        <v>155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39" t="s">
        <v>150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9" t="s">
        <v>151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s="39" t="s">
        <v>91</v>
      </c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7" r:id="rId4" name="Check Box 43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5" name="Check Box 46">
              <controlPr defaultSize="0" autoFill="0" autoLine="0" autoPict="0">
                <anchor moveWithCells="1">
                  <from>
                    <xdr:col>4</xdr:col>
                    <xdr:colOff>114300</xdr:colOff>
                    <xdr:row>0</xdr:row>
                    <xdr:rowOff>133350</xdr:rowOff>
                  </from>
                  <to>
                    <xdr:col>5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6" name="Check Box 47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7" name="Check Box 48">
              <controlPr defaultSize="0" autoFill="0" autoLine="0" autoPict="0">
                <anchor moveWithCells="1">
                  <from>
                    <xdr:col>5</xdr:col>
                    <xdr:colOff>114300</xdr:colOff>
                    <xdr:row>0</xdr:row>
                    <xdr:rowOff>133350</xdr:rowOff>
                  </from>
                  <to>
                    <xdr:col>6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8" name="Check Box 49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9" name="Check Box 50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0" name="Check Box 51">
              <controlPr defaultSize="0" autoFill="0" autoLine="0" autoPict="0">
                <anchor moveWithCells="1">
                  <from>
                    <xdr:col>6</xdr:col>
                    <xdr:colOff>114300</xdr:colOff>
                    <xdr:row>0</xdr:row>
                    <xdr:rowOff>133350</xdr:rowOff>
                  </from>
                  <to>
                    <xdr:col>7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11" name="Check Box 52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12" name="Check Box 53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3" name="Check Box 54">
              <controlPr defaultSize="0" autoFill="0" autoLine="0" autoPict="0">
                <anchor moveWithCells="1">
                  <from>
                    <xdr:col>7</xdr:col>
                    <xdr:colOff>114300</xdr:colOff>
                    <xdr:row>0</xdr:row>
                    <xdr:rowOff>133350</xdr:rowOff>
                  </from>
                  <to>
                    <xdr:col>8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14" name="Check Box 55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15" name="Check Box 56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16" name="Check Box 57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17" name="Check Box 58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18" name="Check Box 59">
              <controlPr defaultSize="0" autoFill="0" autoLine="0" autoPict="0">
                <anchor moveWithCells="1">
                  <from>
                    <xdr:col>10</xdr:col>
                    <xdr:colOff>114300</xdr:colOff>
                    <xdr:row>0</xdr:row>
                    <xdr:rowOff>133350</xdr:rowOff>
                  </from>
                  <to>
                    <xdr:col>11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19" name="Check Box 61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0" name="Check Box 62">
              <controlPr defaultSize="0" autoFill="0" autoLine="0" autoPict="0">
                <anchor moveWithCells="1">
                  <from>
                    <xdr:col>4</xdr:col>
                    <xdr:colOff>114300</xdr:colOff>
                    <xdr:row>1</xdr:row>
                    <xdr:rowOff>133350</xdr:rowOff>
                  </from>
                  <to>
                    <xdr:col>5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21" name="Check Box 63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22" name="Check Box 64">
              <controlPr defaultSize="0" autoFill="0" autoLine="0" autoPict="0">
                <anchor moveWithCells="1">
                  <from>
                    <xdr:col>5</xdr:col>
                    <xdr:colOff>114300</xdr:colOff>
                    <xdr:row>1</xdr:row>
                    <xdr:rowOff>133350</xdr:rowOff>
                  </from>
                  <to>
                    <xdr:col>6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23" name="Check Box 65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24" name="Check Box 66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25" name="Check Box 67">
              <controlPr defaultSize="0" autoFill="0" autoLine="0" autoPict="0">
                <anchor moveWithCells="1">
                  <from>
                    <xdr:col>6</xdr:col>
                    <xdr:colOff>114300</xdr:colOff>
                    <xdr:row>1</xdr:row>
                    <xdr:rowOff>133350</xdr:rowOff>
                  </from>
                  <to>
                    <xdr:col>7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26" name="Check Box 68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7" name="Check Box 69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8" name="Check Box 70">
              <controlPr defaultSize="0" autoFill="0" autoLine="0" autoPict="0">
                <anchor moveWithCells="1">
                  <from>
                    <xdr:col>7</xdr:col>
                    <xdr:colOff>114300</xdr:colOff>
                    <xdr:row>1</xdr:row>
                    <xdr:rowOff>133350</xdr:rowOff>
                  </from>
                  <to>
                    <xdr:col>8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9" name="Check Box 71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30" name="Check Box 72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31" name="Check Box 73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32" name="Check Box 74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33" name="Check Box 75">
              <controlPr defaultSize="0" autoFill="0" autoLine="0" autoPict="0">
                <anchor moveWithCells="1">
                  <from>
                    <xdr:col>10</xdr:col>
                    <xdr:colOff>114300</xdr:colOff>
                    <xdr:row>1</xdr:row>
                    <xdr:rowOff>133350</xdr:rowOff>
                  </from>
                  <to>
                    <xdr:col>11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34" name="Check Box 77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35" name="Check Box 78">
              <controlPr defaultSize="0" autoFill="0" autoLine="0" autoPict="0">
                <anchor moveWithCells="1">
                  <from>
                    <xdr:col>4</xdr:col>
                    <xdr:colOff>114300</xdr:colOff>
                    <xdr:row>2</xdr:row>
                    <xdr:rowOff>133350</xdr:rowOff>
                  </from>
                  <to>
                    <xdr:col>5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36" name="Check Box 79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37" name="Check Box 80">
              <controlPr defaultSize="0" autoFill="0" autoLine="0" autoPict="0">
                <anchor moveWithCells="1">
                  <from>
                    <xdr:col>5</xdr:col>
                    <xdr:colOff>114300</xdr:colOff>
                    <xdr:row>2</xdr:row>
                    <xdr:rowOff>133350</xdr:rowOff>
                  </from>
                  <to>
                    <xdr:col>6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38" name="Check Box 81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39" name="Check Box 82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40" name="Check Box 83">
              <controlPr defaultSize="0" autoFill="0" autoLine="0" autoPict="0">
                <anchor moveWithCells="1">
                  <from>
                    <xdr:col>6</xdr:col>
                    <xdr:colOff>114300</xdr:colOff>
                    <xdr:row>2</xdr:row>
                    <xdr:rowOff>133350</xdr:rowOff>
                  </from>
                  <to>
                    <xdr:col>7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41" name="Check Box 84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42" name="Check Box 85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43" name="Check Box 86">
              <controlPr defaultSize="0" autoFill="0" autoLine="0" autoPict="0">
                <anchor moveWithCells="1">
                  <from>
                    <xdr:col>7</xdr:col>
                    <xdr:colOff>114300</xdr:colOff>
                    <xdr:row>2</xdr:row>
                    <xdr:rowOff>133350</xdr:rowOff>
                  </from>
                  <to>
                    <xdr:col>8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44" name="Check Box 87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45" name="Check Box 88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46" name="Check Box 89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47" name="Check Box 90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48" name="Check Box 91">
              <controlPr defaultSize="0" autoFill="0" autoLine="0" autoPict="0">
                <anchor moveWithCells="1">
                  <from>
                    <xdr:col>10</xdr:col>
                    <xdr:colOff>114300</xdr:colOff>
                    <xdr:row>2</xdr:row>
                    <xdr:rowOff>133350</xdr:rowOff>
                  </from>
                  <to>
                    <xdr:col>11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49" name="Check Box 93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50" name="Check Box 94">
              <controlPr defaultSize="0" autoFill="0" autoLine="0" autoPict="0">
                <anchor moveWithCells="1">
                  <from>
                    <xdr:col>4</xdr:col>
                    <xdr:colOff>114300</xdr:colOff>
                    <xdr:row>3</xdr:row>
                    <xdr:rowOff>133350</xdr:rowOff>
                  </from>
                  <to>
                    <xdr:col>5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51" name="Check Box 95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52" name="Check Box 96">
              <controlPr defaultSize="0" autoFill="0" autoLine="0" autoPict="0">
                <anchor moveWithCells="1">
                  <from>
                    <xdr:col>5</xdr:col>
                    <xdr:colOff>114300</xdr:colOff>
                    <xdr:row>3</xdr:row>
                    <xdr:rowOff>133350</xdr:rowOff>
                  </from>
                  <to>
                    <xdr:col>6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53" name="Check Box 97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54" name="Check Box 98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55" name="Check Box 99">
              <controlPr defaultSize="0" autoFill="0" autoLine="0" autoPict="0">
                <anchor moveWithCells="1">
                  <from>
                    <xdr:col>6</xdr:col>
                    <xdr:colOff>114300</xdr:colOff>
                    <xdr:row>3</xdr:row>
                    <xdr:rowOff>133350</xdr:rowOff>
                  </from>
                  <to>
                    <xdr:col>7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56" name="Check Box 100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57" name="Check Box 101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58" name="Check Box 102">
              <controlPr defaultSize="0" autoFill="0" autoLine="0" autoPict="0">
                <anchor moveWithCells="1">
                  <from>
                    <xdr:col>7</xdr:col>
                    <xdr:colOff>114300</xdr:colOff>
                    <xdr:row>3</xdr:row>
                    <xdr:rowOff>133350</xdr:rowOff>
                  </from>
                  <to>
                    <xdr:col>8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59" name="Check Box 103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60" name="Check Box 104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61" name="Check Box 105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62" name="Check Box 106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63" name="Check Box 107">
              <controlPr defaultSize="0" autoFill="0" autoLine="0" autoPict="0">
                <anchor moveWithCells="1">
                  <from>
                    <xdr:col>10</xdr:col>
                    <xdr:colOff>114300</xdr:colOff>
                    <xdr:row>3</xdr:row>
                    <xdr:rowOff>133350</xdr:rowOff>
                  </from>
                  <to>
                    <xdr:col>11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64" name="Check Box 109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65" name="Check Box 110">
              <controlPr defaultSize="0" autoFill="0" autoLine="0" autoPict="0">
                <anchor moveWithCells="1">
                  <from>
                    <xdr:col>4</xdr:col>
                    <xdr:colOff>114300</xdr:colOff>
                    <xdr:row>4</xdr:row>
                    <xdr:rowOff>133350</xdr:rowOff>
                  </from>
                  <to>
                    <xdr:col>5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66" name="Check Box 111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67" name="Check Box 112">
              <controlPr defaultSize="0" autoFill="0" autoLine="0" autoPict="0">
                <anchor moveWithCells="1">
                  <from>
                    <xdr:col>5</xdr:col>
                    <xdr:colOff>114300</xdr:colOff>
                    <xdr:row>4</xdr:row>
                    <xdr:rowOff>133350</xdr:rowOff>
                  </from>
                  <to>
                    <xdr:col>6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68" name="Check Box 113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69" name="Check Box 114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70" name="Check Box 115">
              <controlPr defaultSize="0" autoFill="0" autoLine="0" autoPict="0">
                <anchor moveWithCells="1">
                  <from>
                    <xdr:col>6</xdr:col>
                    <xdr:colOff>114300</xdr:colOff>
                    <xdr:row>4</xdr:row>
                    <xdr:rowOff>133350</xdr:rowOff>
                  </from>
                  <to>
                    <xdr:col>7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71" name="Check Box 116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72" name="Check Box 117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73" name="Check Box 118">
              <controlPr defaultSize="0" autoFill="0" autoLine="0" autoPict="0">
                <anchor moveWithCells="1">
                  <from>
                    <xdr:col>7</xdr:col>
                    <xdr:colOff>114300</xdr:colOff>
                    <xdr:row>4</xdr:row>
                    <xdr:rowOff>133350</xdr:rowOff>
                  </from>
                  <to>
                    <xdr:col>8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74" name="Check Box 119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75" name="Check Box 120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76" name="Check Box 121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77" name="Check Box 122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78" name="Check Box 123">
              <controlPr defaultSize="0" autoFill="0" autoLine="0" autoPict="0">
                <anchor moveWithCells="1">
                  <from>
                    <xdr:col>10</xdr:col>
                    <xdr:colOff>114300</xdr:colOff>
                    <xdr:row>4</xdr:row>
                    <xdr:rowOff>133350</xdr:rowOff>
                  </from>
                  <to>
                    <xdr:col>11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79" name="Check Box 125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80" name="Check Box 126">
              <controlPr defaultSize="0" autoFill="0" autoLine="0" autoPict="0">
                <anchor moveWithCells="1">
                  <from>
                    <xdr:col>4</xdr:col>
                    <xdr:colOff>114300</xdr:colOff>
                    <xdr:row>5</xdr:row>
                    <xdr:rowOff>133350</xdr:rowOff>
                  </from>
                  <to>
                    <xdr:col>5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81" name="Check Box 127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82" name="Check Box 128">
              <controlPr defaultSize="0" autoFill="0" autoLine="0" autoPict="0">
                <anchor moveWithCells="1">
                  <from>
                    <xdr:col>5</xdr:col>
                    <xdr:colOff>114300</xdr:colOff>
                    <xdr:row>5</xdr:row>
                    <xdr:rowOff>133350</xdr:rowOff>
                  </from>
                  <to>
                    <xdr:col>6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83" name="Check Box 129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84" name="Check Box 130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85" name="Check Box 131">
              <controlPr defaultSize="0" autoFill="0" autoLine="0" autoPict="0">
                <anchor moveWithCells="1">
                  <from>
                    <xdr:col>6</xdr:col>
                    <xdr:colOff>114300</xdr:colOff>
                    <xdr:row>5</xdr:row>
                    <xdr:rowOff>133350</xdr:rowOff>
                  </from>
                  <to>
                    <xdr:col>7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86" name="Check Box 132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87" name="Check Box 133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88" name="Check Box 134">
              <controlPr defaultSize="0" autoFill="0" autoLine="0" autoPict="0">
                <anchor moveWithCells="1">
                  <from>
                    <xdr:col>7</xdr:col>
                    <xdr:colOff>114300</xdr:colOff>
                    <xdr:row>5</xdr:row>
                    <xdr:rowOff>133350</xdr:rowOff>
                  </from>
                  <to>
                    <xdr:col>8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89" name="Check Box 135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90" name="Check Box 136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91" name="Check Box 137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92" name="Check Box 138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93" name="Check Box 139">
              <controlPr defaultSize="0" autoFill="0" autoLine="0" autoPict="0">
                <anchor moveWithCells="1">
                  <from>
                    <xdr:col>10</xdr:col>
                    <xdr:colOff>114300</xdr:colOff>
                    <xdr:row>5</xdr:row>
                    <xdr:rowOff>133350</xdr:rowOff>
                  </from>
                  <to>
                    <xdr:col>11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94" name="Check Box 141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95" name="Check Box 142">
              <controlPr defaultSize="0" autoFill="0" autoLine="0" autoPict="0">
                <anchor moveWithCells="1">
                  <from>
                    <xdr:col>4</xdr:col>
                    <xdr:colOff>114300</xdr:colOff>
                    <xdr:row>6</xdr:row>
                    <xdr:rowOff>133350</xdr:rowOff>
                  </from>
                  <to>
                    <xdr:col>5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96" name="Check Box 143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97" name="Check Box 144">
              <controlPr defaultSize="0" autoFill="0" autoLine="0" autoPict="0">
                <anchor moveWithCells="1">
                  <from>
                    <xdr:col>5</xdr:col>
                    <xdr:colOff>114300</xdr:colOff>
                    <xdr:row>6</xdr:row>
                    <xdr:rowOff>133350</xdr:rowOff>
                  </from>
                  <to>
                    <xdr:col>6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98" name="Check Box 145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99" name="Check Box 146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00" name="Check Box 147">
              <controlPr defaultSize="0" autoFill="0" autoLine="0" autoPict="0">
                <anchor moveWithCells="1">
                  <from>
                    <xdr:col>6</xdr:col>
                    <xdr:colOff>114300</xdr:colOff>
                    <xdr:row>6</xdr:row>
                    <xdr:rowOff>133350</xdr:rowOff>
                  </from>
                  <to>
                    <xdr:col>7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01" name="Check Box 148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02" name="Check Box 149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03" name="Check Box 150">
              <controlPr defaultSize="0" autoFill="0" autoLine="0" autoPict="0">
                <anchor moveWithCells="1">
                  <from>
                    <xdr:col>7</xdr:col>
                    <xdr:colOff>114300</xdr:colOff>
                    <xdr:row>6</xdr:row>
                    <xdr:rowOff>133350</xdr:rowOff>
                  </from>
                  <to>
                    <xdr:col>8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04" name="Check Box 151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05" name="Check Box 152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06" name="Check Box 153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07" name="Check Box 154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08" name="Check Box 155">
              <controlPr defaultSize="0" autoFill="0" autoLine="0" autoPict="0">
                <anchor moveWithCells="1">
                  <from>
                    <xdr:col>10</xdr:col>
                    <xdr:colOff>114300</xdr:colOff>
                    <xdr:row>6</xdr:row>
                    <xdr:rowOff>133350</xdr:rowOff>
                  </from>
                  <to>
                    <xdr:col>11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09" name="Check Box 157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10" name="Check Box 158">
              <controlPr defaultSize="0" autoFill="0" autoLine="0" autoPict="0">
                <anchor moveWithCells="1">
                  <from>
                    <xdr:col>4</xdr:col>
                    <xdr:colOff>114300</xdr:colOff>
                    <xdr:row>7</xdr:row>
                    <xdr:rowOff>133350</xdr:rowOff>
                  </from>
                  <to>
                    <xdr:col>5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11" name="Check Box 159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12" name="Check Box 160">
              <controlPr defaultSize="0" autoFill="0" autoLine="0" autoPict="0">
                <anchor moveWithCells="1">
                  <from>
                    <xdr:col>5</xdr:col>
                    <xdr:colOff>114300</xdr:colOff>
                    <xdr:row>7</xdr:row>
                    <xdr:rowOff>133350</xdr:rowOff>
                  </from>
                  <to>
                    <xdr:col>6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13" name="Check Box 161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14" name="Check Box 162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15" name="Check Box 163">
              <controlPr defaultSize="0" autoFill="0" autoLine="0" autoPict="0">
                <anchor moveWithCells="1">
                  <from>
                    <xdr:col>6</xdr:col>
                    <xdr:colOff>114300</xdr:colOff>
                    <xdr:row>7</xdr:row>
                    <xdr:rowOff>133350</xdr:rowOff>
                  </from>
                  <to>
                    <xdr:col>7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16" name="Check Box 164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17" name="Check Box 165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18" name="Check Box 166">
              <controlPr defaultSize="0" autoFill="0" autoLine="0" autoPict="0">
                <anchor moveWithCells="1">
                  <from>
                    <xdr:col>7</xdr:col>
                    <xdr:colOff>114300</xdr:colOff>
                    <xdr:row>7</xdr:row>
                    <xdr:rowOff>133350</xdr:rowOff>
                  </from>
                  <to>
                    <xdr:col>8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19" name="Check Box 167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20" name="Check Box 168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21" name="Check Box 169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22" name="Check Box 170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23" name="Check Box 171">
              <controlPr defaultSize="0" autoFill="0" autoLine="0" autoPict="0">
                <anchor moveWithCells="1">
                  <from>
                    <xdr:col>10</xdr:col>
                    <xdr:colOff>114300</xdr:colOff>
                    <xdr:row>7</xdr:row>
                    <xdr:rowOff>133350</xdr:rowOff>
                  </from>
                  <to>
                    <xdr:col>11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24" name="Check Box 173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25" name="Check Box 174">
              <controlPr defaultSize="0" autoFill="0" autoLine="0" autoPict="0">
                <anchor moveWithCells="1">
                  <from>
                    <xdr:col>4</xdr:col>
                    <xdr:colOff>114300</xdr:colOff>
                    <xdr:row>8</xdr:row>
                    <xdr:rowOff>133350</xdr:rowOff>
                  </from>
                  <to>
                    <xdr:col>5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26" name="Check Box 175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27" name="Check Box 176">
              <controlPr defaultSize="0" autoFill="0" autoLine="0" autoPict="0">
                <anchor moveWithCells="1">
                  <from>
                    <xdr:col>5</xdr:col>
                    <xdr:colOff>114300</xdr:colOff>
                    <xdr:row>8</xdr:row>
                    <xdr:rowOff>133350</xdr:rowOff>
                  </from>
                  <to>
                    <xdr:col>6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28" name="Check Box 177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29" name="Check Box 178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30" name="Check Box 179">
              <controlPr defaultSize="0" autoFill="0" autoLine="0" autoPict="0">
                <anchor moveWithCells="1">
                  <from>
                    <xdr:col>6</xdr:col>
                    <xdr:colOff>114300</xdr:colOff>
                    <xdr:row>8</xdr:row>
                    <xdr:rowOff>133350</xdr:rowOff>
                  </from>
                  <to>
                    <xdr:col>7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31" name="Check Box 180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32" name="Check Box 181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33" name="Check Box 182">
              <controlPr defaultSize="0" autoFill="0" autoLine="0" autoPict="0">
                <anchor moveWithCells="1">
                  <from>
                    <xdr:col>7</xdr:col>
                    <xdr:colOff>114300</xdr:colOff>
                    <xdr:row>8</xdr:row>
                    <xdr:rowOff>133350</xdr:rowOff>
                  </from>
                  <to>
                    <xdr:col>8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34" name="Check Box 183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35" name="Check Box 184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36" name="Check Box 185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37" name="Check Box 186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38" name="Check Box 187">
              <controlPr defaultSize="0" autoFill="0" autoLine="0" autoPict="0">
                <anchor moveWithCells="1">
                  <from>
                    <xdr:col>10</xdr:col>
                    <xdr:colOff>114300</xdr:colOff>
                    <xdr:row>8</xdr:row>
                    <xdr:rowOff>133350</xdr:rowOff>
                  </from>
                  <to>
                    <xdr:col>11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39" name="Check Box 189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40" name="Check Box 190">
              <controlPr defaultSize="0" autoFill="0" autoLine="0" autoPict="0">
                <anchor moveWithCells="1">
                  <from>
                    <xdr:col>4</xdr:col>
                    <xdr:colOff>114300</xdr:colOff>
                    <xdr:row>12</xdr:row>
                    <xdr:rowOff>133350</xdr:rowOff>
                  </from>
                  <to>
                    <xdr:col>5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41" name="Check Box 191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42" name="Check Box 192">
              <controlPr defaultSize="0" autoFill="0" autoLine="0" autoPict="0">
                <anchor moveWithCells="1">
                  <from>
                    <xdr:col>5</xdr:col>
                    <xdr:colOff>114300</xdr:colOff>
                    <xdr:row>12</xdr:row>
                    <xdr:rowOff>133350</xdr:rowOff>
                  </from>
                  <to>
                    <xdr:col>6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43" name="Check Box 193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44" name="Check Box 194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45" name="Check Box 19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133350</xdr:rowOff>
                  </from>
                  <to>
                    <xdr:col>7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46" name="Check Box 196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47" name="Check Box 197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48" name="Check Box 198">
              <controlPr defaultSize="0" autoFill="0" autoLine="0" autoPict="0">
                <anchor moveWithCells="1">
                  <from>
                    <xdr:col>7</xdr:col>
                    <xdr:colOff>114300</xdr:colOff>
                    <xdr:row>12</xdr:row>
                    <xdr:rowOff>133350</xdr:rowOff>
                  </from>
                  <to>
                    <xdr:col>8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49" name="Check Box 199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50" name="Check Box 200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51" name="Check Box 201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52" name="Check Box 202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53" name="Check Box 203">
              <controlPr defaultSize="0" autoFill="0" autoLine="0" autoPict="0">
                <anchor moveWithCells="1">
                  <from>
                    <xdr:col>10</xdr:col>
                    <xdr:colOff>114300</xdr:colOff>
                    <xdr:row>12</xdr:row>
                    <xdr:rowOff>133350</xdr:rowOff>
                  </from>
                  <to>
                    <xdr:col>11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54" name="Check Box 205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55" name="Check Box 206">
              <controlPr defaultSize="0" autoFill="0" autoLine="0" autoPict="0">
                <anchor moveWithCells="1">
                  <from>
                    <xdr:col>4</xdr:col>
                    <xdr:colOff>114300</xdr:colOff>
                    <xdr:row>13</xdr:row>
                    <xdr:rowOff>133350</xdr:rowOff>
                  </from>
                  <to>
                    <xdr:col>5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56" name="Check Box 207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57" name="Check Box 208">
              <controlPr defaultSize="0" autoFill="0" autoLine="0" autoPict="0">
                <anchor moveWithCells="1">
                  <from>
                    <xdr:col>5</xdr:col>
                    <xdr:colOff>114300</xdr:colOff>
                    <xdr:row>13</xdr:row>
                    <xdr:rowOff>133350</xdr:rowOff>
                  </from>
                  <to>
                    <xdr:col>6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58" name="Check Box 209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59" name="Check Box 210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60" name="Check Box 211">
              <controlPr defaultSize="0" autoFill="0" autoLine="0" autoPict="0">
                <anchor moveWithCells="1">
                  <from>
                    <xdr:col>6</xdr:col>
                    <xdr:colOff>114300</xdr:colOff>
                    <xdr:row>13</xdr:row>
                    <xdr:rowOff>133350</xdr:rowOff>
                  </from>
                  <to>
                    <xdr:col>7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61" name="Check Box 212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62" name="Check Box 213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63" name="Check Box 214">
              <controlPr defaultSize="0" autoFill="0" autoLine="0" autoPict="0">
                <anchor moveWithCells="1">
                  <from>
                    <xdr:col>7</xdr:col>
                    <xdr:colOff>114300</xdr:colOff>
                    <xdr:row>13</xdr:row>
                    <xdr:rowOff>133350</xdr:rowOff>
                  </from>
                  <to>
                    <xdr:col>8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64" name="Check Box 215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65" name="Check Box 216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66" name="Check Box 217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67" name="Check Box 218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68" name="Check Box 219">
              <controlPr defaultSize="0" autoFill="0" autoLine="0" autoPict="0">
                <anchor moveWithCells="1">
                  <from>
                    <xdr:col>10</xdr:col>
                    <xdr:colOff>114300</xdr:colOff>
                    <xdr:row>13</xdr:row>
                    <xdr:rowOff>133350</xdr:rowOff>
                  </from>
                  <to>
                    <xdr:col>11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169" name="Check Box 254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170" name="Check Box 255">
              <controlPr defaultSize="0" autoFill="0" autoLine="0" autoPict="0">
                <anchor moveWithCells="1">
                  <from>
                    <xdr:col>4</xdr:col>
                    <xdr:colOff>114300</xdr:colOff>
                    <xdr:row>9</xdr:row>
                    <xdr:rowOff>133350</xdr:rowOff>
                  </from>
                  <to>
                    <xdr:col>5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171" name="Check Box 256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172" name="Check Box 257">
              <controlPr defaultSize="0" autoFill="0" autoLine="0" autoPict="0">
                <anchor moveWithCells="1">
                  <from>
                    <xdr:col>5</xdr:col>
                    <xdr:colOff>114300</xdr:colOff>
                    <xdr:row>9</xdr:row>
                    <xdr:rowOff>133350</xdr:rowOff>
                  </from>
                  <to>
                    <xdr:col>6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173" name="Check Box 258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174" name="Check Box 259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175" name="Check Box 260">
              <controlPr defaultSize="0" autoFill="0" autoLine="0" autoPict="0">
                <anchor moveWithCells="1">
                  <from>
                    <xdr:col>6</xdr:col>
                    <xdr:colOff>114300</xdr:colOff>
                    <xdr:row>9</xdr:row>
                    <xdr:rowOff>133350</xdr:rowOff>
                  </from>
                  <to>
                    <xdr:col>7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176" name="Check Box 261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177" name="Check Box 262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178" name="Check Box 263">
              <controlPr defaultSize="0" autoFill="0" autoLine="0" autoPict="0">
                <anchor moveWithCells="1">
                  <from>
                    <xdr:col>7</xdr:col>
                    <xdr:colOff>114300</xdr:colOff>
                    <xdr:row>9</xdr:row>
                    <xdr:rowOff>133350</xdr:rowOff>
                  </from>
                  <to>
                    <xdr:col>8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179" name="Check Box 264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180" name="Check Box 265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181" name="Check Box 266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182" name="Check Box 267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183" name="Check Box 268">
              <controlPr defaultSize="0" autoFill="0" autoLine="0" autoPict="0">
                <anchor moveWithCells="1">
                  <from>
                    <xdr:col>10</xdr:col>
                    <xdr:colOff>114300</xdr:colOff>
                    <xdr:row>9</xdr:row>
                    <xdr:rowOff>133350</xdr:rowOff>
                  </from>
                  <to>
                    <xdr:col>11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184" name="Check Box 272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185" name="Check Box 273">
              <controlPr defaultSize="0" autoFill="0" autoLine="0" autoPict="0">
                <anchor moveWithCells="1">
                  <from>
                    <xdr:col>4</xdr:col>
                    <xdr:colOff>114300</xdr:colOff>
                    <xdr:row>10</xdr:row>
                    <xdr:rowOff>133350</xdr:rowOff>
                  </from>
                  <to>
                    <xdr:col>5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186" name="Check Box 274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187" name="Check Box 275">
              <controlPr defaultSize="0" autoFill="0" autoLine="0" autoPict="0">
                <anchor moveWithCells="1">
                  <from>
                    <xdr:col>5</xdr:col>
                    <xdr:colOff>114300</xdr:colOff>
                    <xdr:row>10</xdr:row>
                    <xdr:rowOff>133350</xdr:rowOff>
                  </from>
                  <to>
                    <xdr:col>6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188" name="Check Box 276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189" name="Check Box 277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190" name="Check Box 278">
              <controlPr defaultSize="0" autoFill="0" autoLine="0" autoPict="0">
                <anchor moveWithCells="1">
                  <from>
                    <xdr:col>6</xdr:col>
                    <xdr:colOff>114300</xdr:colOff>
                    <xdr:row>10</xdr:row>
                    <xdr:rowOff>133350</xdr:rowOff>
                  </from>
                  <to>
                    <xdr:col>7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191" name="Check Box 279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192" name="Check Box 280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193" name="Check Box 281">
              <controlPr defaultSize="0" autoFill="0" autoLine="0" autoPict="0">
                <anchor moveWithCells="1">
                  <from>
                    <xdr:col>7</xdr:col>
                    <xdr:colOff>114300</xdr:colOff>
                    <xdr:row>10</xdr:row>
                    <xdr:rowOff>133350</xdr:rowOff>
                  </from>
                  <to>
                    <xdr:col>8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194" name="Check Box 282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195" name="Check Box 283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196" name="Check Box 284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197" name="Check Box 285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198" name="Check Box 286">
              <controlPr defaultSize="0" autoFill="0" autoLine="0" autoPict="0">
                <anchor moveWithCells="1">
                  <from>
                    <xdr:col>10</xdr:col>
                    <xdr:colOff>114300</xdr:colOff>
                    <xdr:row>10</xdr:row>
                    <xdr:rowOff>133350</xdr:rowOff>
                  </from>
                  <to>
                    <xdr:col>11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199" name="Check Box 287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00" name="Check Box 288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01" name="Check Box 289">
              <controlPr defaultSize="0" autoFill="0" autoLine="0" autoPict="0">
                <anchor moveWithCells="1">
                  <from>
                    <xdr:col>8</xdr:col>
                    <xdr:colOff>114300</xdr:colOff>
                    <xdr:row>0</xdr:row>
                    <xdr:rowOff>133350</xdr:rowOff>
                  </from>
                  <to>
                    <xdr:col>9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02" name="Check Box 290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03" name="Check Box 291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04" name="Check Box 292">
              <controlPr defaultSize="0" autoFill="0" autoLine="0" autoPict="0">
                <anchor moveWithCells="1">
                  <from>
                    <xdr:col>9</xdr:col>
                    <xdr:colOff>114300</xdr:colOff>
                    <xdr:row>0</xdr:row>
                    <xdr:rowOff>133350</xdr:rowOff>
                  </from>
                  <to>
                    <xdr:col>10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05" name="Check Box 293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06" name="Check Box 294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07" name="Check Box 295">
              <controlPr defaultSize="0" autoFill="0" autoLine="0" autoPict="0">
                <anchor moveWithCells="1">
                  <from>
                    <xdr:col>8</xdr:col>
                    <xdr:colOff>114300</xdr:colOff>
                    <xdr:row>1</xdr:row>
                    <xdr:rowOff>133350</xdr:rowOff>
                  </from>
                  <to>
                    <xdr:col>9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08" name="Check Box 296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09" name="Check Box 297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10" name="Check Box 298">
              <controlPr defaultSize="0" autoFill="0" autoLine="0" autoPict="0">
                <anchor moveWithCells="1">
                  <from>
                    <xdr:col>9</xdr:col>
                    <xdr:colOff>114300</xdr:colOff>
                    <xdr:row>1</xdr:row>
                    <xdr:rowOff>133350</xdr:rowOff>
                  </from>
                  <to>
                    <xdr:col>10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11" name="Check Box 299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12" name="Check Box 300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13" name="Check Box 301">
              <controlPr defaultSize="0" autoFill="0" autoLine="0" autoPict="0">
                <anchor moveWithCells="1">
                  <from>
                    <xdr:col>8</xdr:col>
                    <xdr:colOff>114300</xdr:colOff>
                    <xdr:row>2</xdr:row>
                    <xdr:rowOff>133350</xdr:rowOff>
                  </from>
                  <to>
                    <xdr:col>9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14" name="Check Box 302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15" name="Check Box 303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16" name="Check Box 304">
              <controlPr defaultSize="0" autoFill="0" autoLine="0" autoPict="0">
                <anchor moveWithCells="1">
                  <from>
                    <xdr:col>9</xdr:col>
                    <xdr:colOff>114300</xdr:colOff>
                    <xdr:row>2</xdr:row>
                    <xdr:rowOff>133350</xdr:rowOff>
                  </from>
                  <to>
                    <xdr:col>10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17" name="Check Box 305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18" name="Check Box 306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19" name="Check Box 307">
              <controlPr defaultSize="0" autoFill="0" autoLine="0" autoPict="0">
                <anchor moveWithCells="1">
                  <from>
                    <xdr:col>8</xdr:col>
                    <xdr:colOff>114300</xdr:colOff>
                    <xdr:row>3</xdr:row>
                    <xdr:rowOff>133350</xdr:rowOff>
                  </from>
                  <to>
                    <xdr:col>9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20" name="Check Box 308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21" name="Check Box 309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22" name="Check Box 310">
              <controlPr defaultSize="0" autoFill="0" autoLine="0" autoPict="0">
                <anchor moveWithCells="1">
                  <from>
                    <xdr:col>9</xdr:col>
                    <xdr:colOff>114300</xdr:colOff>
                    <xdr:row>3</xdr:row>
                    <xdr:rowOff>133350</xdr:rowOff>
                  </from>
                  <to>
                    <xdr:col>10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23" name="Check Box 311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24" name="Check Box 312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25" name="Check Box 313">
              <controlPr defaultSize="0" autoFill="0" autoLine="0" autoPict="0">
                <anchor moveWithCells="1">
                  <from>
                    <xdr:col>8</xdr:col>
                    <xdr:colOff>114300</xdr:colOff>
                    <xdr:row>4</xdr:row>
                    <xdr:rowOff>133350</xdr:rowOff>
                  </from>
                  <to>
                    <xdr:col>9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26" name="Check Box 314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27" name="Check Box 315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28" name="Check Box 316">
              <controlPr defaultSize="0" autoFill="0" autoLine="0" autoPict="0">
                <anchor moveWithCells="1">
                  <from>
                    <xdr:col>9</xdr:col>
                    <xdr:colOff>114300</xdr:colOff>
                    <xdr:row>4</xdr:row>
                    <xdr:rowOff>133350</xdr:rowOff>
                  </from>
                  <to>
                    <xdr:col>10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29" name="Check Box 317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30" name="Check Box 318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31" name="Check Box 319">
              <controlPr defaultSize="0" autoFill="0" autoLine="0" autoPict="0">
                <anchor moveWithCells="1">
                  <from>
                    <xdr:col>8</xdr:col>
                    <xdr:colOff>114300</xdr:colOff>
                    <xdr:row>5</xdr:row>
                    <xdr:rowOff>133350</xdr:rowOff>
                  </from>
                  <to>
                    <xdr:col>9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32" name="Check Box 320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33" name="Check Box 321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34" name="Check Box 322">
              <controlPr defaultSize="0" autoFill="0" autoLine="0" autoPict="0">
                <anchor moveWithCells="1">
                  <from>
                    <xdr:col>9</xdr:col>
                    <xdr:colOff>114300</xdr:colOff>
                    <xdr:row>5</xdr:row>
                    <xdr:rowOff>133350</xdr:rowOff>
                  </from>
                  <to>
                    <xdr:col>10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35" name="Check Box 323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36" name="Check Box 324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37" name="Check Box 325">
              <controlPr defaultSize="0" autoFill="0" autoLine="0" autoPict="0">
                <anchor moveWithCells="1">
                  <from>
                    <xdr:col>8</xdr:col>
                    <xdr:colOff>114300</xdr:colOff>
                    <xdr:row>6</xdr:row>
                    <xdr:rowOff>133350</xdr:rowOff>
                  </from>
                  <to>
                    <xdr:col>9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38" name="Check Box 326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39" name="Check Box 327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40" name="Check Box 328">
              <controlPr defaultSize="0" autoFill="0" autoLine="0" autoPict="0">
                <anchor moveWithCells="1">
                  <from>
                    <xdr:col>9</xdr:col>
                    <xdr:colOff>114300</xdr:colOff>
                    <xdr:row>6</xdr:row>
                    <xdr:rowOff>133350</xdr:rowOff>
                  </from>
                  <to>
                    <xdr:col>10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41" name="Check Box 329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42" name="Check Box 330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243" name="Check Box 331">
              <controlPr defaultSize="0" autoFill="0" autoLine="0" autoPict="0">
                <anchor moveWithCells="1">
                  <from>
                    <xdr:col>8</xdr:col>
                    <xdr:colOff>114300</xdr:colOff>
                    <xdr:row>7</xdr:row>
                    <xdr:rowOff>133350</xdr:rowOff>
                  </from>
                  <to>
                    <xdr:col>9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244" name="Check Box 332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245" name="Check Box 333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246" name="Check Box 334">
              <controlPr defaultSize="0" autoFill="0" autoLine="0" autoPict="0">
                <anchor moveWithCells="1">
                  <from>
                    <xdr:col>9</xdr:col>
                    <xdr:colOff>114300</xdr:colOff>
                    <xdr:row>7</xdr:row>
                    <xdr:rowOff>133350</xdr:rowOff>
                  </from>
                  <to>
                    <xdr:col>10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247" name="Check Box 335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248" name="Check Box 336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249" name="Check Box 337">
              <controlPr defaultSize="0" autoFill="0" autoLine="0" autoPict="0">
                <anchor moveWithCells="1">
                  <from>
                    <xdr:col>8</xdr:col>
                    <xdr:colOff>114300</xdr:colOff>
                    <xdr:row>8</xdr:row>
                    <xdr:rowOff>133350</xdr:rowOff>
                  </from>
                  <to>
                    <xdr:col>9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250" name="Check Box 338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251" name="Check Box 339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252" name="Check Box 340">
              <controlPr defaultSize="0" autoFill="0" autoLine="0" autoPict="0">
                <anchor moveWithCells="1">
                  <from>
                    <xdr:col>9</xdr:col>
                    <xdr:colOff>114300</xdr:colOff>
                    <xdr:row>8</xdr:row>
                    <xdr:rowOff>133350</xdr:rowOff>
                  </from>
                  <to>
                    <xdr:col>10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253" name="Check Box 341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254" name="Check Box 342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255" name="Check Box 343">
              <controlPr defaultSize="0" autoFill="0" autoLine="0" autoPict="0">
                <anchor moveWithCells="1">
                  <from>
                    <xdr:col>8</xdr:col>
                    <xdr:colOff>114300</xdr:colOff>
                    <xdr:row>12</xdr:row>
                    <xdr:rowOff>133350</xdr:rowOff>
                  </from>
                  <to>
                    <xdr:col>9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256" name="Check Box 344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257" name="Check Box 345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258" name="Check Box 346">
              <controlPr defaultSize="0" autoFill="0" autoLine="0" autoPict="0">
                <anchor moveWithCells="1">
                  <from>
                    <xdr:col>9</xdr:col>
                    <xdr:colOff>114300</xdr:colOff>
                    <xdr:row>12</xdr:row>
                    <xdr:rowOff>133350</xdr:rowOff>
                  </from>
                  <to>
                    <xdr:col>10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259" name="Check Box 347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260" name="Check Box 348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261" name="Check Box 349">
              <controlPr defaultSize="0" autoFill="0" autoLine="0" autoPict="0">
                <anchor moveWithCells="1">
                  <from>
                    <xdr:col>8</xdr:col>
                    <xdr:colOff>114300</xdr:colOff>
                    <xdr:row>13</xdr:row>
                    <xdr:rowOff>133350</xdr:rowOff>
                  </from>
                  <to>
                    <xdr:col>9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262" name="Check Box 350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263" name="Check Box 351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264" name="Check Box 352">
              <controlPr defaultSize="0" autoFill="0" autoLine="0" autoPict="0">
                <anchor moveWithCells="1">
                  <from>
                    <xdr:col>9</xdr:col>
                    <xdr:colOff>114300</xdr:colOff>
                    <xdr:row>13</xdr:row>
                    <xdr:rowOff>133350</xdr:rowOff>
                  </from>
                  <to>
                    <xdr:col>10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265" name="Check Box 353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266" name="Check Box 354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267" name="Check Box 355">
              <controlPr defaultSize="0" autoFill="0" autoLine="0" autoPict="0">
                <anchor moveWithCells="1">
                  <from>
                    <xdr:col>8</xdr:col>
                    <xdr:colOff>114300</xdr:colOff>
                    <xdr:row>9</xdr:row>
                    <xdr:rowOff>133350</xdr:rowOff>
                  </from>
                  <to>
                    <xdr:col>9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268" name="Check Box 356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269" name="Check Box 357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270" name="Check Box 358">
              <controlPr defaultSize="0" autoFill="0" autoLine="0" autoPict="0">
                <anchor moveWithCells="1">
                  <from>
                    <xdr:col>9</xdr:col>
                    <xdr:colOff>114300</xdr:colOff>
                    <xdr:row>9</xdr:row>
                    <xdr:rowOff>133350</xdr:rowOff>
                  </from>
                  <to>
                    <xdr:col>10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271" name="Check Box 359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272" name="Check Box 360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73" name="Check Box 361">
              <controlPr defaultSize="0" autoFill="0" autoLine="0" autoPict="0">
                <anchor moveWithCells="1">
                  <from>
                    <xdr:col>8</xdr:col>
                    <xdr:colOff>114300</xdr:colOff>
                    <xdr:row>10</xdr:row>
                    <xdr:rowOff>133350</xdr:rowOff>
                  </from>
                  <to>
                    <xdr:col>9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74" name="Check Box 362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75" name="Check Box 363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76" name="Check Box 364">
              <controlPr defaultSize="0" autoFill="0" autoLine="0" autoPict="0">
                <anchor moveWithCells="1">
                  <from>
                    <xdr:col>9</xdr:col>
                    <xdr:colOff>114300</xdr:colOff>
                    <xdr:row>10</xdr:row>
                    <xdr:rowOff>133350</xdr:rowOff>
                  </from>
                  <to>
                    <xdr:col>10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77" name="Check Box 368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78" name="Check Box 369">
              <controlPr defaultSize="0" autoFill="0" autoLine="0" autoPict="0">
                <anchor moveWithCells="1">
                  <from>
                    <xdr:col>4</xdr:col>
                    <xdr:colOff>114300</xdr:colOff>
                    <xdr:row>11</xdr:row>
                    <xdr:rowOff>133350</xdr:rowOff>
                  </from>
                  <to>
                    <xdr:col>5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79" name="Check Box 370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280" name="Check Box 371">
              <controlPr defaultSize="0" autoFill="0" autoLine="0" autoPict="0">
                <anchor moveWithCells="1">
                  <from>
                    <xdr:col>5</xdr:col>
                    <xdr:colOff>114300</xdr:colOff>
                    <xdr:row>11</xdr:row>
                    <xdr:rowOff>133350</xdr:rowOff>
                  </from>
                  <to>
                    <xdr:col>6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281" name="Check Box 372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282" name="Check Box 373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283" name="Check Box 374">
              <controlPr defaultSize="0" autoFill="0" autoLine="0" autoPict="0">
                <anchor moveWithCells="1">
                  <from>
                    <xdr:col>6</xdr:col>
                    <xdr:colOff>114300</xdr:colOff>
                    <xdr:row>11</xdr:row>
                    <xdr:rowOff>133350</xdr:rowOff>
                  </from>
                  <to>
                    <xdr:col>7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284" name="Check Box 375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285" name="Check Box 376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286" name="Check Box 377">
              <controlPr defaultSize="0" autoFill="0" autoLine="0" autoPict="0">
                <anchor moveWithCells="1">
                  <from>
                    <xdr:col>7</xdr:col>
                    <xdr:colOff>114300</xdr:colOff>
                    <xdr:row>11</xdr:row>
                    <xdr:rowOff>133350</xdr:rowOff>
                  </from>
                  <to>
                    <xdr:col>8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287" name="Check Box 378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288" name="Check Box 379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289" name="Check Box 380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290" name="Check Box 381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291" name="Check Box 382">
              <controlPr defaultSize="0" autoFill="0" autoLine="0" autoPict="0">
                <anchor moveWithCells="1">
                  <from>
                    <xdr:col>10</xdr:col>
                    <xdr:colOff>114300</xdr:colOff>
                    <xdr:row>11</xdr:row>
                    <xdr:rowOff>133350</xdr:rowOff>
                  </from>
                  <to>
                    <xdr:col>11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292" name="Check Box 383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293" name="Check Box 384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294" name="Check Box 385">
              <controlPr defaultSize="0" autoFill="0" autoLine="0" autoPict="0">
                <anchor moveWithCells="1">
                  <from>
                    <xdr:col>8</xdr:col>
                    <xdr:colOff>114300</xdr:colOff>
                    <xdr:row>11</xdr:row>
                    <xdr:rowOff>133350</xdr:rowOff>
                  </from>
                  <to>
                    <xdr:col>9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295" name="Check Box 386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296" name="Check Box 387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297" name="Check Box 388">
              <controlPr defaultSize="0" autoFill="0" autoLine="0" autoPict="0">
                <anchor moveWithCells="1">
                  <from>
                    <xdr:col>9</xdr:col>
                    <xdr:colOff>114300</xdr:colOff>
                    <xdr:row>11</xdr:row>
                    <xdr:rowOff>133350</xdr:rowOff>
                  </from>
                  <to>
                    <xdr:col>10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98" name="Check Box 3">
              <controlPr defaultSize="0" autoFill="0" autoLine="0" autoPict="0">
                <anchor moveWithCells="1">
                  <from>
                    <xdr:col>3</xdr:col>
                    <xdr:colOff>114300</xdr:colOff>
                    <xdr:row>0</xdr:row>
                    <xdr:rowOff>133350</xdr:rowOff>
                  </from>
                  <to>
                    <xdr:col>4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299" name="Check Box 4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00" name="Check Box 5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01" name="Check Box 6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02" name="Check Box 7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03" name="Check Box 8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04" name="Check Box 9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305" name="Check Box 10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306" name="Check Box 11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307" name="Check Box 12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308" name="Check Box 13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309" name="Check Box 14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310" name="Check Box 15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311" name="Check Box 16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312" name="Check Box 17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313" name="Check Box 18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314" name="Check Box 19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315" name="Check Box 20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16" name="Check Box 21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317" name="Check Box 22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318" name="Check Box 23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319" name="Check Box 60">
              <controlPr defaultSize="0" autoFill="0" autoLine="0" autoPict="0">
                <anchor moveWithCells="1">
                  <from>
                    <xdr:col>3</xdr:col>
                    <xdr:colOff>114300</xdr:colOff>
                    <xdr:row>1</xdr:row>
                    <xdr:rowOff>133350</xdr:rowOff>
                  </from>
                  <to>
                    <xdr:col>4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320" name="Check Box 76">
              <controlPr defaultSize="0" autoFill="0" autoLine="0" autoPict="0">
                <anchor moveWithCells="1">
                  <from>
                    <xdr:col>3</xdr:col>
                    <xdr:colOff>114300</xdr:colOff>
                    <xdr:row>2</xdr:row>
                    <xdr:rowOff>133350</xdr:rowOff>
                  </from>
                  <to>
                    <xdr:col>4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321" name="Check Box 92">
              <controlPr defaultSize="0" autoFill="0" autoLine="0" autoPict="0">
                <anchor moveWithCells="1">
                  <from>
                    <xdr:col>3</xdr:col>
                    <xdr:colOff>114300</xdr:colOff>
                    <xdr:row>3</xdr:row>
                    <xdr:rowOff>133350</xdr:rowOff>
                  </from>
                  <to>
                    <xdr:col>4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322" name="Check Box 108">
              <controlPr defaultSize="0" autoFill="0" autoLine="0" autoPict="0">
                <anchor moveWithCells="1">
                  <from>
                    <xdr:col>3</xdr:col>
                    <xdr:colOff>114300</xdr:colOff>
                    <xdr:row>4</xdr:row>
                    <xdr:rowOff>133350</xdr:rowOff>
                  </from>
                  <to>
                    <xdr:col>4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323" name="Check Box 124">
              <controlPr defaultSize="0" autoFill="0" autoLine="0" autoPict="0">
                <anchor moveWithCells="1">
                  <from>
                    <xdr:col>3</xdr:col>
                    <xdr:colOff>114300</xdr:colOff>
                    <xdr:row>5</xdr:row>
                    <xdr:rowOff>133350</xdr:rowOff>
                  </from>
                  <to>
                    <xdr:col>4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324" name="Check Box 140">
              <controlPr defaultSize="0" autoFill="0" autoLine="0" autoPict="0">
                <anchor moveWithCells="1">
                  <from>
                    <xdr:col>3</xdr:col>
                    <xdr:colOff>114300</xdr:colOff>
                    <xdr:row>6</xdr:row>
                    <xdr:rowOff>133350</xdr:rowOff>
                  </from>
                  <to>
                    <xdr:col>4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325" name="Check Box 156">
              <controlPr defaultSize="0" autoFill="0" autoLine="0" autoPict="0">
                <anchor moveWithCells="1">
                  <from>
                    <xdr:col>3</xdr:col>
                    <xdr:colOff>114300</xdr:colOff>
                    <xdr:row>7</xdr:row>
                    <xdr:rowOff>133350</xdr:rowOff>
                  </from>
                  <to>
                    <xdr:col>4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326" name="Check Box 172">
              <controlPr defaultSize="0" autoFill="0" autoLine="0" autoPict="0">
                <anchor moveWithCells="1">
                  <from>
                    <xdr:col>3</xdr:col>
                    <xdr:colOff>114300</xdr:colOff>
                    <xdr:row>8</xdr:row>
                    <xdr:rowOff>133350</xdr:rowOff>
                  </from>
                  <to>
                    <xdr:col>4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327" name="Check Box 188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133350</xdr:rowOff>
                  </from>
                  <to>
                    <xdr:col>4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328" name="Check Box 204">
              <controlPr defaultSize="0" autoFill="0" autoLine="0" autoPict="0">
                <anchor moveWithCells="1">
                  <from>
                    <xdr:col>3</xdr:col>
                    <xdr:colOff>114300</xdr:colOff>
                    <xdr:row>13</xdr:row>
                    <xdr:rowOff>133350</xdr:rowOff>
                  </from>
                  <to>
                    <xdr:col>4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329" name="Check Box 251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330" name="Check Box 252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331" name="Check Box 253">
              <controlPr defaultSize="0" autoFill="0" autoLine="0" autoPict="0">
                <anchor moveWithCells="1">
                  <from>
                    <xdr:col>3</xdr:col>
                    <xdr:colOff>114300</xdr:colOff>
                    <xdr:row>9</xdr:row>
                    <xdr:rowOff>133350</xdr:rowOff>
                  </from>
                  <to>
                    <xdr:col>4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332" name="Check Box 269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333" name="Check Box 270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334" name="Check Box 271">
              <controlPr defaultSize="0" autoFill="0" autoLine="0" autoPict="0">
                <anchor moveWithCells="1">
                  <from>
                    <xdr:col>3</xdr:col>
                    <xdr:colOff>114300</xdr:colOff>
                    <xdr:row>10</xdr:row>
                    <xdr:rowOff>133350</xdr:rowOff>
                  </from>
                  <to>
                    <xdr:col>4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35" name="Check Box 365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36" name="Check Box 366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37" name="Check Box 367">
              <controlPr defaultSize="0" autoFill="0" autoLine="0" autoPict="0">
                <anchor moveWithCells="1">
                  <from>
                    <xdr:col>3</xdr:col>
                    <xdr:colOff>114300</xdr:colOff>
                    <xdr:row>11</xdr:row>
                    <xdr:rowOff>133350</xdr:rowOff>
                  </from>
                  <to>
                    <xdr:col>4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38" name="Check Box 389">
              <controlPr defaultSize="0" autoFill="0" autoLine="0" autoPict="0">
                <anchor moveWithCells="1">
                  <from>
                    <xdr:col>1</xdr:col>
                    <xdr:colOff>114300</xdr:colOff>
                    <xdr:row>0</xdr:row>
                    <xdr:rowOff>133350</xdr:rowOff>
                  </from>
                  <to>
                    <xdr:col>2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39" name="Check Box 39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40" name="Check Box 39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41" name="Check Box 39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42" name="Check Box 39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43" name="Check Box 39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44" name="Check Box 39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45" name="Check Box 39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46" name="Check Box 39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47" name="Check Box 39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48" name="Check Box 39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349" name="Check Box 40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350" name="Check Box 40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351" name="Check Box 40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352" name="Check Box 40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353" name="Check Box 40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354" name="Check Box 40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355" name="Check Box 40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356" name="Check Box 40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357" name="Check Box 40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358" name="Check Box 40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359" name="Check Box 410">
              <controlPr defaultSize="0" autoFill="0" autoLine="0" autoPict="0">
                <anchor moveWithCells="1">
                  <from>
                    <xdr:col>1</xdr:col>
                    <xdr:colOff>114300</xdr:colOff>
                    <xdr:row>1</xdr:row>
                    <xdr:rowOff>133350</xdr:rowOff>
                  </from>
                  <to>
                    <xdr:col>2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360" name="Check Box 411">
              <controlPr defaultSize="0" autoFill="0" autoLine="0" autoPict="0">
                <anchor moveWithCells="1">
                  <from>
                    <xdr:col>1</xdr:col>
                    <xdr:colOff>114300</xdr:colOff>
                    <xdr:row>2</xdr:row>
                    <xdr:rowOff>133350</xdr:rowOff>
                  </from>
                  <to>
                    <xdr:col>2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361" name="Check Box 412">
              <controlPr defaultSize="0" autoFill="0" autoLine="0" autoPict="0">
                <anchor moveWithCells="1">
                  <from>
                    <xdr:col>1</xdr:col>
                    <xdr:colOff>114300</xdr:colOff>
                    <xdr:row>3</xdr:row>
                    <xdr:rowOff>133350</xdr:rowOff>
                  </from>
                  <to>
                    <xdr:col>2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362" name="Check Box 413">
              <controlPr defaultSize="0" autoFill="0" autoLine="0" autoPict="0">
                <anchor moveWithCells="1">
                  <from>
                    <xdr:col>1</xdr:col>
                    <xdr:colOff>114300</xdr:colOff>
                    <xdr:row>4</xdr:row>
                    <xdr:rowOff>133350</xdr:rowOff>
                  </from>
                  <to>
                    <xdr:col>2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363" name="Check Box 414">
              <controlPr defaultSize="0" autoFill="0" autoLine="0" autoPict="0">
                <anchor moveWithCells="1">
                  <from>
                    <xdr:col>1</xdr:col>
                    <xdr:colOff>114300</xdr:colOff>
                    <xdr:row>5</xdr:row>
                    <xdr:rowOff>133350</xdr:rowOff>
                  </from>
                  <to>
                    <xdr:col>2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364" name="Check Box 415">
              <controlPr defaultSize="0" autoFill="0" autoLine="0" autoPict="0">
                <anchor moveWithCells="1">
                  <from>
                    <xdr:col>1</xdr:col>
                    <xdr:colOff>114300</xdr:colOff>
                    <xdr:row>6</xdr:row>
                    <xdr:rowOff>133350</xdr:rowOff>
                  </from>
                  <to>
                    <xdr:col>2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365" name="Check Box 416">
              <controlPr defaultSize="0" autoFill="0" autoLine="0" autoPict="0">
                <anchor moveWithCells="1">
                  <from>
                    <xdr:col>1</xdr:col>
                    <xdr:colOff>114300</xdr:colOff>
                    <xdr:row>7</xdr:row>
                    <xdr:rowOff>133350</xdr:rowOff>
                  </from>
                  <to>
                    <xdr:col>2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366" name="Check Box 417">
              <controlPr defaultSize="0" autoFill="0" autoLine="0" autoPict="0">
                <anchor moveWithCells="1">
                  <from>
                    <xdr:col>1</xdr:col>
                    <xdr:colOff>114300</xdr:colOff>
                    <xdr:row>8</xdr:row>
                    <xdr:rowOff>133350</xdr:rowOff>
                  </from>
                  <to>
                    <xdr:col>2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367" name="Check Box 418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133350</xdr:rowOff>
                  </from>
                  <to>
                    <xdr:col>2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368" name="Check Box 419">
              <controlPr defaultSize="0" autoFill="0" autoLine="0" autoPict="0">
                <anchor moveWithCells="1">
                  <from>
                    <xdr:col>1</xdr:col>
                    <xdr:colOff>114300</xdr:colOff>
                    <xdr:row>13</xdr:row>
                    <xdr:rowOff>133350</xdr:rowOff>
                  </from>
                  <to>
                    <xdr:col>2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369" name="Check Box 420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370" name="Check Box 421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371" name="Check Box 422">
              <controlPr defaultSize="0" autoFill="0" autoLine="0" autoPict="0">
                <anchor moveWithCells="1">
                  <from>
                    <xdr:col>1</xdr:col>
                    <xdr:colOff>114300</xdr:colOff>
                    <xdr:row>9</xdr:row>
                    <xdr:rowOff>133350</xdr:rowOff>
                  </from>
                  <to>
                    <xdr:col>2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372" name="Check Box 423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373" name="Check Box 424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374" name="Check Box 425">
              <controlPr defaultSize="0" autoFill="0" autoLine="0" autoPict="0">
                <anchor moveWithCells="1">
                  <from>
                    <xdr:col>1</xdr:col>
                    <xdr:colOff>114300</xdr:colOff>
                    <xdr:row>10</xdr:row>
                    <xdr:rowOff>133350</xdr:rowOff>
                  </from>
                  <to>
                    <xdr:col>2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375" name="Check Box 426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376" name="Check Box 427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377" name="Check Box 428">
              <controlPr defaultSize="0" autoFill="0" autoLine="0" autoPict="0">
                <anchor moveWithCells="1">
                  <from>
                    <xdr:col>1</xdr:col>
                    <xdr:colOff>114300</xdr:colOff>
                    <xdr:row>11</xdr:row>
                    <xdr:rowOff>133350</xdr:rowOff>
                  </from>
                  <to>
                    <xdr:col>2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378" name="Check Box 429">
              <controlPr defaultSize="0" autoFill="0" autoLine="0" autoPict="0">
                <anchor moveWithCells="1">
                  <from>
                    <xdr:col>2</xdr:col>
                    <xdr:colOff>114300</xdr:colOff>
                    <xdr:row>0</xdr:row>
                    <xdr:rowOff>133350</xdr:rowOff>
                  </from>
                  <to>
                    <xdr:col>3</xdr:col>
                    <xdr:colOff>28575</xdr:colOff>
                    <xdr:row>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379" name="Check Box 43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380" name="Check Box 43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381" name="Check Box 43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382" name="Check Box 43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383" name="Check Box 43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384" name="Check Box 43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385" name="Check Box 43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386" name="Check Box 43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387" name="Check Box 43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388" name="Check Box 43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389" name="Check Box 44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390" name="Check Box 44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391" name="Check Box 44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392" name="Check Box 44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393" name="Check Box 44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394" name="Check Box 44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395" name="Check Box 44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396" name="Check Box 44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397" name="Check Box 44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398" name="Check Box 44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399" name="Check Box 450">
              <controlPr defaultSize="0" autoFill="0" autoLine="0" autoPict="0">
                <anchor moveWithCells="1">
                  <from>
                    <xdr:col>2</xdr:col>
                    <xdr:colOff>114300</xdr:colOff>
                    <xdr:row>1</xdr:row>
                    <xdr:rowOff>133350</xdr:rowOff>
                  </from>
                  <to>
                    <xdr:col>3</xdr:col>
                    <xdr:colOff>28575</xdr:colOff>
                    <xdr:row>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400" name="Check Box 45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133350</xdr:rowOff>
                  </from>
                  <to>
                    <xdr:col>3</xdr:col>
                    <xdr:colOff>28575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401" name="Check Box 452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133350</xdr:rowOff>
                  </from>
                  <to>
                    <xdr:col>3</xdr:col>
                    <xdr:colOff>28575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402" name="Check Box 453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133350</xdr:rowOff>
                  </from>
                  <to>
                    <xdr:col>3</xdr:col>
                    <xdr:colOff>28575</xdr:colOff>
                    <xdr:row>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403" name="Check Box 454">
              <controlPr defaultSize="0" autoFill="0" autoLine="0" autoPict="0">
                <anchor moveWithCells="1">
                  <from>
                    <xdr:col>2</xdr:col>
                    <xdr:colOff>114300</xdr:colOff>
                    <xdr:row>5</xdr:row>
                    <xdr:rowOff>133350</xdr:rowOff>
                  </from>
                  <to>
                    <xdr:col>3</xdr:col>
                    <xdr:colOff>28575</xdr:colOff>
                    <xdr:row>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404" name="Check Box 455">
              <controlPr defaultSize="0" autoFill="0" autoLine="0" autoPict="0">
                <anchor moveWithCells="1">
                  <from>
                    <xdr:col>2</xdr:col>
                    <xdr:colOff>114300</xdr:colOff>
                    <xdr:row>6</xdr:row>
                    <xdr:rowOff>133350</xdr:rowOff>
                  </from>
                  <to>
                    <xdr:col>3</xdr:col>
                    <xdr:colOff>28575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405" name="Check Box 456">
              <controlPr defaultSize="0" autoFill="0" autoLine="0" autoPict="0">
                <anchor moveWithCells="1">
                  <from>
                    <xdr:col>2</xdr:col>
                    <xdr:colOff>114300</xdr:colOff>
                    <xdr:row>7</xdr:row>
                    <xdr:rowOff>133350</xdr:rowOff>
                  </from>
                  <to>
                    <xdr:col>3</xdr:col>
                    <xdr:colOff>28575</xdr:colOff>
                    <xdr:row>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1" r:id="rId406" name="Check Box 457">
              <controlPr defaultSize="0" autoFill="0" autoLine="0" autoPict="0">
                <anchor moveWithCells="1">
                  <from>
                    <xdr:col>2</xdr:col>
                    <xdr:colOff>114300</xdr:colOff>
                    <xdr:row>8</xdr:row>
                    <xdr:rowOff>133350</xdr:rowOff>
                  </from>
                  <to>
                    <xdr:col>3</xdr:col>
                    <xdr:colOff>28575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2" r:id="rId407" name="Check Box 458">
              <controlPr defaultSize="0" autoFill="0" autoLine="0" autoPict="0">
                <anchor moveWithCells="1">
                  <from>
                    <xdr:col>2</xdr:col>
                    <xdr:colOff>114300</xdr:colOff>
                    <xdr:row>12</xdr:row>
                    <xdr:rowOff>133350</xdr:rowOff>
                  </from>
                  <to>
                    <xdr:col>3</xdr:col>
                    <xdr:colOff>28575</xdr:colOff>
                    <xdr:row>14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3" r:id="rId408" name="Check Box 459">
              <controlPr defaultSize="0" autoFill="0" autoLine="0" autoPict="0">
                <anchor moveWithCells="1">
                  <from>
                    <xdr:col>2</xdr:col>
                    <xdr:colOff>114300</xdr:colOff>
                    <xdr:row>13</xdr:row>
                    <xdr:rowOff>133350</xdr:rowOff>
                  </from>
                  <to>
                    <xdr:col>3</xdr:col>
                    <xdr:colOff>28575</xdr:colOff>
                    <xdr:row>15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" r:id="rId409" name="Check Box 460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5" r:id="rId410" name="Check Box 461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6" r:id="rId411" name="Check Box 462">
              <controlPr defaultSize="0" autoFill="0" autoLine="0" autoPict="0">
                <anchor moveWithCells="1">
                  <from>
                    <xdr:col>2</xdr:col>
                    <xdr:colOff>114300</xdr:colOff>
                    <xdr:row>9</xdr:row>
                    <xdr:rowOff>133350</xdr:rowOff>
                  </from>
                  <to>
                    <xdr:col>3</xdr:col>
                    <xdr:colOff>28575</xdr:colOff>
                    <xdr:row>11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7" r:id="rId412" name="Check Box 463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8" r:id="rId413" name="Check Box 464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9" r:id="rId414" name="Check Box 465">
              <controlPr defaultSize="0" autoFill="0" autoLine="0" autoPict="0">
                <anchor moveWithCells="1">
                  <from>
                    <xdr:col>2</xdr:col>
                    <xdr:colOff>114300</xdr:colOff>
                    <xdr:row>10</xdr:row>
                    <xdr:rowOff>133350</xdr:rowOff>
                  </from>
                  <to>
                    <xdr:col>3</xdr:col>
                    <xdr:colOff>28575</xdr:colOff>
                    <xdr:row>12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0" r:id="rId415" name="Check Box 466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1" r:id="rId416" name="Check Box 467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2" r:id="rId417" name="Check Box 468">
              <controlPr defaultSize="0" autoFill="0" autoLine="0" autoPict="0">
                <anchor moveWithCells="1">
                  <from>
                    <xdr:col>2</xdr:col>
                    <xdr:colOff>114300</xdr:colOff>
                    <xdr:row>11</xdr:row>
                    <xdr:rowOff>133350</xdr:rowOff>
                  </from>
                  <to>
                    <xdr:col>3</xdr:col>
                    <xdr:colOff>28575</xdr:colOff>
                    <xdr:row>13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54"/>
  <sheetViews>
    <sheetView topLeftCell="A5" workbookViewId="0">
      <selection activeCell="F17" sqref="F17"/>
    </sheetView>
  </sheetViews>
  <sheetFormatPr defaultRowHeight="15" x14ac:dyDescent="0.25"/>
  <cols>
    <col min="1" max="1" width="18.85546875" customWidth="1"/>
    <col min="2" max="3" width="17" customWidth="1"/>
  </cols>
  <sheetData>
    <row r="1" spans="1:6" ht="21" x14ac:dyDescent="0.35">
      <c r="A1" s="87" t="s">
        <v>0</v>
      </c>
      <c r="B1" s="87"/>
      <c r="C1" s="87"/>
      <c r="D1" s="87"/>
    </row>
    <row r="2" spans="1:6" x14ac:dyDescent="0.25">
      <c r="A2" s="21" t="s">
        <v>72</v>
      </c>
      <c r="B2">
        <v>472.46</v>
      </c>
      <c r="C2">
        <v>23.25</v>
      </c>
      <c r="D2">
        <f>B2*C2</f>
        <v>10984.695</v>
      </c>
    </row>
    <row r="3" spans="1:6" x14ac:dyDescent="0.25">
      <c r="A3" s="21" t="s">
        <v>73</v>
      </c>
      <c r="B3">
        <v>472.46</v>
      </c>
      <c r="C3">
        <v>10.25</v>
      </c>
      <c r="D3">
        <f>B3*C3</f>
        <v>4842.7150000000001</v>
      </c>
    </row>
    <row r="4" spans="1:6" x14ac:dyDescent="0.25">
      <c r="A4" s="21"/>
      <c r="D4">
        <f>D2-D3</f>
        <v>6141.98</v>
      </c>
    </row>
    <row r="5" spans="1:6" x14ac:dyDescent="0.25">
      <c r="B5" t="s">
        <v>74</v>
      </c>
      <c r="C5" t="s">
        <v>75</v>
      </c>
      <c r="D5">
        <v>1000</v>
      </c>
    </row>
    <row r="6" spans="1:6" x14ac:dyDescent="0.25">
      <c r="D6">
        <f>D4-D5</f>
        <v>5141.9799999999996</v>
      </c>
    </row>
    <row r="7" spans="1:6" x14ac:dyDescent="0.25">
      <c r="C7" t="s">
        <v>69</v>
      </c>
    </row>
    <row r="8" spans="1:6" ht="15.75" thickBot="1" x14ac:dyDescent="0.3"/>
    <row r="9" spans="1:6" ht="21" x14ac:dyDescent="0.35">
      <c r="A9" s="88" t="s">
        <v>70</v>
      </c>
      <c r="B9" s="89"/>
      <c r="C9" s="89"/>
      <c r="D9" s="90"/>
    </row>
    <row r="10" spans="1:6" x14ac:dyDescent="0.25">
      <c r="A10" s="22" t="s">
        <v>76</v>
      </c>
      <c r="B10" s="4">
        <v>214.56</v>
      </c>
      <c r="C10" s="4">
        <v>23</v>
      </c>
      <c r="D10" s="23">
        <f>B10*C10</f>
        <v>4934.88</v>
      </c>
    </row>
    <row r="11" spans="1:6" ht="30" x14ac:dyDescent="0.25">
      <c r="A11" s="22" t="s">
        <v>77</v>
      </c>
      <c r="B11" s="4">
        <v>221.76</v>
      </c>
      <c r="C11" s="4">
        <v>18</v>
      </c>
      <c r="D11" s="23">
        <f>B11*C11</f>
        <v>3991.68</v>
      </c>
    </row>
    <row r="12" spans="1:6" x14ac:dyDescent="0.25">
      <c r="A12" s="24"/>
      <c r="B12" s="93"/>
      <c r="C12" s="94"/>
      <c r="D12" s="23">
        <f>SUM(D10:D11)</f>
        <v>8926.56</v>
      </c>
    </row>
    <row r="13" spans="1:6" x14ac:dyDescent="0.25">
      <c r="A13" s="24"/>
      <c r="B13" s="91" t="s">
        <v>73</v>
      </c>
      <c r="C13" s="91"/>
      <c r="D13" s="23"/>
    </row>
    <row r="14" spans="1:6" x14ac:dyDescent="0.25">
      <c r="A14" s="24"/>
      <c r="B14" s="4">
        <v>214.56</v>
      </c>
      <c r="C14" s="4">
        <v>12</v>
      </c>
      <c r="D14" s="23">
        <f>B14*C14</f>
        <v>2574.7200000000003</v>
      </c>
    </row>
    <row r="15" spans="1:6" x14ac:dyDescent="0.25">
      <c r="A15" s="24"/>
      <c r="B15" s="4">
        <v>221.76</v>
      </c>
      <c r="C15" s="4">
        <v>11</v>
      </c>
      <c r="D15" s="23">
        <f>B15*C15</f>
        <v>2439.3599999999997</v>
      </c>
    </row>
    <row r="16" spans="1:6" x14ac:dyDescent="0.25">
      <c r="A16" s="24"/>
      <c r="B16" s="4"/>
      <c r="C16" s="4" t="s">
        <v>79</v>
      </c>
      <c r="D16" s="23">
        <f>SUM(D14:D15)</f>
        <v>5014.08</v>
      </c>
      <c r="E16">
        <v>1784</v>
      </c>
      <c r="F16">
        <f>D16-E16</f>
        <v>3230.08</v>
      </c>
    </row>
    <row r="17" spans="1:4" ht="15.75" thickBot="1" x14ac:dyDescent="0.3">
      <c r="A17" s="25"/>
      <c r="B17" s="26"/>
      <c r="C17" s="47" t="s">
        <v>78</v>
      </c>
      <c r="D17" s="48">
        <f>D12-D16</f>
        <v>3912.4799999999996</v>
      </c>
    </row>
    <row r="20" spans="1:4" ht="18.75" x14ac:dyDescent="0.3">
      <c r="A20" s="92" t="s">
        <v>71</v>
      </c>
      <c r="B20" s="86"/>
      <c r="C20" s="86"/>
      <c r="D20" s="86"/>
    </row>
    <row r="21" spans="1:4" x14ac:dyDescent="0.25">
      <c r="A21" s="45" t="s">
        <v>80</v>
      </c>
      <c r="B21" s="45">
        <v>191.11</v>
      </c>
      <c r="C21" s="45">
        <v>10.75</v>
      </c>
      <c r="D21" s="45">
        <f>B21*C21</f>
        <v>2054.4325000000003</v>
      </c>
    </row>
    <row r="22" spans="1:4" x14ac:dyDescent="0.25">
      <c r="A22" s="45" t="s">
        <v>81</v>
      </c>
      <c r="B22" s="45">
        <v>178.79</v>
      </c>
      <c r="C22" s="45">
        <v>11.25</v>
      </c>
      <c r="D22" s="45">
        <f t="shared" ref="D22:D23" si="0">B22*C22</f>
        <v>2011.3874999999998</v>
      </c>
    </row>
    <row r="23" spans="1:4" x14ac:dyDescent="0.25">
      <c r="A23" s="45" t="s">
        <v>16</v>
      </c>
      <c r="B23" s="45">
        <v>158.4</v>
      </c>
      <c r="C23" s="45">
        <v>25.5</v>
      </c>
      <c r="D23" s="45">
        <f t="shared" si="0"/>
        <v>4039.2000000000003</v>
      </c>
    </row>
    <row r="24" spans="1:4" x14ac:dyDescent="0.25">
      <c r="A24" s="45"/>
      <c r="B24" s="45"/>
      <c r="C24" s="45"/>
      <c r="D24" s="45">
        <f>SUM(D21:D23)</f>
        <v>8105.02</v>
      </c>
    </row>
    <row r="25" spans="1:4" x14ac:dyDescent="0.25">
      <c r="A25" s="45"/>
      <c r="B25" s="86" t="s">
        <v>73</v>
      </c>
      <c r="C25" s="86"/>
      <c r="D25" s="45"/>
    </row>
    <row r="26" spans="1:4" x14ac:dyDescent="0.25">
      <c r="A26" s="45" t="s">
        <v>80</v>
      </c>
      <c r="B26" s="45">
        <v>191.11</v>
      </c>
      <c r="C26" s="45">
        <v>8</v>
      </c>
      <c r="D26" s="45">
        <f>B26*C26</f>
        <v>1528.88</v>
      </c>
    </row>
    <row r="27" spans="1:4" x14ac:dyDescent="0.25">
      <c r="A27" s="45" t="s">
        <v>81</v>
      </c>
      <c r="B27" s="45">
        <v>178.79</v>
      </c>
      <c r="C27" s="45">
        <v>9</v>
      </c>
      <c r="D27" s="45">
        <f t="shared" ref="D27:D28" si="1">B27*C27</f>
        <v>1609.11</v>
      </c>
    </row>
    <row r="28" spans="1:4" x14ac:dyDescent="0.25">
      <c r="A28" s="45" t="s">
        <v>16</v>
      </c>
      <c r="B28" s="45">
        <v>158.4</v>
      </c>
      <c r="C28" s="45">
        <v>13.5</v>
      </c>
      <c r="D28" s="45">
        <f t="shared" si="1"/>
        <v>2138.4</v>
      </c>
    </row>
    <row r="29" spans="1:4" x14ac:dyDescent="0.25">
      <c r="A29" s="45"/>
      <c r="B29" s="85" t="s">
        <v>82</v>
      </c>
      <c r="C29" s="85"/>
      <c r="D29" s="46">
        <f>SUM(D26:D28)</f>
        <v>5276.3899999999994</v>
      </c>
    </row>
    <row r="30" spans="1:4" x14ac:dyDescent="0.25">
      <c r="A30" s="45"/>
      <c r="B30" s="86" t="s">
        <v>78</v>
      </c>
      <c r="C30" s="86"/>
      <c r="D30" s="45">
        <f>D24-D29</f>
        <v>2828.630000000001</v>
      </c>
    </row>
    <row r="31" spans="1:4" x14ac:dyDescent="0.25">
      <c r="A31" s="45"/>
      <c r="B31" s="45" t="s">
        <v>83</v>
      </c>
      <c r="C31" s="45" t="s">
        <v>75</v>
      </c>
      <c r="D31" s="45">
        <v>1000</v>
      </c>
    </row>
    <row r="32" spans="1:4" x14ac:dyDescent="0.25">
      <c r="A32" s="45"/>
      <c r="B32" s="85" t="s">
        <v>78</v>
      </c>
      <c r="C32" s="85"/>
      <c r="D32" s="46">
        <f>D30-D31</f>
        <v>1828.630000000001</v>
      </c>
    </row>
    <row r="36" spans="1:8" ht="18.75" x14ac:dyDescent="0.3">
      <c r="A36" s="83" t="s">
        <v>92</v>
      </c>
      <c r="B36" s="84"/>
      <c r="C36" s="84"/>
      <c r="D36" s="84"/>
    </row>
    <row r="37" spans="1:8" x14ac:dyDescent="0.25">
      <c r="A37" s="4" t="s">
        <v>159</v>
      </c>
      <c r="B37" s="4">
        <v>410.76</v>
      </c>
      <c r="C37" s="4">
        <v>18.600000000000001</v>
      </c>
      <c r="D37" s="4">
        <f>B37*C37</f>
        <v>7640.1360000000004</v>
      </c>
    </row>
    <row r="38" spans="1:8" x14ac:dyDescent="0.25">
      <c r="A38" s="4" t="s">
        <v>160</v>
      </c>
      <c r="B38" s="4">
        <v>410.76</v>
      </c>
      <c r="C38" s="4">
        <v>12</v>
      </c>
      <c r="D38" s="4">
        <f>B38*C38</f>
        <v>4929.12</v>
      </c>
    </row>
    <row r="39" spans="1:8" x14ac:dyDescent="0.25">
      <c r="A39" s="4"/>
      <c r="B39" s="4"/>
      <c r="C39" s="4" t="s">
        <v>176</v>
      </c>
      <c r="D39" s="4">
        <f>D37-D38</f>
        <v>2711.0160000000005</v>
      </c>
    </row>
    <row r="40" spans="1:8" x14ac:dyDescent="0.25">
      <c r="A40" s="4"/>
      <c r="B40" s="4"/>
      <c r="C40" s="4" t="s">
        <v>177</v>
      </c>
      <c r="D40" s="4">
        <f>D38</f>
        <v>4929.12</v>
      </c>
    </row>
    <row r="43" spans="1:8" ht="18.75" x14ac:dyDescent="0.3">
      <c r="A43" s="83" t="s">
        <v>129</v>
      </c>
      <c r="B43" s="84"/>
      <c r="C43" s="84"/>
      <c r="D43" s="84"/>
    </row>
    <row r="44" spans="1:8" ht="18.75" x14ac:dyDescent="0.3">
      <c r="A44" s="97" t="s">
        <v>170</v>
      </c>
      <c r="B44" s="98"/>
      <c r="C44" s="98"/>
      <c r="D44" s="99"/>
      <c r="H44" t="s">
        <v>69</v>
      </c>
    </row>
    <row r="45" spans="1:8" x14ac:dyDescent="0.25">
      <c r="A45" s="4" t="s">
        <v>169</v>
      </c>
      <c r="B45" s="4">
        <v>199.25</v>
      </c>
      <c r="C45" s="4">
        <v>23.5</v>
      </c>
      <c r="D45" s="4">
        <f>B45*C45</f>
        <v>4682.375</v>
      </c>
    </row>
    <row r="46" spans="1:8" x14ac:dyDescent="0.25">
      <c r="A46" s="4" t="s">
        <v>76</v>
      </c>
      <c r="B46" s="4">
        <v>251.04</v>
      </c>
      <c r="C46" s="4">
        <v>18.600000000000001</v>
      </c>
      <c r="D46" s="4">
        <f>B46*C46</f>
        <v>4669.3440000000001</v>
      </c>
    </row>
    <row r="47" spans="1:8" x14ac:dyDescent="0.25">
      <c r="A47" s="100" t="s">
        <v>171</v>
      </c>
      <c r="B47" s="101"/>
      <c r="C47" s="102"/>
      <c r="D47" s="49">
        <f>SUM(D45:D46)</f>
        <v>9351.719000000001</v>
      </c>
    </row>
    <row r="48" spans="1:8" ht="18.75" x14ac:dyDescent="0.3">
      <c r="A48" s="97" t="s">
        <v>2</v>
      </c>
      <c r="B48" s="98"/>
      <c r="C48" s="98"/>
      <c r="D48" s="99"/>
    </row>
    <row r="49" spans="1:4" x14ac:dyDescent="0.25">
      <c r="A49" s="4" t="s">
        <v>172</v>
      </c>
      <c r="B49" s="4">
        <v>199.25</v>
      </c>
      <c r="C49" s="4">
        <v>12</v>
      </c>
      <c r="D49" s="4">
        <f>B49*C49</f>
        <v>2391</v>
      </c>
    </row>
    <row r="50" spans="1:4" x14ac:dyDescent="0.25">
      <c r="A50" s="4" t="s">
        <v>173</v>
      </c>
      <c r="B50" s="4">
        <v>251.04</v>
      </c>
      <c r="C50" s="4">
        <v>11</v>
      </c>
      <c r="D50" s="4">
        <f>B50*C50</f>
        <v>2761.44</v>
      </c>
    </row>
    <row r="51" spans="1:4" ht="15.75" thickBot="1" x14ac:dyDescent="0.3">
      <c r="A51" s="100" t="s">
        <v>171</v>
      </c>
      <c r="B51" s="103"/>
      <c r="C51" s="104"/>
      <c r="D51" s="50">
        <f>SUM(D49:D50)</f>
        <v>5152.4400000000005</v>
      </c>
    </row>
    <row r="52" spans="1:4" x14ac:dyDescent="0.25">
      <c r="B52" s="105" t="s">
        <v>174</v>
      </c>
      <c r="C52" s="106"/>
      <c r="D52" s="51">
        <f>D51</f>
        <v>5152.4400000000005</v>
      </c>
    </row>
    <row r="53" spans="1:4" ht="15.75" thickBot="1" x14ac:dyDescent="0.3">
      <c r="B53" s="95" t="s">
        <v>175</v>
      </c>
      <c r="C53" s="96"/>
      <c r="D53" s="52">
        <f>D47-D51</f>
        <v>4199.2790000000005</v>
      </c>
    </row>
    <row r="54" spans="1:4" x14ac:dyDescent="0.25">
      <c r="D54" t="s">
        <v>69</v>
      </c>
    </row>
  </sheetData>
  <mergeCells count="17">
    <mergeCell ref="B53:C53"/>
    <mergeCell ref="A48:D48"/>
    <mergeCell ref="A43:D43"/>
    <mergeCell ref="A44:D44"/>
    <mergeCell ref="A47:C47"/>
    <mergeCell ref="A51:C51"/>
    <mergeCell ref="B52:C52"/>
    <mergeCell ref="A36:D36"/>
    <mergeCell ref="B29:C29"/>
    <mergeCell ref="B30:C30"/>
    <mergeCell ref="A1:D1"/>
    <mergeCell ref="A9:D9"/>
    <mergeCell ref="B13:C13"/>
    <mergeCell ref="A20:D20"/>
    <mergeCell ref="B25:C25"/>
    <mergeCell ref="B12:C12"/>
    <mergeCell ref="B32:C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Sheet</vt:lpstr>
      <vt:lpstr>Sheet2</vt:lpstr>
      <vt:lpstr>Sheet1</vt:lpstr>
      <vt:lpstr>Sheet3</vt:lpstr>
      <vt:lpstr>Documentation</vt:lpstr>
      <vt:lpstr>BK23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Mewad Trading</dc:creator>
  <cp:lastModifiedBy>Mewad Trading</cp:lastModifiedBy>
  <dcterms:created xsi:type="dcterms:W3CDTF">2024-02-29T07:18:17Z</dcterms:created>
  <dcterms:modified xsi:type="dcterms:W3CDTF">2026-05-23T13:01:56Z</dcterms:modified>
</cp:coreProperties>
</file>
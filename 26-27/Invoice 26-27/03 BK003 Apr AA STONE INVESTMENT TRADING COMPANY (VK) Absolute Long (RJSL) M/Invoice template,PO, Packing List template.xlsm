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6-27\Invoice 26-27\03 BK003 Apr AA STONE INVESTMENT TRADING COMPANY (VK) Absolute Long (RJSL) M\"/>
    </mc:Choice>
  </mc:AlternateContent>
  <bookViews>
    <workbookView xWindow="0" yWindow="0" windowWidth="20490" windowHeight="7245" activeTab="2"/>
  </bookViews>
  <sheets>
    <sheet name="company data" sheetId="1" r:id="rId1"/>
    <sheet name="input data" sheetId="2" r:id="rId2"/>
    <sheet name="Invoice" sheetId="6" r:id="rId3"/>
    <sheet name="Peacking List" sheetId="4" r:id="rId4"/>
    <sheet name="PO" sheetId="5" r:id="rId5"/>
    <sheet name="indian rupees igst" sheetId="3" r:id="rId6"/>
  </sheets>
  <functionGroups builtInGroupCount="18"/>
  <definedNames>
    <definedName name="_xlnm.Print_Area" localSheetId="2">Invoice!$A$1:$J$42</definedName>
    <definedName name="_xlnm.Print_Area" localSheetId="4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I28" i="6" l="1"/>
  <c r="U33" i="6" l="1"/>
  <c r="U30" i="6"/>
  <c r="U28" i="6"/>
  <c r="Q28" i="6"/>
  <c r="P28" i="6"/>
  <c r="B29" i="4" l="1"/>
  <c r="C30" i="6"/>
  <c r="A30" i="6"/>
  <c r="A33" i="4" s="1"/>
  <c r="F28" i="6"/>
  <c r="B28" i="6"/>
  <c r="H25" i="6"/>
  <c r="E25" i="6"/>
  <c r="C25" i="6"/>
  <c r="H22" i="6"/>
  <c r="C22" i="6"/>
  <c r="A15" i="6"/>
  <c r="H12" i="6"/>
  <c r="E12" i="6"/>
  <c r="A12" i="6"/>
  <c r="H10" i="6"/>
  <c r="E10" i="6"/>
  <c r="H6" i="6"/>
  <c r="H4" i="6"/>
  <c r="I36" i="6" l="1"/>
  <c r="A37" i="6"/>
  <c r="O25" i="5" l="1"/>
  <c r="O20" i="5"/>
  <c r="B5" i="2" l="1"/>
  <c r="B3" i="2" l="1"/>
  <c r="E4" i="6" s="1"/>
  <c r="Q19" i="5" l="1"/>
  <c r="Q18" i="5"/>
  <c r="C9" i="5" l="1"/>
  <c r="F28" i="3" l="1"/>
  <c r="I28" i="3" l="1"/>
  <c r="I33" i="3" s="1"/>
  <c r="Q20" i="5"/>
  <c r="O27" i="5" l="1"/>
  <c r="Q21" i="5" l="1"/>
  <c r="Q23" i="5" s="1"/>
  <c r="J19" i="5" l="1"/>
  <c r="J20" i="5" s="1"/>
  <c r="C33" i="4" l="1"/>
  <c r="A12" i="4"/>
  <c r="A12" i="3"/>
  <c r="A15" i="3" l="1"/>
  <c r="G5" i="4" l="1"/>
  <c r="C37" i="5"/>
  <c r="H6" i="3"/>
  <c r="I29" i="4"/>
  <c r="I30" i="4" s="1"/>
  <c r="C35" i="4"/>
  <c r="G26" i="4"/>
  <c r="G22" i="4"/>
  <c r="C30" i="3"/>
  <c r="A30" i="3"/>
  <c r="B28" i="3"/>
  <c r="D29" i="4" s="1"/>
  <c r="H25" i="3"/>
  <c r="D26" i="4" s="1"/>
  <c r="E25" i="3"/>
  <c r="A26" i="4" s="1"/>
  <c r="C25" i="3"/>
  <c r="D24" i="4" s="1"/>
  <c r="H22" i="3"/>
  <c r="I20" i="4" s="1"/>
  <c r="C22" i="3"/>
  <c r="D22" i="4" s="1"/>
  <c r="A15" i="4"/>
  <c r="H12" i="3"/>
  <c r="E12" i="3"/>
  <c r="H10" i="3"/>
  <c r="E10" i="3"/>
  <c r="H4" i="3"/>
  <c r="I3" i="4" s="1"/>
  <c r="E4" i="3"/>
  <c r="G3" i="4" s="1"/>
  <c r="J21" i="5" l="1"/>
  <c r="J23" i="5" s="1"/>
</calcChain>
</file>

<file path=xl/sharedStrings.xml><?xml version="1.0" encoding="utf-8"?>
<sst xmlns="http://schemas.openxmlformats.org/spreadsheetml/2006/main" count="273" uniqueCount="176">
  <si>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</si>
  <si>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</si>
  <si>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</si>
  <si>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</si>
  <si>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</si>
  <si>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</si>
  <si>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</si>
  <si>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</si>
  <si>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</si>
  <si>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</si>
  <si>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</si>
  <si>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</si>
  <si>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</si>
  <si>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</si>
  <si>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</si>
  <si>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</si>
  <si>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</si>
  <si>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</si>
  <si>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</si>
  <si>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</si>
  <si>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</si>
  <si>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</si>
  <si>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</si>
  <si>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</si>
  <si>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</si>
  <si>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</si>
  <si>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</si>
  <si>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</si>
  <si>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</si>
  <si>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</si>
  <si>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</si>
  <si>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</si>
  <si>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</si>
  <si>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</si>
  <si>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</si>
  <si>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</si>
  <si>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</si>
  <si>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</si>
  <si>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</si>
  <si>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</si>
  <si>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</si>
  <si>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</si>
  <si>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</si>
  <si>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</si>
  <si>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</si>
  <si>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</si>
  <si>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</si>
  <si>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</si>
  <si>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</si>
  <si>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</si>
  <si>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</si>
  <si>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</si>
  <si>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</si>
  <si>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</si>
  <si>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</si>
  <si>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</si>
  <si>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</si>
  <si>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</si>
  <si>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</si>
  <si>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</si>
  <si>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</si>
  <si>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</si>
  <si>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</si>
  <si>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</si>
  <si>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</si>
  <si>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</si>
  <si>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</si>
  <si>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</si>
  <si>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</si>
  <si>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</si>
  <si>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</si>
  <si>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</si>
  <si>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</si>
  <si>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</si>
  <si>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</si>
  <si>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</si>
  <si>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</si>
  <si>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</si>
  <si>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</si>
  <si>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</si>
  <si>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</si>
  <si>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</si>
  <si>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</si>
  <si>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</si>
  <si>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</si>
  <si>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</si>
  <si>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</si>
  <si>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</si>
  <si>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</si>
  <si>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</si>
  <si>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</si>
  <si>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</si>
  <si>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</si>
  <si>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</si>
  <si>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</si>
  <si>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</si>
  <si>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</si>
  <si>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</si>
  <si>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</si>
  <si>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</si>
  <si>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</si>
  <si>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</si>
  <si>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</si>
  <si>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</si>
  <si>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</si>
  <si>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28000kgs</t>
  </si>
  <si>
    <t>27500kgs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</si>
  <si>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</si>
  <si>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</si>
  <si>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</si>
  <si>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</si>
  <si>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</si>
  <si>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</si>
  <si>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</si>
  <si>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</si>
  <si>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</si>
  <si>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</si>
  <si>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</si>
  <si>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</si>
  <si>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</si>
  <si>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</si>
  <si>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</si>
  <si>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</si>
  <si>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</si>
  <si>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</si>
  <si>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</si>
  <si>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</si>
  <si>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</si>
  <si>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</si>
  <si>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</si>
  <si>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</si>
  <si>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</si>
  <si>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</si>
  <si>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</si>
  <si>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</si>
  <si>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</si>
  <si>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</si>
  <si>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</si>
  <si>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</si>
  <si>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</si>
  <si>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</si>
  <si>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</si>
  <si>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LC at Sight</t>
  </si>
  <si>
    <t>To the Order</t>
  </si>
  <si>
    <t>CHENNAI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</si>
  <si>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</si>
  <si>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</si>
  <si>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</si>
  <si>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</si>
  <si>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</si>
  <si>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</si>
  <si>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</si>
  <si>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extra</t>
  </si>
  <si>
    <t>buyer</t>
  </si>
  <si>
    <t>supplier</t>
  </si>
  <si>
    <t>SQ FEET</t>
  </si>
  <si>
    <t>BANK DETAILS: 
ACCOUNT NAME : B K  EXPORTS
BANK NAME : BANK OF BARODA
ACCOUNT NUMBER : 14970400000500
SWIFT CODE : BARBINBBVAT
IFSC CODE : BARB0MANEAS (fifth digit zero)
BRANCH : MANINAGAR (EAST)</t>
  </si>
  <si>
    <t>26-27</t>
  </si>
  <si>
    <t>90up</t>
  </si>
  <si>
    <r>
      <t xml:space="preserve">TAX INVOICE 
</t>
    </r>
    <r>
      <rPr>
        <sz val="11"/>
        <color theme="1"/>
        <rFont val="Calibri"/>
        <family val="2"/>
      </rPr>
      <t>SUPPLY MEANT FOR EXPORT FOR AUTHORISED OPERATIONS ON PAYMENT OF IGST</t>
    </r>
  </si>
  <si>
    <t>Seven Lakhs Forty Thousand Six Hundred Six Rupees and Ninty Nine Paisa</t>
  </si>
  <si>
    <t>DA NANG</t>
  </si>
  <si>
    <t>LONG</t>
  </si>
  <si>
    <t>GST 0.1%</t>
  </si>
  <si>
    <t xml:space="preserve">A-A STONE INVESTMENT TRADING COMPANY 
LIMITED
 34/5 TRAN KHANH DU STREET, TAN DINH WARD, 
HOCHIMINH CITY, VIETNAM
 TAX:0317458134
 MAIL: AASTONEDOCS@GMAIL.COM
</t>
  </si>
  <si>
    <t xml:space="preserve">TAX INVOICE </t>
  </si>
  <si>
    <t>03</t>
  </si>
  <si>
    <t>OOCU0930538</t>
  </si>
  <si>
    <t>SRI SRI VIJAYALAXMI GRANITES</t>
  </si>
  <si>
    <t>PO 003/26-27</t>
  </si>
  <si>
    <t>SY NO. 164/AA, Mudigonda, Khammam Rural
Khammam District – T.S. (Telangana)
GSTIN/UIN: 36ADMFS8645N1Z3
State Name: Telangana, Code: 36</t>
  </si>
  <si>
    <t>rate</t>
  </si>
  <si>
    <t>quantity</t>
  </si>
  <si>
    <t>deduct</t>
  </si>
  <si>
    <t>original</t>
  </si>
  <si>
    <t>after deduction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</si>
</sst>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  <numFmt numFmtId="170" formatCode="_ [$₹-4009]\ * #,##0.00_ ;_ [$₹-4009]\ * \-#,##0.00_ ;_ [$₹-4009]\ * &quot;-&quot;??_ ;_ @_ 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56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rgb="FF000000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75">
    <xf numFmtId="0" fontId="0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4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9" fillId="0" borderId="5" xfId="0" applyFont="1" applyBorder="1"/>
    <xf numFmtId="0" fontId="10" fillId="2" borderId="9" xfId="0" applyFont="1" applyFill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5" fillId="0" borderId="15" xfId="0" applyFont="1" applyBorder="1" applyAlignment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7" xfId="0" applyFont="1" applyBorder="1" applyAlignment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10" xfId="0" applyFont="1" applyBorder="1"/>
    <xf numFmtId="0" fontId="6" fillId="0" borderId="11" xfId="0" applyFont="1" applyBorder="1"/>
    <xf numFmtId="0" fontId="6" fillId="0" borderId="12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27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0" fillId="0" borderId="0" xfId="0" applyFont="1" applyAlignment="1"/>
    <xf numFmtId="0" fontId="3" fillId="0" borderId="0" xfId="0" applyFont="1" applyAlignment="1"/>
    <xf numFmtId="0" fontId="6" fillId="0" borderId="17" xfId="0" applyFont="1" applyBorder="1"/>
    <xf numFmtId="0" fontId="6" fillId="0" borderId="20" xfId="0" applyFont="1" applyBorder="1"/>
    <xf numFmtId="0" fontId="6" fillId="0" borderId="18" xfId="0" applyFont="1" applyBorder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4" fillId="0" borderId="35" xfId="0" applyFont="1" applyBorder="1" applyAlignment="1">
      <alignment horizontal="center"/>
    </xf>
    <xf numFmtId="166" fontId="0" fillId="0" borderId="0" xfId="0" applyNumberFormat="1" applyFont="1" applyAlignment="1"/>
    <xf numFmtId="0" fontId="6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0" fontId="0" fillId="0" borderId="0" xfId="0" applyFont="1" applyAlignment="1"/>
    <xf numFmtId="169" fontId="0" fillId="0" borderId="0" xfId="0" applyNumberFormat="1" applyFont="1" applyAlignment="1"/>
    <xf numFmtId="0" fontId="2" fillId="3" borderId="0" xfId="0" applyFont="1" applyFill="1" applyAlignment="1"/>
    <xf numFmtId="0" fontId="24" fillId="3" borderId="0" xfId="0" applyFont="1" applyFill="1" applyAlignment="1"/>
    <xf numFmtId="0" fontId="0" fillId="0" borderId="0" xfId="0" applyFont="1" applyAlignment="1"/>
    <xf numFmtId="2" fontId="24" fillId="3" borderId="0" xfId="0" applyNumberFormat="1" applyFont="1" applyFill="1" applyAlignment="1"/>
    <xf numFmtId="0" fontId="1" fillId="0" borderId="0" xfId="0" applyFont="1"/>
    <xf numFmtId="0" fontId="4" fillId="0" borderId="16" xfId="0" applyFont="1" applyBorder="1"/>
    <xf numFmtId="170" fontId="6" fillId="0" borderId="34" xfId="0" applyNumberFormat="1" applyFont="1" applyBorder="1" applyAlignment="1">
      <alignment horizontal="center"/>
    </xf>
    <xf numFmtId="0" fontId="0" fillId="0" borderId="0" xfId="0" applyFont="1" applyAlignment="1"/>
    <xf numFmtId="166" fontId="6" fillId="0" borderId="34" xfId="0" applyNumberFormat="1" applyFont="1" applyBorder="1" applyAlignment="1">
      <alignment horizontal="center"/>
    </xf>
    <xf numFmtId="0" fontId="4" fillId="0" borderId="36" xfId="0" applyFont="1" applyBorder="1"/>
    <xf numFmtId="0" fontId="6" fillId="0" borderId="37" xfId="0" applyFont="1" applyBorder="1"/>
    <xf numFmtId="0" fontId="6" fillId="0" borderId="42" xfId="0" applyFont="1" applyBorder="1"/>
    <xf numFmtId="0" fontId="6" fillId="0" borderId="44" xfId="0" applyFont="1" applyBorder="1"/>
    <xf numFmtId="0" fontId="9" fillId="0" borderId="44" xfId="0" applyFont="1" applyBorder="1"/>
    <xf numFmtId="0" fontId="10" fillId="2" borderId="44" xfId="0" applyFont="1" applyFill="1" applyBorder="1"/>
    <xf numFmtId="0" fontId="4" fillId="0" borderId="48" xfId="0" applyFont="1" applyBorder="1"/>
    <xf numFmtId="0" fontId="6" fillId="0" borderId="55" xfId="0" applyFont="1" applyBorder="1" applyAlignment="1">
      <alignment horizontal="center"/>
    </xf>
    <xf numFmtId="0" fontId="6" fillId="0" borderId="47" xfId="0" applyFont="1" applyBorder="1"/>
    <xf numFmtId="0" fontId="6" fillId="0" borderId="17" xfId="0" applyFont="1" applyBorder="1" applyAlignment="1">
      <alignment horizontal="left"/>
    </xf>
    <xf numFmtId="0" fontId="6" fillId="0" borderId="52" xfId="0" applyFont="1" applyBorder="1"/>
    <xf numFmtId="0" fontId="4" fillId="0" borderId="52" xfId="0" applyFont="1" applyBorder="1" applyAlignment="1"/>
    <xf numFmtId="0" fontId="6" fillId="0" borderId="21" xfId="0" applyFont="1" applyBorder="1"/>
    <xf numFmtId="0" fontId="6" fillId="0" borderId="16" xfId="0" applyFont="1" applyBorder="1"/>
    <xf numFmtId="0" fontId="6" fillId="0" borderId="51" xfId="0" applyFont="1" applyBorder="1"/>
    <xf numFmtId="0" fontId="6" fillId="0" borderId="40" xfId="0" applyFont="1" applyBorder="1"/>
    <xf numFmtId="0" fontId="6" fillId="0" borderId="41" xfId="0" applyFont="1" applyBorder="1"/>
    <xf numFmtId="0" fontId="4" fillId="0" borderId="0" xfId="0" applyFont="1" applyAlignment="1">
      <alignment horizontal="left" vertical="center"/>
    </xf>
    <xf numFmtId="0" fontId="0" fillId="0" borderId="0" xfId="0" applyFont="1" applyAlignment="1"/>
    <xf numFmtId="0" fontId="6" fillId="0" borderId="0" xfId="0" applyFont="1" applyAlignment="1">
      <alignment horizontal="left" vertical="top" wrapText="1"/>
    </xf>
    <xf numFmtId="166" fontId="13" fillId="0" borderId="2" xfId="0" applyNumberFormat="1" applyFont="1" applyBorder="1" applyAlignment="1">
      <alignment horizontal="center" vertical="center"/>
    </xf>
    <xf numFmtId="166" fontId="8" fillId="0" borderId="46" xfId="0" applyNumberFormat="1" applyFont="1" applyBorder="1"/>
    <xf numFmtId="166" fontId="8" fillId="0" borderId="19" xfId="0" applyNumberFormat="1" applyFont="1" applyBorder="1"/>
    <xf numFmtId="166" fontId="8" fillId="0" borderId="45" xfId="0" applyNumberFormat="1" applyFont="1" applyBorder="1"/>
    <xf numFmtId="0" fontId="14" fillId="0" borderId="48" xfId="0" applyFont="1" applyBorder="1" applyAlignment="1">
      <alignment horizontal="left"/>
    </xf>
    <xf numFmtId="0" fontId="8" fillId="0" borderId="3" xfId="0" applyFont="1" applyBorder="1"/>
    <xf numFmtId="0" fontId="8" fillId="0" borderId="4" xfId="0" applyFont="1" applyBorder="1"/>
    <xf numFmtId="0" fontId="4" fillId="0" borderId="2" xfId="0" applyFont="1" applyBorder="1" applyAlignment="1">
      <alignment horizontal="left"/>
    </xf>
    <xf numFmtId="0" fontId="8" fillId="0" borderId="46" xfId="0" applyFont="1" applyBorder="1"/>
    <xf numFmtId="0" fontId="6" fillId="0" borderId="44" xfId="0" applyFont="1" applyBorder="1" applyAlignment="1">
      <alignment horizontal="left" wrapText="1"/>
    </xf>
    <xf numFmtId="0" fontId="0" fillId="0" borderId="17" xfId="0" applyFont="1" applyBorder="1" applyAlignment="1"/>
    <xf numFmtId="0" fontId="8" fillId="0" borderId="18" xfId="0" applyFont="1" applyBorder="1"/>
    <xf numFmtId="0" fontId="8" fillId="0" borderId="44" xfId="0" applyFont="1" applyBorder="1"/>
    <xf numFmtId="0" fontId="15" fillId="0" borderId="44" xfId="0" applyFont="1" applyBorder="1" applyAlignment="1">
      <alignment horizontal="left" vertical="top" wrapText="1"/>
    </xf>
    <xf numFmtId="0" fontId="8" fillId="0" borderId="39" xfId="0" applyFont="1" applyBorder="1"/>
    <xf numFmtId="0" fontId="8" fillId="0" borderId="40" xfId="0" applyFont="1" applyBorder="1"/>
    <xf numFmtId="0" fontId="8" fillId="0" borderId="50" xfId="0" applyFont="1" applyBorder="1"/>
    <xf numFmtId="0" fontId="6" fillId="0" borderId="10" xfId="0" applyFont="1" applyBorder="1" applyAlignment="1">
      <alignment horizontal="center"/>
    </xf>
    <xf numFmtId="0" fontId="8" fillId="0" borderId="11" xfId="0" applyFont="1" applyBorder="1"/>
    <xf numFmtId="0" fontId="8" fillId="0" borderId="12" xfId="0" applyFont="1" applyBorder="1"/>
    <xf numFmtId="0" fontId="6" fillId="0" borderId="11" xfId="0" applyFont="1" applyBorder="1" applyAlignment="1">
      <alignment horizontal="center"/>
    </xf>
    <xf numFmtId="166" fontId="6" fillId="0" borderId="11" xfId="0" applyNumberFormat="1" applyFont="1" applyBorder="1" applyAlignment="1">
      <alignment horizontal="center"/>
    </xf>
    <xf numFmtId="166" fontId="8" fillId="0" borderId="49" xfId="0" applyNumberFormat="1" applyFont="1" applyBorder="1"/>
    <xf numFmtId="0" fontId="4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6" fillId="0" borderId="44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6" fillId="0" borderId="11" xfId="0" applyNumberFormat="1" applyFont="1" applyBorder="1" applyAlignment="1">
      <alignment horizontal="center"/>
    </xf>
    <xf numFmtId="0" fontId="8" fillId="0" borderId="49" xfId="0" applyNumberFormat="1" applyFont="1" applyBorder="1"/>
    <xf numFmtId="0" fontId="4" fillId="0" borderId="53" xfId="0" applyFont="1" applyBorder="1" applyAlignment="1">
      <alignment horizontal="center" vertical="center"/>
    </xf>
    <xf numFmtId="0" fontId="8" fillId="0" borderId="54" xfId="0" applyFont="1" applyBorder="1"/>
    <xf numFmtId="0" fontId="4" fillId="0" borderId="2" xfId="0" applyFont="1" applyBorder="1" applyAlignment="1">
      <alignment horizontal="center" vertical="center"/>
    </xf>
    <xf numFmtId="0" fontId="8" fillId="0" borderId="16" xfId="0" applyFont="1" applyBorder="1"/>
    <xf numFmtId="0" fontId="4" fillId="0" borderId="13" xfId="0" applyFont="1" applyBorder="1" applyAlignment="1">
      <alignment horizontal="center" vertical="center"/>
    </xf>
    <xf numFmtId="0" fontId="8" fillId="0" borderId="14" xfId="0" applyFont="1" applyBorder="1"/>
    <xf numFmtId="0" fontId="4" fillId="0" borderId="2" xfId="0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8" fillId="0" borderId="21" xfId="0" applyFont="1" applyBorder="1"/>
    <xf numFmtId="0" fontId="8" fillId="0" borderId="45" xfId="0" applyFont="1" applyBorder="1"/>
    <xf numFmtId="0" fontId="12" fillId="0" borderId="16" xfId="0" applyFont="1" applyBorder="1" applyAlignment="1">
      <alignment horizontal="center" vertical="center"/>
    </xf>
    <xf numFmtId="0" fontId="8" fillId="0" borderId="47" xfId="0" applyFont="1" applyBorder="1"/>
    <xf numFmtId="0" fontId="8" fillId="0" borderId="19" xfId="0" applyFont="1" applyBorder="1"/>
    <xf numFmtId="0" fontId="8" fillId="0" borderId="20" xfId="0" applyFont="1" applyBorder="1"/>
    <xf numFmtId="0" fontId="4" fillId="0" borderId="44" xfId="0" applyFont="1" applyBorder="1" applyAlignment="1">
      <alignment horizontal="center"/>
    </xf>
    <xf numFmtId="0" fontId="6" fillId="0" borderId="52" xfId="0" applyFont="1" applyBorder="1" applyAlignment="1">
      <alignment horizontal="center"/>
    </xf>
    <xf numFmtId="0" fontId="4" fillId="0" borderId="48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4" xfId="0" applyFont="1" applyBorder="1" applyAlignment="1">
      <alignment horizontal="left"/>
    </xf>
    <xf numFmtId="0" fontId="4" fillId="0" borderId="16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8" fillId="0" borderId="51" xfId="0" applyFont="1" applyBorder="1"/>
    <xf numFmtId="0" fontId="8" fillId="0" borderId="41" xfId="0" applyFont="1" applyBorder="1"/>
    <xf numFmtId="0" fontId="6" fillId="0" borderId="44" xfId="0" applyFont="1" applyBorder="1" applyAlignment="1">
      <alignment horizontal="left" vertical="top" wrapText="1"/>
    </xf>
    <xf numFmtId="0" fontId="11" fillId="0" borderId="44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8" fillId="0" borderId="17" xfId="0" applyFont="1" applyBorder="1"/>
    <xf numFmtId="0" fontId="4" fillId="0" borderId="16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/>
    </xf>
    <xf numFmtId="0" fontId="4" fillId="0" borderId="48" xfId="0" applyFont="1" applyBorder="1" applyAlignment="1">
      <alignment horizontal="left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8" fillId="0" borderId="49" xfId="0" applyFont="1" applyBorder="1"/>
    <xf numFmtId="0" fontId="0" fillId="0" borderId="0" xfId="0" applyFont="1" applyAlignment="1">
      <alignment horizontal="center"/>
    </xf>
    <xf numFmtId="0" fontId="7" fillId="0" borderId="17" xfId="0" applyFont="1" applyBorder="1" applyAlignment="1">
      <alignment horizontal="center" vertical="center" wrapText="1"/>
    </xf>
    <xf numFmtId="0" fontId="4" fillId="0" borderId="43" xfId="0" applyFont="1" applyBorder="1" applyAlignment="1">
      <alignment horizontal="center"/>
    </xf>
    <xf numFmtId="0" fontId="8" fillId="0" borderId="37" xfId="0" applyFont="1" applyBorder="1"/>
    <xf numFmtId="0" fontId="8" fillId="0" borderId="42" xfId="0" applyFont="1" applyBorder="1"/>
    <xf numFmtId="0" fontId="8" fillId="0" borderId="38" xfId="0" applyFont="1" applyBorder="1"/>
    <xf numFmtId="164" fontId="6" fillId="0" borderId="19" xfId="0" applyNumberFormat="1" applyFont="1" applyBorder="1" applyAlignment="1">
      <alignment horizontal="center"/>
    </xf>
    <xf numFmtId="168" fontId="6" fillId="0" borderId="19" xfId="0" applyNumberFormat="1" applyFont="1" applyBorder="1" applyAlignment="1">
      <alignment horizontal="center"/>
    </xf>
    <xf numFmtId="168" fontId="8" fillId="0" borderId="20" xfId="0" applyNumberFormat="1" applyFont="1" applyBorder="1"/>
    <xf numFmtId="168" fontId="8" fillId="0" borderId="45" xfId="0" applyNumberFormat="1" applyFont="1" applyBorder="1"/>
    <xf numFmtId="0" fontId="6" fillId="0" borderId="19" xfId="0" applyFont="1" applyBorder="1" applyAlignment="1">
      <alignment horizontal="center"/>
    </xf>
    <xf numFmtId="165" fontId="4" fillId="0" borderId="19" xfId="0" applyNumberFormat="1" applyFont="1" applyBorder="1" applyAlignment="1">
      <alignment horizontal="center"/>
    </xf>
    <xf numFmtId="0" fontId="4" fillId="0" borderId="10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/>
    </xf>
    <xf numFmtId="0" fontId="8" fillId="0" borderId="6" xfId="0" applyFont="1" applyBorder="1"/>
    <xf numFmtId="0" fontId="15" fillId="2" borderId="16" xfId="0" applyFont="1" applyFill="1" applyBorder="1" applyAlignment="1">
      <alignment horizontal="left" vertical="top" wrapText="1"/>
    </xf>
    <xf numFmtId="0" fontId="15" fillId="2" borderId="19" xfId="0" applyFont="1" applyFill="1" applyBorder="1" applyAlignment="1">
      <alignment horizontal="left" vertical="top"/>
    </xf>
    <xf numFmtId="0" fontId="6" fillId="0" borderId="7" xfId="0" applyFont="1" applyBorder="1" applyAlignment="1">
      <alignment horizontal="left"/>
    </xf>
    <xf numFmtId="0" fontId="8" fillId="0" borderId="1" xfId="0" applyFont="1" applyBorder="1"/>
    <xf numFmtId="0" fontId="8" fillId="0" borderId="8" xfId="0" applyFont="1" applyBorder="1"/>
    <xf numFmtId="0" fontId="4" fillId="0" borderId="0" xfId="0" applyFont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0" xfId="0" applyFont="1" applyAlignment="1">
      <alignment horizontal="center" vertical="top"/>
    </xf>
    <xf numFmtId="0" fontId="15" fillId="0" borderId="5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2" fontId="6" fillId="0" borderId="10" xfId="0" applyNumberFormat="1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7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8" fillId="0" borderId="7" xfId="0" applyFont="1" applyBorder="1"/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6" fillId="0" borderId="2" xfId="0" applyFont="1" applyBorder="1" applyAlignment="1">
      <alignment horizontal="center"/>
    </xf>
    <xf numFmtId="0" fontId="16" fillId="0" borderId="5" xfId="0" applyFont="1" applyBorder="1" applyAlignment="1">
      <alignment horizontal="left"/>
    </xf>
    <xf numFmtId="164" fontId="6" fillId="0" borderId="7" xfId="0" applyNumberFormat="1" applyFont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168" fontId="8" fillId="0" borderId="8" xfId="0" applyNumberFormat="1" applyFont="1" applyBorder="1"/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top" wrapText="1"/>
    </xf>
    <xf numFmtId="0" fontId="8" fillId="0" borderId="5" xfId="0" applyFont="1" applyBorder="1"/>
    <xf numFmtId="0" fontId="11" fillId="0" borderId="10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0" fontId="8" fillId="0" borderId="24" xfId="0" applyFont="1" applyBorder="1"/>
    <xf numFmtId="0" fontId="23" fillId="0" borderId="5" xfId="0" applyFont="1" applyBorder="1" applyAlignment="1">
      <alignment horizontal="left"/>
    </xf>
    <xf numFmtId="0" fontId="16" fillId="0" borderId="28" xfId="0" applyFont="1" applyBorder="1" applyAlignment="1">
      <alignment horizontal="center"/>
    </xf>
    <xf numFmtId="0" fontId="8" fillId="0" borderId="29" xfId="0" applyFont="1" applyBorder="1"/>
    <xf numFmtId="1" fontId="4" fillId="0" borderId="30" xfId="0" applyNumberFormat="1" applyFont="1" applyBorder="1" applyAlignment="1">
      <alignment horizontal="center"/>
    </xf>
    <xf numFmtId="0" fontId="8" fillId="0" borderId="31" xfId="0" applyFont="1" applyBorder="1"/>
    <xf numFmtId="2" fontId="4" fillId="0" borderId="10" xfId="0" applyNumberFormat="1" applyFont="1" applyBorder="1" applyAlignment="1">
      <alignment horizontal="center"/>
    </xf>
    <xf numFmtId="2" fontId="8" fillId="0" borderId="12" xfId="0" applyNumberFormat="1" applyFont="1" applyBorder="1"/>
    <xf numFmtId="4" fontId="4" fillId="0" borderId="10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4" fillId="0" borderId="10" xfId="0" applyFont="1" applyBorder="1" applyAlignment="1">
      <alignment horizontal="left"/>
    </xf>
    <xf numFmtId="1" fontId="4" fillId="0" borderId="11" xfId="0" applyNumberFormat="1" applyFont="1" applyBorder="1" applyAlignment="1">
      <alignment horizontal="center"/>
    </xf>
    <xf numFmtId="1" fontId="4" fillId="0" borderId="10" xfId="0" applyNumberFormat="1" applyFont="1" applyBorder="1" applyAlignment="1">
      <alignment horizontal="center"/>
    </xf>
    <xf numFmtId="0" fontId="8" fillId="0" borderId="22" xfId="0" applyFont="1" applyBorder="1"/>
    <xf numFmtId="0" fontId="6" fillId="0" borderId="11" xfId="0" applyFont="1" applyBorder="1" applyAlignment="1">
      <alignment horizontal="left"/>
    </xf>
    <xf numFmtId="0" fontId="6" fillId="0" borderId="12" xfId="0" applyFont="1" applyBorder="1" applyAlignment="1">
      <alignment horizontal="left"/>
    </xf>
    <xf numFmtId="1" fontId="4" fillId="0" borderId="25" xfId="0" applyNumberFormat="1" applyFont="1" applyBorder="1" applyAlignment="1">
      <alignment horizontal="center"/>
    </xf>
    <xf numFmtId="0" fontId="8" fillId="0" borderId="26" xfId="0" applyFont="1" applyBorder="1"/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/>
    </xf>
    <xf numFmtId="0" fontId="6" fillId="0" borderId="5" xfId="0" applyFont="1" applyBorder="1" applyAlignment="1">
      <alignment horizontal="left" wrapText="1"/>
    </xf>
    <xf numFmtId="0" fontId="4" fillId="0" borderId="12" xfId="0" applyFont="1" applyBorder="1" applyAlignment="1">
      <alignment horizontal="center"/>
    </xf>
    <xf numFmtId="167" fontId="6" fillId="0" borderId="0" xfId="0" applyNumberFormat="1" applyFont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 vertical="center" wrapText="1"/>
    </xf>
    <xf numFmtId="165" fontId="4" fillId="0" borderId="7" xfId="0" applyNumberFormat="1" applyFont="1" applyBorder="1" applyAlignment="1">
      <alignment horizontal="center"/>
    </xf>
    <xf numFmtId="0" fontId="7" fillId="0" borderId="36" xfId="0" applyFont="1" applyBorder="1" applyAlignment="1">
      <alignment horizontal="center" vertical="center" wrapText="1"/>
    </xf>
    <xf numFmtId="0" fontId="0" fillId="0" borderId="37" xfId="0" applyFont="1" applyBorder="1" applyAlignment="1"/>
    <xf numFmtId="0" fontId="0" fillId="0" borderId="38" xfId="0" applyFont="1" applyBorder="1" applyAlignment="1"/>
    <xf numFmtId="0" fontId="4" fillId="0" borderId="16" xfId="0" applyFont="1" applyBorder="1" applyAlignment="1">
      <alignment horizontal="center"/>
    </xf>
    <xf numFmtId="168" fontId="8" fillId="0" borderId="1" xfId="0" applyNumberFormat="1" applyFont="1" applyBorder="1"/>
    <xf numFmtId="0" fontId="15" fillId="0" borderId="5" xfId="0" applyFont="1" applyBorder="1" applyAlignment="1">
      <alignment horizontal="left" vertical="top" wrapText="1"/>
    </xf>
    <xf numFmtId="0" fontId="14" fillId="0" borderId="2" xfId="0" applyFont="1" applyBorder="1" applyAlignment="1">
      <alignment horizontal="left"/>
    </xf>
    <xf numFmtId="170" fontId="13" fillId="0" borderId="2" xfId="0" applyNumberFormat="1" applyFont="1" applyBorder="1" applyAlignment="1">
      <alignment horizontal="center" vertical="center"/>
    </xf>
    <xf numFmtId="170" fontId="8" fillId="0" borderId="4" xfId="0" applyNumberFormat="1" applyFont="1" applyBorder="1"/>
    <xf numFmtId="170" fontId="8" fillId="0" borderId="7" xfId="0" applyNumberFormat="1" applyFont="1" applyBorder="1"/>
    <xf numFmtId="170" fontId="8" fillId="0" borderId="8" xfId="0" applyNumberFormat="1" applyFont="1" applyBorder="1"/>
    <xf numFmtId="0" fontId="8" fillId="0" borderId="12" xfId="0" applyNumberFormat="1" applyFont="1" applyBorder="1"/>
    <xf numFmtId="170" fontId="6" fillId="0" borderId="11" xfId="0" applyNumberFormat="1" applyFont="1" applyBorder="1" applyAlignment="1">
      <alignment horizontal="center"/>
    </xf>
    <xf numFmtId="170" fontId="8" fillId="0" borderId="12" xfId="0" applyNumberFormat="1" applyFont="1" applyBorder="1"/>
  </cellXfs>
  <cellStyles count="1">
    <cellStyle name="Normal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38</xdr:row>
      <xdr:rowOff>66675</xdr:rowOff>
    </xdr:from>
    <xdr:to>
      <xdr:col>8</xdr:col>
      <xdr:colOff>514350</xdr:colOff>
      <xdr:row>41</xdr:row>
      <xdr:rowOff>134452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58075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35</xdr:row>
      <xdr:rowOff>66675</xdr:rowOff>
    </xdr:from>
    <xdr:to>
      <xdr:col>8</xdr:col>
      <xdr:colOff>514350</xdr:colOff>
      <xdr:row>38</xdr:row>
      <xdr:rowOff>134452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67600"/>
          <a:ext cx="1861555" cy="7631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B11" sqref="B11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85" t="s">
        <v>157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7" t="s">
        <v>142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workbookViewId="0">
      <selection activeCell="G12" sqref="G12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157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166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BK003/26-27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46130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IF(B1="24-25","AD240424008317F",IF(B1="23-24","AD240322004861M",IF(B1="25-26","AD2403250650768",IF(B1="26-27","AD2403260504856",IF(B1="","select the financial year")))))</f>
        <v>AD2403260504856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6" customFormat="1" x14ac:dyDescent="0.25">
      <c r="A6" s="1" t="s">
        <v>55</v>
      </c>
      <c r="B6" s="8" t="s">
        <v>143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107" t="s">
        <v>21</v>
      </c>
      <c r="B7" s="109" t="s">
        <v>164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108"/>
      <c r="B8" s="108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108"/>
      <c r="B9" s="108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108"/>
      <c r="B10" s="108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108"/>
      <c r="B11" s="108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108"/>
      <c r="B12" s="108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149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144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144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161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161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145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6" t="s">
        <v>167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>
        <v>235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436.51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22.8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6" priority="1">
      <formula>LEN(TRIM(B1))=0</formula>
    </cfRule>
  </conditionalFormatting>
  <conditionalFormatting sqref="B5:B6">
    <cfRule type="containsText" dxfId="5" priority="2" operator="containsText" text="FALSE">
      <formula>NOT(ISERROR(SEARCH(("FALSE"),(B5))))</formula>
    </cfRule>
  </conditionalFormatting>
  <conditionalFormatting sqref="B5:B6">
    <cfRule type="containsText" dxfId="4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000"/>
  <sheetViews>
    <sheetView tabSelected="1" topLeftCell="A12" zoomScaleNormal="100" workbookViewId="0">
      <selection activeCell="H29" sqref="H29:H35"/>
    </sheetView>
  </sheetViews>
  <sheetFormatPr defaultColWidth="14.42578125" defaultRowHeight="15" customHeight="1" x14ac:dyDescent="0.25"/>
  <cols>
    <col min="1" max="1" width="8.7109375" style="88" customWidth="1"/>
    <col min="2" max="2" width="8.28515625" style="88" customWidth="1"/>
    <col min="3" max="3" width="8.7109375" style="88" customWidth="1"/>
    <col min="4" max="4" width="18.28515625" style="88" customWidth="1"/>
    <col min="5" max="5" width="9.7109375" style="88" customWidth="1"/>
    <col min="6" max="6" width="6.5703125" style="88" customWidth="1"/>
    <col min="7" max="7" width="4.7109375" style="88" customWidth="1"/>
    <col min="8" max="8" width="12.5703125" style="88" bestFit="1" customWidth="1"/>
    <col min="9" max="9" width="8.7109375" style="88" customWidth="1"/>
    <col min="10" max="10" width="11.42578125" style="88" customWidth="1"/>
    <col min="11" max="15" width="8.7109375" style="88" customWidth="1"/>
    <col min="16" max="16" width="10.28515625" style="88" bestFit="1" customWidth="1"/>
    <col min="17" max="17" width="8.7109375" style="88" customWidth="1"/>
    <col min="18" max="18" width="14.85546875" style="88" bestFit="1" customWidth="1"/>
    <col min="19" max="26" width="8.7109375" style="88" customWidth="1"/>
    <col min="27" max="16384" width="14.42578125" style="88"/>
  </cols>
  <sheetData>
    <row r="1" spans="1:10" x14ac:dyDescent="0.25">
      <c r="A1" s="174" t="s">
        <v>165</v>
      </c>
      <c r="B1" s="120"/>
      <c r="C1" s="120"/>
      <c r="D1" s="120"/>
      <c r="E1" s="120"/>
      <c r="F1" s="120"/>
      <c r="G1" s="120"/>
      <c r="H1" s="120"/>
      <c r="I1" s="120"/>
      <c r="J1" s="120"/>
    </row>
    <row r="2" spans="1:10" ht="16.5" customHeight="1" thickBot="1" x14ac:dyDescent="0.3">
      <c r="A2" s="166"/>
      <c r="B2" s="166"/>
      <c r="C2" s="166"/>
      <c r="D2" s="166"/>
      <c r="E2" s="166"/>
      <c r="F2" s="166"/>
      <c r="G2" s="166"/>
      <c r="H2" s="166"/>
      <c r="I2" s="166"/>
      <c r="J2" s="166"/>
    </row>
    <row r="3" spans="1:10" x14ac:dyDescent="0.25">
      <c r="A3" s="90" t="s">
        <v>37</v>
      </c>
      <c r="B3" s="91"/>
      <c r="C3" s="91"/>
      <c r="D3" s="92"/>
      <c r="E3" s="175" t="s">
        <v>38</v>
      </c>
      <c r="F3" s="176"/>
      <c r="G3" s="177"/>
      <c r="H3" s="175" t="s">
        <v>39</v>
      </c>
      <c r="I3" s="176"/>
      <c r="J3" s="178"/>
    </row>
    <row r="4" spans="1:10" ht="15.75" thickBot="1" x14ac:dyDescent="0.3">
      <c r="A4" s="93" t="s">
        <v>40</v>
      </c>
      <c r="B4" s="68"/>
      <c r="C4" s="68"/>
      <c r="D4" s="70"/>
      <c r="E4" s="179" t="str">
        <f>'input data'!B3</f>
        <v>BK003/26-27</v>
      </c>
      <c r="F4" s="152"/>
      <c r="G4" s="147"/>
      <c r="H4" s="180">
        <f>'input data'!B4</f>
        <v>46130</v>
      </c>
      <c r="I4" s="181"/>
      <c r="J4" s="182"/>
    </row>
    <row r="5" spans="1:10" x14ac:dyDescent="0.25">
      <c r="A5" s="94" t="s">
        <v>41</v>
      </c>
      <c r="B5" s="68"/>
      <c r="C5" s="68"/>
      <c r="D5" s="70"/>
      <c r="E5" s="145" t="s">
        <v>42</v>
      </c>
      <c r="F5" s="115"/>
      <c r="G5" s="116"/>
      <c r="H5" s="145" t="s">
        <v>43</v>
      </c>
      <c r="I5" s="115"/>
      <c r="J5" s="118"/>
    </row>
    <row r="6" spans="1:10" ht="15.75" thickBot="1" x14ac:dyDescent="0.3">
      <c r="A6" s="94" t="s">
        <v>44</v>
      </c>
      <c r="B6" s="68"/>
      <c r="C6" s="68"/>
      <c r="D6" s="70"/>
      <c r="E6" s="183"/>
      <c r="F6" s="152"/>
      <c r="G6" s="147"/>
      <c r="H6" s="184" t="str">
        <f>'input data'!B5</f>
        <v>AD2403260504856</v>
      </c>
      <c r="I6" s="152"/>
      <c r="J6" s="148"/>
    </row>
    <row r="7" spans="1:10" x14ac:dyDescent="0.25">
      <c r="A7" s="94" t="s">
        <v>45</v>
      </c>
      <c r="B7" s="68"/>
      <c r="C7" s="68"/>
      <c r="D7" s="70"/>
      <c r="E7" s="145" t="s">
        <v>46</v>
      </c>
      <c r="F7" s="115"/>
      <c r="G7" s="116"/>
      <c r="H7" s="145" t="s">
        <v>47</v>
      </c>
      <c r="I7" s="115"/>
      <c r="J7" s="118"/>
    </row>
    <row r="8" spans="1:10" ht="15.75" thickBot="1" x14ac:dyDescent="0.3">
      <c r="A8" s="93" t="s">
        <v>48</v>
      </c>
      <c r="B8" s="68"/>
      <c r="C8" s="68"/>
      <c r="D8" s="70"/>
      <c r="E8" s="183" t="s">
        <v>49</v>
      </c>
      <c r="F8" s="152"/>
      <c r="G8" s="147"/>
      <c r="H8" s="146" t="s">
        <v>50</v>
      </c>
      <c r="I8" s="152"/>
      <c r="J8" s="148"/>
    </row>
    <row r="9" spans="1:10" x14ac:dyDescent="0.25">
      <c r="A9" s="95" t="s">
        <v>51</v>
      </c>
      <c r="B9" s="68"/>
      <c r="C9" s="68"/>
      <c r="D9" s="70"/>
      <c r="E9" s="145" t="s">
        <v>52</v>
      </c>
      <c r="F9" s="115"/>
      <c r="G9" s="116"/>
      <c r="H9" s="145" t="s">
        <v>53</v>
      </c>
      <c r="I9" s="115"/>
      <c r="J9" s="118"/>
    </row>
    <row r="10" spans="1:10" ht="15.75" thickBot="1" x14ac:dyDescent="0.3">
      <c r="A10" s="95" t="s">
        <v>54</v>
      </c>
      <c r="B10" s="68"/>
      <c r="C10" s="68"/>
      <c r="D10" s="70"/>
      <c r="E10" s="168" t="str">
        <f>'input data'!B14</f>
        <v>Loose packing</v>
      </c>
      <c r="F10" s="120"/>
      <c r="G10" s="121"/>
      <c r="H10" s="168" t="str">
        <f>'input data'!B13 &amp; " " &amp; 'input data'!B15</f>
        <v>1 FCL</v>
      </c>
      <c r="I10" s="120"/>
      <c r="J10" s="150"/>
    </row>
    <row r="11" spans="1:10" ht="15.75" thickBot="1" x14ac:dyDescent="0.3">
      <c r="A11" s="169" t="s">
        <v>55</v>
      </c>
      <c r="B11" s="115"/>
      <c r="C11" s="115"/>
      <c r="D11" s="116"/>
      <c r="E11" s="170" t="s">
        <v>56</v>
      </c>
      <c r="F11" s="128"/>
      <c r="G11" s="129"/>
      <c r="H11" s="171" t="s">
        <v>57</v>
      </c>
      <c r="I11" s="128"/>
      <c r="J11" s="172"/>
    </row>
    <row r="12" spans="1:10" ht="15" customHeight="1" x14ac:dyDescent="0.25">
      <c r="A12" s="157" t="str">
        <f>'input data'!B6</f>
        <v>To the Order</v>
      </c>
      <c r="B12" s="120"/>
      <c r="C12" s="120"/>
      <c r="D12" s="121"/>
      <c r="E12" s="158" t="str">
        <f>'input data'!B16</f>
        <v>CNF</v>
      </c>
      <c r="F12" s="120"/>
      <c r="G12" s="121"/>
      <c r="H12" s="159" t="str">
        <f>'input data'!B17</f>
        <v>100% Against Documents</v>
      </c>
      <c r="I12" s="120"/>
      <c r="J12" s="150"/>
    </row>
    <row r="13" spans="1:10" ht="15.75" thickBot="1" x14ac:dyDescent="0.3">
      <c r="A13" s="93"/>
      <c r="B13" s="68"/>
      <c r="C13" s="68"/>
      <c r="D13" s="70"/>
      <c r="E13" s="151"/>
      <c r="F13" s="152"/>
      <c r="G13" s="147"/>
      <c r="H13" s="152"/>
      <c r="I13" s="152"/>
      <c r="J13" s="148"/>
    </row>
    <row r="14" spans="1:10" x14ac:dyDescent="0.25">
      <c r="A14" s="96" t="s">
        <v>58</v>
      </c>
      <c r="B14" s="17"/>
      <c r="C14" s="17"/>
      <c r="D14" s="18"/>
      <c r="E14" s="160" t="s">
        <v>156</v>
      </c>
      <c r="F14" s="115"/>
      <c r="G14" s="115"/>
      <c r="H14" s="115"/>
      <c r="I14" s="115"/>
      <c r="J14" s="118"/>
    </row>
    <row r="15" spans="1:10" x14ac:dyDescent="0.25">
      <c r="A15" s="163" t="str">
        <f>'input data'!B7</f>
        <v xml:space="preserve">A-A STONE INVESTMENT TRADING COMPANY 
LIMITED
 34/5 TRAN KHANH DU STREET, TAN DINH WARD, 
HOCHIMINH CITY, VIETNAM
 TAX:0317458134
 MAIL: AASTONEDOCS@GMAIL.COM
</v>
      </c>
      <c r="B15" s="120"/>
      <c r="C15" s="120"/>
      <c r="D15" s="121"/>
      <c r="E15" s="142"/>
      <c r="F15" s="120"/>
      <c r="G15" s="120"/>
      <c r="H15" s="120"/>
      <c r="I15" s="120"/>
      <c r="J15" s="150"/>
    </row>
    <row r="16" spans="1:10" x14ac:dyDescent="0.25">
      <c r="A16" s="122"/>
      <c r="B16" s="120"/>
      <c r="C16" s="120"/>
      <c r="D16" s="121"/>
      <c r="E16" s="142"/>
      <c r="F16" s="120"/>
      <c r="G16" s="120"/>
      <c r="H16" s="120"/>
      <c r="I16" s="120"/>
      <c r="J16" s="150"/>
    </row>
    <row r="17" spans="1:21" x14ac:dyDescent="0.25">
      <c r="A17" s="122"/>
      <c r="B17" s="120"/>
      <c r="C17" s="120"/>
      <c r="D17" s="121"/>
      <c r="E17" s="142"/>
      <c r="F17" s="120"/>
      <c r="G17" s="120"/>
      <c r="H17" s="120"/>
      <c r="I17" s="120"/>
      <c r="J17" s="150"/>
    </row>
    <row r="18" spans="1:21" x14ac:dyDescent="0.25">
      <c r="A18" s="122"/>
      <c r="B18" s="120"/>
      <c r="C18" s="120"/>
      <c r="D18" s="121"/>
      <c r="E18" s="142"/>
      <c r="F18" s="120"/>
      <c r="G18" s="120"/>
      <c r="H18" s="120"/>
      <c r="I18" s="120"/>
      <c r="J18" s="150"/>
    </row>
    <row r="19" spans="1:21" x14ac:dyDescent="0.25">
      <c r="A19" s="122"/>
      <c r="B19" s="120"/>
      <c r="C19" s="120"/>
      <c r="D19" s="121"/>
      <c r="E19" s="142"/>
      <c r="F19" s="120"/>
      <c r="G19" s="120"/>
      <c r="H19" s="120"/>
      <c r="I19" s="120"/>
      <c r="J19" s="150"/>
    </row>
    <row r="20" spans="1:21" ht="48" customHeight="1" thickBot="1" x14ac:dyDescent="0.3">
      <c r="A20" s="124"/>
      <c r="B20" s="125"/>
      <c r="C20" s="125"/>
      <c r="D20" s="126"/>
      <c r="E20" s="161"/>
      <c r="F20" s="125"/>
      <c r="G20" s="125"/>
      <c r="H20" s="125"/>
      <c r="I20" s="125"/>
      <c r="J20" s="162"/>
    </row>
    <row r="21" spans="1:21" ht="15.75" customHeight="1" x14ac:dyDescent="0.25">
      <c r="A21" s="164" t="s">
        <v>59</v>
      </c>
      <c r="B21" s="121"/>
      <c r="C21" s="165" t="s">
        <v>28</v>
      </c>
      <c r="D21" s="121"/>
      <c r="E21" s="165" t="s">
        <v>60</v>
      </c>
      <c r="F21" s="166"/>
      <c r="G21" s="121"/>
      <c r="H21" s="165" t="s">
        <v>32</v>
      </c>
      <c r="I21" s="166"/>
      <c r="J21" s="150"/>
    </row>
    <row r="22" spans="1:21" ht="14.25" customHeight="1" x14ac:dyDescent="0.25">
      <c r="A22" s="164" t="s">
        <v>61</v>
      </c>
      <c r="B22" s="121"/>
      <c r="C22" s="167" t="str">
        <f>'input data'!B19</f>
        <v>CHENNAI</v>
      </c>
      <c r="D22" s="121"/>
      <c r="E22" s="149" t="s">
        <v>62</v>
      </c>
      <c r="F22" s="120"/>
      <c r="G22" s="121"/>
      <c r="H22" s="149" t="str">
        <f>'input data'!B23</f>
        <v>VIETNAM</v>
      </c>
      <c r="I22" s="120"/>
      <c r="J22" s="150"/>
    </row>
    <row r="23" spans="1:21" ht="15" customHeight="1" thickBot="1" x14ac:dyDescent="0.3">
      <c r="A23" s="153"/>
      <c r="B23" s="121"/>
      <c r="C23" s="151"/>
      <c r="D23" s="147"/>
      <c r="E23" s="151"/>
      <c r="F23" s="152"/>
      <c r="G23" s="147"/>
      <c r="H23" s="151"/>
      <c r="I23" s="152"/>
      <c r="J23" s="148"/>
    </row>
    <row r="24" spans="1:21" ht="15.75" customHeight="1" x14ac:dyDescent="0.25">
      <c r="A24" s="155" t="s">
        <v>63</v>
      </c>
      <c r="B24" s="116"/>
      <c r="C24" s="156" t="s">
        <v>29</v>
      </c>
      <c r="D24" s="116"/>
      <c r="E24" s="145" t="s">
        <v>30</v>
      </c>
      <c r="F24" s="115"/>
      <c r="G24" s="116"/>
      <c r="H24" s="156" t="s">
        <v>31</v>
      </c>
      <c r="I24" s="115"/>
      <c r="J24" s="118"/>
    </row>
    <row r="25" spans="1:21" ht="15.75" customHeight="1" thickBot="1" x14ac:dyDescent="0.3">
      <c r="A25" s="154"/>
      <c r="B25" s="147"/>
      <c r="C25" s="146" t="str">
        <f>'input data'!B20</f>
        <v>CHENNAI</v>
      </c>
      <c r="D25" s="147"/>
      <c r="E25" s="146" t="str">
        <f>'input data'!B21</f>
        <v>DA NANG</v>
      </c>
      <c r="F25" s="152"/>
      <c r="G25" s="147"/>
      <c r="H25" s="146" t="str">
        <f>'input data'!B22</f>
        <v>DA NANG</v>
      </c>
      <c r="I25" s="152"/>
      <c r="J25" s="148"/>
    </row>
    <row r="26" spans="1:21" ht="15.75" customHeight="1" x14ac:dyDescent="0.25">
      <c r="A26" s="139" t="s">
        <v>64</v>
      </c>
      <c r="B26" s="141" t="s">
        <v>65</v>
      </c>
      <c r="C26" s="115"/>
      <c r="D26" s="116"/>
      <c r="E26" s="143" t="s">
        <v>66</v>
      </c>
      <c r="F26" s="145" t="s">
        <v>67</v>
      </c>
      <c r="G26" s="116"/>
      <c r="H26" s="25" t="s">
        <v>36</v>
      </c>
      <c r="I26" s="145" t="s">
        <v>68</v>
      </c>
      <c r="J26" s="118"/>
    </row>
    <row r="27" spans="1:21" ht="15.75" customHeight="1" thickBot="1" x14ac:dyDescent="0.3">
      <c r="A27" s="140"/>
      <c r="B27" s="142"/>
      <c r="C27" s="120"/>
      <c r="D27" s="121"/>
      <c r="E27" s="144"/>
      <c r="F27" s="146" t="s">
        <v>69</v>
      </c>
      <c r="G27" s="147"/>
      <c r="H27" s="74" t="s">
        <v>69</v>
      </c>
      <c r="I27" s="146" t="s">
        <v>70</v>
      </c>
      <c r="J27" s="148"/>
      <c r="R27" s="88" t="s">
        <v>174</v>
      </c>
      <c r="S27" s="88" t="s">
        <v>172</v>
      </c>
      <c r="T27" s="88" t="s">
        <v>171</v>
      </c>
    </row>
    <row r="28" spans="1:21" ht="15.75" customHeight="1" thickBot="1" x14ac:dyDescent="0.3">
      <c r="A28" s="97">
        <v>1</v>
      </c>
      <c r="B28" s="127" t="str">
        <f>'input data'!B18</f>
        <v>NATURAL POLISHED GRANITE SLABS</v>
      </c>
      <c r="C28" s="128"/>
      <c r="D28" s="129"/>
      <c r="E28" s="28">
        <v>68022390</v>
      </c>
      <c r="F28" s="130">
        <f>'input data'!B26</f>
        <v>436.51</v>
      </c>
      <c r="G28" s="128"/>
      <c r="H28" s="89">
        <v>7.14</v>
      </c>
      <c r="I28" s="131">
        <f>F28*H28</f>
        <v>3116.6813999999999</v>
      </c>
      <c r="J28" s="132"/>
      <c r="N28" s="88">
        <v>9952.43</v>
      </c>
      <c r="O28" s="75">
        <v>550</v>
      </c>
      <c r="P28" s="75">
        <f>N28-O28</f>
        <v>9402.43</v>
      </c>
      <c r="Q28" s="75">
        <f>P28/F28</f>
        <v>21.540010538132002</v>
      </c>
      <c r="S28" s="88">
        <v>436.51</v>
      </c>
      <c r="T28" s="88">
        <v>22.8</v>
      </c>
      <c r="U28" s="88">
        <f>S28*T28</f>
        <v>9952.4279999999999</v>
      </c>
    </row>
    <row r="29" spans="1:21" ht="15.75" customHeight="1" x14ac:dyDescent="0.25">
      <c r="A29" s="93" t="s">
        <v>33</v>
      </c>
      <c r="B29" s="68"/>
      <c r="C29" s="68" t="s">
        <v>34</v>
      </c>
      <c r="D29" s="68" t="s">
        <v>71</v>
      </c>
      <c r="E29" s="68" t="s">
        <v>72</v>
      </c>
      <c r="F29" s="68"/>
      <c r="G29" s="68"/>
      <c r="H29" s="133" t="s">
        <v>148</v>
      </c>
      <c r="I29" s="68"/>
      <c r="J29" s="98"/>
      <c r="S29" s="173" t="s">
        <v>173</v>
      </c>
      <c r="T29" s="173"/>
      <c r="U29" s="88">
        <v>550</v>
      </c>
    </row>
    <row r="30" spans="1:21" ht="15.75" customHeight="1" x14ac:dyDescent="0.25">
      <c r="A30" s="135" t="str">
        <f>UPPER('input data'!B24)</f>
        <v>OOCU0930538</v>
      </c>
      <c r="B30" s="120"/>
      <c r="C30" s="99">
        <f>'input data'!B25</f>
        <v>235</v>
      </c>
      <c r="D30" s="68" t="s">
        <v>73</v>
      </c>
      <c r="E30" s="68" t="s">
        <v>74</v>
      </c>
      <c r="F30" s="68"/>
      <c r="G30" s="68"/>
      <c r="H30" s="133"/>
      <c r="I30" s="68"/>
      <c r="J30" s="98"/>
      <c r="U30" s="88">
        <f>U28-U29</f>
        <v>9402.4279999999999</v>
      </c>
    </row>
    <row r="31" spans="1:21" ht="15.75" customHeight="1" x14ac:dyDescent="0.25">
      <c r="A31" s="93"/>
      <c r="B31" s="68"/>
      <c r="C31" s="68"/>
      <c r="D31" s="68"/>
      <c r="E31" s="68"/>
      <c r="F31" s="68"/>
      <c r="G31" s="68"/>
      <c r="H31" s="133"/>
      <c r="I31" s="68"/>
      <c r="J31" s="98"/>
    </row>
    <row r="32" spans="1:21" ht="15.75" customHeight="1" x14ac:dyDescent="0.25">
      <c r="A32" s="93"/>
      <c r="B32" s="68"/>
      <c r="C32" s="68"/>
      <c r="D32" s="68"/>
      <c r="E32" s="68"/>
      <c r="F32" s="68"/>
      <c r="G32" s="68"/>
      <c r="H32" s="133"/>
      <c r="I32" s="68"/>
      <c r="J32" s="98"/>
      <c r="R32" s="88" t="s">
        <v>175</v>
      </c>
      <c r="S32" s="88" t="s">
        <v>172</v>
      </c>
      <c r="T32" s="88" t="s">
        <v>171</v>
      </c>
    </row>
    <row r="33" spans="1:21" ht="15.75" customHeight="1" x14ac:dyDescent="0.25">
      <c r="A33" s="93"/>
      <c r="B33" s="68"/>
      <c r="C33" s="68"/>
      <c r="D33" s="68"/>
      <c r="E33" s="68"/>
      <c r="F33" s="68"/>
      <c r="G33" s="68"/>
      <c r="H33" s="133"/>
      <c r="I33" s="68"/>
      <c r="J33" s="98"/>
      <c r="S33" s="88">
        <v>436.51</v>
      </c>
      <c r="T33" s="88">
        <v>21.54</v>
      </c>
      <c r="U33" s="88">
        <f>S33*T33</f>
        <v>9402.4254000000001</v>
      </c>
    </row>
    <row r="34" spans="1:21" ht="15.75" customHeight="1" thickBot="1" x14ac:dyDescent="0.3">
      <c r="A34" s="93"/>
      <c r="B34" s="68"/>
      <c r="C34" s="68"/>
      <c r="D34" s="68"/>
      <c r="E34" s="68"/>
      <c r="F34" s="136"/>
      <c r="G34" s="120"/>
      <c r="H34" s="133"/>
      <c r="I34" s="68"/>
      <c r="J34" s="98"/>
    </row>
    <row r="35" spans="1:21" ht="15.75" customHeight="1" thickBot="1" x14ac:dyDescent="0.3">
      <c r="A35" s="100"/>
      <c r="B35" s="69"/>
      <c r="C35" s="69"/>
      <c r="D35" s="69"/>
      <c r="E35" s="69"/>
      <c r="F35" s="69"/>
      <c r="G35" s="69"/>
      <c r="H35" s="134"/>
      <c r="I35" s="137"/>
      <c r="J35" s="138"/>
    </row>
    <row r="36" spans="1:21" ht="15.75" customHeight="1" x14ac:dyDescent="0.25">
      <c r="A36" s="96" t="s">
        <v>75</v>
      </c>
      <c r="B36" s="17"/>
      <c r="C36" s="17"/>
      <c r="D36" s="17"/>
      <c r="E36" s="17"/>
      <c r="F36" s="17"/>
      <c r="G36" s="17"/>
      <c r="H36" s="70"/>
      <c r="I36" s="110">
        <f>I28</f>
        <v>3116.6813999999999</v>
      </c>
      <c r="J36" s="111"/>
    </row>
    <row r="37" spans="1:21" ht="15.75" customHeight="1" thickBot="1" x14ac:dyDescent="0.3">
      <c r="A37" s="101" t="str">
        <f>SpellNumberUSD(I36)</f>
        <v>Three Thousand One Hundred Sixteen Dollars and Sixty Eight Cents</v>
      </c>
      <c r="B37" s="69"/>
      <c r="C37" s="69"/>
      <c r="D37" s="69"/>
      <c r="E37" s="69"/>
      <c r="F37" s="69"/>
      <c r="G37" s="69"/>
      <c r="H37" s="102"/>
      <c r="I37" s="112"/>
      <c r="J37" s="113"/>
    </row>
    <row r="38" spans="1:21" ht="15.75" customHeight="1" x14ac:dyDescent="0.25">
      <c r="A38" s="114" t="s">
        <v>76</v>
      </c>
      <c r="B38" s="115"/>
      <c r="C38" s="115"/>
      <c r="D38" s="116"/>
      <c r="E38" s="117" t="s">
        <v>77</v>
      </c>
      <c r="F38" s="115"/>
      <c r="G38" s="115"/>
      <c r="H38" s="115"/>
      <c r="I38" s="115"/>
      <c r="J38" s="118"/>
    </row>
    <row r="39" spans="1:21" ht="19.5" customHeight="1" x14ac:dyDescent="0.25">
      <c r="A39" s="119" t="s">
        <v>78</v>
      </c>
      <c r="B39" s="120"/>
      <c r="C39" s="120"/>
      <c r="D39" s="121"/>
      <c r="E39" s="103" t="s">
        <v>79</v>
      </c>
      <c r="F39" s="68"/>
      <c r="G39" s="68"/>
      <c r="H39" s="68"/>
      <c r="I39" s="68"/>
      <c r="J39" s="98"/>
    </row>
    <row r="40" spans="1:21" ht="19.5" customHeight="1" x14ac:dyDescent="0.25">
      <c r="A40" s="122"/>
      <c r="B40" s="120"/>
      <c r="C40" s="120"/>
      <c r="D40" s="121"/>
      <c r="E40" s="103"/>
      <c r="F40" s="68"/>
      <c r="G40" s="68"/>
      <c r="H40" s="68"/>
      <c r="I40" s="68"/>
      <c r="J40" s="98"/>
    </row>
    <row r="41" spans="1:21" ht="15.75" customHeight="1" x14ac:dyDescent="0.25">
      <c r="A41" s="123" t="s">
        <v>80</v>
      </c>
      <c r="B41" s="120"/>
      <c r="C41" s="120"/>
      <c r="D41" s="121"/>
      <c r="E41" s="103"/>
      <c r="F41" s="68"/>
      <c r="G41" s="68"/>
      <c r="H41" s="68"/>
      <c r="I41" s="68"/>
      <c r="J41" s="98"/>
    </row>
    <row r="42" spans="1:21" ht="18.75" customHeight="1" thickBot="1" x14ac:dyDescent="0.3">
      <c r="A42" s="124"/>
      <c r="B42" s="125"/>
      <c r="C42" s="125"/>
      <c r="D42" s="126"/>
      <c r="E42" s="104" t="s">
        <v>81</v>
      </c>
      <c r="F42" s="105"/>
      <c r="G42" s="105"/>
      <c r="H42" s="105"/>
      <c r="I42" s="105"/>
      <c r="J42" s="106"/>
    </row>
    <row r="43" spans="1:21" ht="15.75" customHeight="1" x14ac:dyDescent="0.25"/>
    <row r="44" spans="1:21" ht="15.75" customHeight="1" x14ac:dyDescent="0.25"/>
    <row r="45" spans="1:21" ht="15.75" customHeight="1" x14ac:dyDescent="0.25"/>
    <row r="46" spans="1:21" ht="15.75" customHeight="1" x14ac:dyDescent="0.25"/>
    <row r="47" spans="1:21" ht="15.75" customHeight="1" x14ac:dyDescent="0.25"/>
    <row r="48" spans="1:2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62">
    <mergeCell ref="E5:G5"/>
    <mergeCell ref="H5:J5"/>
    <mergeCell ref="S29:T29"/>
    <mergeCell ref="A1:J2"/>
    <mergeCell ref="E3:G3"/>
    <mergeCell ref="H3:J3"/>
    <mergeCell ref="E4:G4"/>
    <mergeCell ref="H4:J4"/>
    <mergeCell ref="E6:G6"/>
    <mergeCell ref="H6:J6"/>
    <mergeCell ref="E7:G7"/>
    <mergeCell ref="H7:J7"/>
    <mergeCell ref="E8:G8"/>
    <mergeCell ref="H8:J8"/>
    <mergeCell ref="E9:G9"/>
    <mergeCell ref="H9:J9"/>
    <mergeCell ref="E10:G10"/>
    <mergeCell ref="H10:J10"/>
    <mergeCell ref="A11:D11"/>
    <mergeCell ref="E11:G11"/>
    <mergeCell ref="H11:J11"/>
    <mergeCell ref="A21:B21"/>
    <mergeCell ref="C21:D21"/>
    <mergeCell ref="E21:G21"/>
    <mergeCell ref="H21:J21"/>
    <mergeCell ref="A22:B22"/>
    <mergeCell ref="C22:D23"/>
    <mergeCell ref="E22:G23"/>
    <mergeCell ref="A12:D12"/>
    <mergeCell ref="E12:G13"/>
    <mergeCell ref="H12:J13"/>
    <mergeCell ref="E14:J20"/>
    <mergeCell ref="A15:D20"/>
    <mergeCell ref="H22:J23"/>
    <mergeCell ref="A23:B23"/>
    <mergeCell ref="A25:B25"/>
    <mergeCell ref="C25:D25"/>
    <mergeCell ref="E25:G25"/>
    <mergeCell ref="H25:J25"/>
    <mergeCell ref="A24:B24"/>
    <mergeCell ref="C24:D24"/>
    <mergeCell ref="E24:G24"/>
    <mergeCell ref="H24:J24"/>
    <mergeCell ref="A26:A27"/>
    <mergeCell ref="B26:D27"/>
    <mergeCell ref="E26:E27"/>
    <mergeCell ref="F26:G26"/>
    <mergeCell ref="I26:J26"/>
    <mergeCell ref="F27:G27"/>
    <mergeCell ref="I27:J27"/>
    <mergeCell ref="B28:D28"/>
    <mergeCell ref="F28:G28"/>
    <mergeCell ref="I28:J28"/>
    <mergeCell ref="H29:H35"/>
    <mergeCell ref="A30:B30"/>
    <mergeCell ref="F34:G34"/>
    <mergeCell ref="I35:J35"/>
    <mergeCell ref="I36:J37"/>
    <mergeCell ref="A38:D38"/>
    <mergeCell ref="E38:J38"/>
    <mergeCell ref="A39:D40"/>
    <mergeCell ref="A41:D42"/>
  </mergeCells>
  <conditionalFormatting sqref="A30:B30">
    <cfRule type="containsBlanks" dxfId="3" priority="2">
      <formula>LEN(TRIM(A30))=0</formula>
    </cfRule>
  </conditionalFormatting>
  <conditionalFormatting sqref="C30">
    <cfRule type="containsBlanks" dxfId="2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scale="92" orientation="portrait" r:id="rId3"/>
  <colBreaks count="1" manualBreakCount="1">
    <brk id="10" max="41" man="1"/>
  </colBreaks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8"/>
  <sheetViews>
    <sheetView workbookViewId="0">
      <selection activeCell="O13" sqref="O13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208" t="s">
        <v>82</v>
      </c>
      <c r="B1" s="108"/>
      <c r="C1" s="108"/>
      <c r="D1" s="108"/>
      <c r="E1" s="108"/>
      <c r="F1" s="108"/>
      <c r="G1" s="108"/>
      <c r="H1" s="108"/>
      <c r="I1" s="108"/>
      <c r="J1" s="108"/>
    </row>
    <row r="2" spans="1:10" x14ac:dyDescent="0.25">
      <c r="A2" s="117" t="s">
        <v>83</v>
      </c>
      <c r="B2" s="115"/>
      <c r="C2" s="115"/>
      <c r="D2" s="115"/>
      <c r="E2" s="115"/>
      <c r="F2" s="116"/>
      <c r="G2" s="145" t="s">
        <v>38</v>
      </c>
      <c r="H2" s="116"/>
      <c r="I2" s="209" t="s">
        <v>39</v>
      </c>
      <c r="J2" s="116"/>
    </row>
    <row r="3" spans="1:10" ht="15.75" x14ac:dyDescent="0.25">
      <c r="A3" s="210" t="s">
        <v>84</v>
      </c>
      <c r="B3" s="108"/>
      <c r="C3" s="108"/>
      <c r="D3" s="108"/>
      <c r="E3" s="108"/>
      <c r="F3" s="187"/>
      <c r="G3" s="211" t="str">
        <f>'indian rupees igst'!E4</f>
        <v>BK003/26-27</v>
      </c>
      <c r="H3" s="192"/>
      <c r="I3" s="212">
        <f>'indian rupees igst'!H4</f>
        <v>46130</v>
      </c>
      <c r="J3" s="213"/>
    </row>
    <row r="4" spans="1:10" x14ac:dyDescent="0.25">
      <c r="A4" s="19" t="s">
        <v>85</v>
      </c>
      <c r="B4" s="4"/>
      <c r="C4" s="4"/>
      <c r="D4" s="4"/>
      <c r="E4" s="4"/>
      <c r="F4" s="20"/>
      <c r="G4" s="209" t="s">
        <v>43</v>
      </c>
      <c r="H4" s="115"/>
      <c r="I4" s="115"/>
      <c r="J4" s="116"/>
    </row>
    <row r="5" spans="1:10" x14ac:dyDescent="0.25">
      <c r="A5" s="19" t="s">
        <v>86</v>
      </c>
      <c r="B5" s="4"/>
      <c r="C5" s="4"/>
      <c r="D5" s="4"/>
      <c r="E5" s="4"/>
      <c r="F5" s="20"/>
      <c r="G5" s="202" t="str">
        <f>'input data'!B5</f>
        <v>AD2403260504856</v>
      </c>
      <c r="H5" s="191"/>
      <c r="I5" s="191"/>
      <c r="J5" s="192"/>
    </row>
    <row r="6" spans="1:10" x14ac:dyDescent="0.25">
      <c r="A6" s="214" t="s">
        <v>87</v>
      </c>
      <c r="B6" s="108"/>
      <c r="C6" s="108"/>
      <c r="D6" s="108"/>
      <c r="E6" s="108"/>
      <c r="F6" s="20"/>
      <c r="G6" s="24"/>
      <c r="H6" s="31"/>
      <c r="I6" s="31"/>
      <c r="J6" s="34"/>
    </row>
    <row r="7" spans="1:10" x14ac:dyDescent="0.25">
      <c r="A7" s="19" t="s">
        <v>88</v>
      </c>
      <c r="B7" s="4"/>
      <c r="C7" s="4"/>
      <c r="D7" s="4"/>
      <c r="E7" s="4"/>
      <c r="F7" s="20"/>
      <c r="G7" s="35" t="s">
        <v>89</v>
      </c>
      <c r="H7" s="17"/>
      <c r="I7" s="17"/>
      <c r="J7" s="18"/>
    </row>
    <row r="8" spans="1:10" ht="15.75" x14ac:dyDescent="0.25">
      <c r="A8" s="36" t="s">
        <v>90</v>
      </c>
      <c r="B8" s="4"/>
      <c r="C8" s="4"/>
      <c r="D8" s="4"/>
      <c r="E8" s="4"/>
      <c r="F8" s="20"/>
      <c r="G8" s="37" t="s">
        <v>91</v>
      </c>
      <c r="H8" s="38"/>
      <c r="I8" s="38"/>
      <c r="J8" s="39"/>
    </row>
    <row r="9" spans="1:10" ht="15.75" x14ac:dyDescent="0.25">
      <c r="A9" s="40" t="s">
        <v>51</v>
      </c>
      <c r="B9" s="4"/>
      <c r="C9" s="4"/>
      <c r="D9" s="4"/>
      <c r="E9" s="4"/>
      <c r="F9" s="20"/>
      <c r="G9" s="37" t="s">
        <v>92</v>
      </c>
      <c r="H9" s="38"/>
      <c r="I9" s="38"/>
      <c r="J9" s="39"/>
    </row>
    <row r="10" spans="1:10" x14ac:dyDescent="0.25">
      <c r="A10" s="41" t="s">
        <v>54</v>
      </c>
      <c r="B10" s="32"/>
      <c r="C10" s="32"/>
      <c r="D10" s="32"/>
      <c r="E10" s="32"/>
      <c r="F10" s="29"/>
      <c r="G10" s="30"/>
      <c r="H10" s="32"/>
      <c r="I10" s="32"/>
      <c r="J10" s="29"/>
    </row>
    <row r="11" spans="1:10" x14ac:dyDescent="0.25">
      <c r="A11" s="215" t="s">
        <v>55</v>
      </c>
      <c r="B11" s="115"/>
      <c r="C11" s="115"/>
      <c r="D11" s="115"/>
      <c r="E11" s="115"/>
      <c r="F11" s="18"/>
      <c r="G11" s="35" t="s">
        <v>93</v>
      </c>
      <c r="H11" s="17"/>
      <c r="I11" s="17"/>
      <c r="J11" s="18"/>
    </row>
    <row r="12" spans="1:10" x14ac:dyDescent="0.25">
      <c r="A12" s="216" t="str">
        <f>'input data'!B6</f>
        <v>To the Order</v>
      </c>
      <c r="B12" s="108"/>
      <c r="C12" s="108"/>
      <c r="D12" s="108"/>
      <c r="E12" s="108"/>
      <c r="F12" s="20"/>
      <c r="G12" s="19"/>
      <c r="H12" s="4"/>
      <c r="I12" s="4"/>
      <c r="J12" s="20"/>
    </row>
    <row r="13" spans="1:10" x14ac:dyDescent="0.25">
      <c r="A13" s="205"/>
      <c r="B13" s="191"/>
      <c r="C13" s="191"/>
      <c r="D13" s="191"/>
      <c r="E13" s="191"/>
      <c r="F13" s="29"/>
      <c r="G13" s="19"/>
      <c r="H13" s="4"/>
      <c r="I13" s="4"/>
      <c r="J13" s="20"/>
    </row>
    <row r="14" spans="1:10" x14ac:dyDescent="0.25">
      <c r="A14" s="215" t="s">
        <v>58</v>
      </c>
      <c r="B14" s="115"/>
      <c r="C14" s="115"/>
      <c r="D14" s="115"/>
      <c r="E14" s="115"/>
      <c r="F14" s="116"/>
      <c r="G14" s="19"/>
      <c r="H14" s="4"/>
      <c r="I14" s="4"/>
      <c r="J14" s="20"/>
    </row>
    <row r="15" spans="1:10" x14ac:dyDescent="0.25">
      <c r="A15" s="217" t="str">
        <f>'indian rupees igst'!A15</f>
        <v xml:space="preserve">A-A STONE INVESTMENT TRADING COMPANY 
LIMITED
 34/5 TRAN KHANH DU STREET, TAN DINH WARD, 
HOCHIMINH CITY, VIETNAM
 TAX:0317458134
 MAIL: AASTONEDOCS@GMAIL.COM
</v>
      </c>
      <c r="B15" s="108"/>
      <c r="C15" s="108"/>
      <c r="D15" s="108"/>
      <c r="E15" s="108"/>
      <c r="F15" s="187"/>
      <c r="G15" s="19"/>
      <c r="H15" s="4"/>
      <c r="I15" s="4"/>
      <c r="J15" s="20"/>
    </row>
    <row r="16" spans="1:10" x14ac:dyDescent="0.25">
      <c r="A16" s="218"/>
      <c r="B16" s="108"/>
      <c r="C16" s="108"/>
      <c r="D16" s="108"/>
      <c r="E16" s="108"/>
      <c r="F16" s="187"/>
      <c r="G16" s="19"/>
      <c r="H16" s="4"/>
      <c r="I16" s="4"/>
      <c r="J16" s="20"/>
    </row>
    <row r="17" spans="1:10" x14ac:dyDescent="0.25">
      <c r="A17" s="218"/>
      <c r="B17" s="108"/>
      <c r="C17" s="108"/>
      <c r="D17" s="108"/>
      <c r="E17" s="108"/>
      <c r="F17" s="187"/>
      <c r="G17" s="19"/>
      <c r="H17" s="4"/>
      <c r="I17" s="4"/>
      <c r="J17" s="20"/>
    </row>
    <row r="18" spans="1:10" ht="37.5" customHeight="1" x14ac:dyDescent="0.25">
      <c r="A18" s="218"/>
      <c r="B18" s="108"/>
      <c r="C18" s="108"/>
      <c r="D18" s="108"/>
      <c r="E18" s="108"/>
      <c r="F18" s="187"/>
      <c r="G18" s="204" t="s">
        <v>94</v>
      </c>
      <c r="H18" s="116"/>
      <c r="I18" s="206" t="s">
        <v>95</v>
      </c>
      <c r="J18" s="116"/>
    </row>
    <row r="19" spans="1:10" ht="15" customHeight="1" x14ac:dyDescent="0.25">
      <c r="A19" s="218"/>
      <c r="B19" s="108"/>
      <c r="C19" s="108"/>
      <c r="D19" s="108"/>
      <c r="E19" s="108"/>
      <c r="F19" s="187"/>
      <c r="G19" s="205"/>
      <c r="H19" s="192"/>
      <c r="I19" s="191"/>
      <c r="J19" s="192"/>
    </row>
    <row r="20" spans="1:10" ht="30.75" customHeight="1" x14ac:dyDescent="0.25">
      <c r="A20" s="205"/>
      <c r="B20" s="191"/>
      <c r="C20" s="191"/>
      <c r="D20" s="191"/>
      <c r="E20" s="191"/>
      <c r="F20" s="192"/>
      <c r="G20" s="207" t="s">
        <v>62</v>
      </c>
      <c r="H20" s="192"/>
      <c r="I20" s="207" t="str">
        <f>'indian rupees igst'!H22</f>
        <v>VIETNAM</v>
      </c>
      <c r="J20" s="192"/>
    </row>
    <row r="21" spans="1:10" ht="15.75" customHeight="1" x14ac:dyDescent="0.25">
      <c r="A21" s="200" t="s">
        <v>96</v>
      </c>
      <c r="B21" s="115"/>
      <c r="C21" s="116"/>
      <c r="D21" s="200" t="s">
        <v>97</v>
      </c>
      <c r="E21" s="115"/>
      <c r="F21" s="116"/>
      <c r="G21" s="219" t="s">
        <v>98</v>
      </c>
      <c r="H21" s="128"/>
      <c r="I21" s="128"/>
      <c r="J21" s="129"/>
    </row>
    <row r="22" spans="1:10" ht="15.75" customHeight="1" x14ac:dyDescent="0.25">
      <c r="A22" s="201"/>
      <c r="B22" s="191"/>
      <c r="C22" s="192"/>
      <c r="D22" s="202" t="str">
        <f>'indian rupees igst'!C22</f>
        <v>CHENNAI</v>
      </c>
      <c r="E22" s="191"/>
      <c r="F22" s="192"/>
      <c r="G22" s="203" t="str">
        <f>'input data'!B16</f>
        <v>CNF</v>
      </c>
      <c r="H22" s="191"/>
      <c r="I22" s="191"/>
      <c r="J22" s="192"/>
    </row>
    <row r="23" spans="1:10" ht="15.75" customHeight="1" x14ac:dyDescent="0.25">
      <c r="A23" s="200" t="s">
        <v>99</v>
      </c>
      <c r="B23" s="115"/>
      <c r="C23" s="116"/>
      <c r="D23" s="200" t="s">
        <v>100</v>
      </c>
      <c r="E23" s="115"/>
      <c r="F23" s="116"/>
      <c r="G23" s="42"/>
      <c r="H23" s="43"/>
      <c r="I23" s="43"/>
      <c r="J23" s="44"/>
    </row>
    <row r="24" spans="1:10" ht="15.75" customHeight="1" x14ac:dyDescent="0.25">
      <c r="A24" s="201"/>
      <c r="B24" s="191"/>
      <c r="C24" s="192"/>
      <c r="D24" s="202" t="str">
        <f>'indian rupees igst'!C25</f>
        <v>CHENNAI</v>
      </c>
      <c r="E24" s="191"/>
      <c r="F24" s="192"/>
      <c r="G24" s="30"/>
      <c r="H24" s="32"/>
      <c r="I24" s="32"/>
      <c r="J24" s="29"/>
    </row>
    <row r="25" spans="1:10" ht="15.75" customHeight="1" x14ac:dyDescent="0.25">
      <c r="A25" s="200" t="s">
        <v>30</v>
      </c>
      <c r="B25" s="115"/>
      <c r="C25" s="116"/>
      <c r="D25" s="200" t="s">
        <v>31</v>
      </c>
      <c r="E25" s="115"/>
      <c r="F25" s="116"/>
      <c r="G25" s="185" t="s">
        <v>101</v>
      </c>
      <c r="H25" s="128"/>
      <c r="I25" s="128"/>
      <c r="J25" s="129"/>
    </row>
    <row r="26" spans="1:10" ht="15.75" customHeight="1" x14ac:dyDescent="0.25">
      <c r="A26" s="186" t="str">
        <f>'indian rupees igst'!E25</f>
        <v>DA NANG</v>
      </c>
      <c r="B26" s="108"/>
      <c r="C26" s="187"/>
      <c r="D26" s="186" t="str">
        <f>'indian rupees igst'!H25</f>
        <v>DA NANG</v>
      </c>
      <c r="E26" s="108"/>
      <c r="F26" s="187"/>
      <c r="G26" s="204" t="str">
        <f>'input data'!B17</f>
        <v>100% Against Documents</v>
      </c>
      <c r="H26" s="115"/>
      <c r="I26" s="115"/>
      <c r="J26" s="116"/>
    </row>
    <row r="27" spans="1:10" ht="15.75" customHeight="1" x14ac:dyDescent="0.25">
      <c r="A27" s="45"/>
      <c r="B27" s="46"/>
      <c r="C27" s="46"/>
      <c r="D27" s="46"/>
      <c r="E27" s="46"/>
      <c r="F27" s="46"/>
      <c r="G27" s="46"/>
      <c r="H27" s="46"/>
      <c r="I27" s="46"/>
      <c r="J27" s="47"/>
    </row>
    <row r="28" spans="1:10" ht="15.75" customHeight="1" x14ac:dyDescent="0.25">
      <c r="A28" s="26" t="s">
        <v>64</v>
      </c>
      <c r="B28" s="202" t="s">
        <v>102</v>
      </c>
      <c r="C28" s="192"/>
      <c r="D28" s="202" t="s">
        <v>65</v>
      </c>
      <c r="E28" s="191"/>
      <c r="F28" s="191"/>
      <c r="G28" s="48"/>
      <c r="H28" s="49"/>
      <c r="I28" s="202" t="s">
        <v>69</v>
      </c>
      <c r="J28" s="192"/>
    </row>
    <row r="29" spans="1:10" ht="15.75" customHeight="1" thickBot="1" x14ac:dyDescent="0.3">
      <c r="A29" s="27">
        <v>1</v>
      </c>
      <c r="B29" s="127">
        <f>Invoice!E28</f>
        <v>68022390</v>
      </c>
      <c r="C29" s="129"/>
      <c r="D29" s="197" t="str">
        <f>'indian rupees igst'!B28</f>
        <v>NATURAL POLISHED GRANITE SLABS</v>
      </c>
      <c r="E29" s="128"/>
      <c r="F29" s="128"/>
      <c r="G29" s="128"/>
      <c r="H29" s="129"/>
      <c r="I29" s="198">
        <f>'indian rupees igst'!F28</f>
        <v>436.51</v>
      </c>
      <c r="J29" s="129"/>
    </row>
    <row r="30" spans="1:10" ht="15.75" customHeight="1" thickBot="1" x14ac:dyDescent="0.3">
      <c r="A30" s="50" t="s">
        <v>103</v>
      </c>
      <c r="B30" s="46"/>
      <c r="C30" s="46"/>
      <c r="D30" s="46"/>
      <c r="E30" s="46"/>
      <c r="F30" s="46"/>
      <c r="G30" s="46"/>
      <c r="H30" s="46"/>
      <c r="I30" s="199">
        <f>SUM(I29:I29)</f>
        <v>436.51</v>
      </c>
      <c r="J30" s="129"/>
    </row>
    <row r="31" spans="1:10" ht="15.75" customHeight="1" x14ac:dyDescent="0.25">
      <c r="A31" s="36"/>
      <c r="B31" s="4"/>
      <c r="C31" s="4"/>
      <c r="D31" s="4"/>
      <c r="E31" s="4"/>
      <c r="F31" s="4"/>
      <c r="G31" s="4"/>
      <c r="H31" s="4"/>
      <c r="I31" s="31"/>
      <c r="J31" s="34"/>
    </row>
    <row r="32" spans="1:10" ht="15.75" customHeight="1" x14ac:dyDescent="0.25">
      <c r="A32" s="186" t="s">
        <v>104</v>
      </c>
      <c r="B32" s="108"/>
      <c r="C32" s="31" t="s">
        <v>34</v>
      </c>
      <c r="D32" s="193" t="s">
        <v>71</v>
      </c>
      <c r="E32" s="108"/>
      <c r="F32" s="31" t="s">
        <v>72</v>
      </c>
      <c r="G32" s="31"/>
      <c r="H32" s="4"/>
      <c r="I32" s="31"/>
      <c r="J32" s="34"/>
    </row>
    <row r="33" spans="1:12" ht="15.75" customHeight="1" x14ac:dyDescent="0.25">
      <c r="A33" s="194" t="str">
        <f>Invoice!A30</f>
        <v>OOCU0930538</v>
      </c>
      <c r="B33" s="108"/>
      <c r="C33" s="51">
        <f>'input data'!B25</f>
        <v>235</v>
      </c>
      <c r="D33" s="195" t="s">
        <v>105</v>
      </c>
      <c r="E33" s="108"/>
      <c r="F33" s="51" t="s">
        <v>106</v>
      </c>
      <c r="G33" s="51"/>
      <c r="H33" s="4"/>
      <c r="I33" s="4"/>
      <c r="J33" s="20"/>
    </row>
    <row r="34" spans="1:12" ht="15.75" customHeight="1" x14ac:dyDescent="0.25">
      <c r="A34" s="23"/>
      <c r="B34" s="52"/>
      <c r="C34" s="52"/>
      <c r="D34" s="52"/>
      <c r="E34" s="52"/>
      <c r="F34" s="52"/>
      <c r="G34" s="52"/>
      <c r="H34" s="52"/>
      <c r="I34" s="52"/>
      <c r="J34" s="53"/>
    </row>
    <row r="35" spans="1:12" ht="15.75" customHeight="1" x14ac:dyDescent="0.25">
      <c r="A35" s="23" t="s">
        <v>107</v>
      </c>
      <c r="B35" s="52"/>
      <c r="C35" s="52" t="str">
        <f>'input data'!B14</f>
        <v>Loose packing</v>
      </c>
      <c r="D35" s="52"/>
      <c r="E35" s="52"/>
      <c r="F35" s="52"/>
      <c r="G35" s="52"/>
      <c r="H35" s="52"/>
      <c r="I35" s="52"/>
      <c r="J35" s="53"/>
    </row>
    <row r="36" spans="1:12" ht="15.75" customHeight="1" x14ac:dyDescent="0.25">
      <c r="A36" s="23" t="s">
        <v>108</v>
      </c>
      <c r="B36" s="52"/>
      <c r="C36" s="52"/>
      <c r="D36" s="52"/>
      <c r="E36" s="52"/>
      <c r="F36" s="52"/>
      <c r="G36" s="52"/>
      <c r="H36" s="52"/>
      <c r="I36" s="52"/>
      <c r="J36" s="53"/>
    </row>
    <row r="37" spans="1:12" ht="15.75" customHeight="1" x14ac:dyDescent="0.25">
      <c r="A37" s="54"/>
      <c r="B37" s="55"/>
      <c r="C37" s="55"/>
      <c r="D37" s="55"/>
      <c r="E37" s="55"/>
      <c r="F37" s="55"/>
      <c r="G37" s="55"/>
      <c r="H37" s="55"/>
      <c r="I37" s="55"/>
      <c r="J37" s="56"/>
      <c r="L37" s="83"/>
    </row>
    <row r="38" spans="1:12" ht="15.75" customHeight="1" x14ac:dyDescent="0.25">
      <c r="A38" s="117" t="s">
        <v>109</v>
      </c>
      <c r="B38" s="115"/>
      <c r="C38" s="115"/>
      <c r="D38" s="115"/>
      <c r="E38" s="115"/>
      <c r="F38" s="116"/>
      <c r="G38" s="117" t="s">
        <v>77</v>
      </c>
      <c r="H38" s="115"/>
      <c r="I38" s="115"/>
      <c r="J38" s="116"/>
    </row>
    <row r="39" spans="1:12" ht="15.75" customHeight="1" x14ac:dyDescent="0.25">
      <c r="A39" s="196" t="s">
        <v>110</v>
      </c>
      <c r="B39" s="108"/>
      <c r="C39" s="108"/>
      <c r="D39" s="108"/>
      <c r="E39" s="108"/>
      <c r="F39" s="187"/>
      <c r="G39" s="19"/>
      <c r="H39" s="4"/>
      <c r="I39" s="4"/>
      <c r="J39" s="20"/>
    </row>
    <row r="40" spans="1:12" ht="15.75" customHeight="1" x14ac:dyDescent="0.25">
      <c r="A40" s="188" t="s">
        <v>111</v>
      </c>
      <c r="B40" s="166"/>
      <c r="C40" s="166"/>
      <c r="D40" s="166"/>
      <c r="E40" s="166"/>
      <c r="F40" s="121"/>
      <c r="G40" s="19"/>
      <c r="H40" s="4"/>
      <c r="I40" s="4"/>
      <c r="J40" s="20"/>
    </row>
    <row r="41" spans="1:12" ht="15.75" customHeight="1" x14ac:dyDescent="0.25">
      <c r="A41" s="189" t="s">
        <v>112</v>
      </c>
      <c r="B41" s="152"/>
      <c r="C41" s="152"/>
      <c r="D41" s="152"/>
      <c r="E41" s="152"/>
      <c r="F41" s="147"/>
      <c r="G41" s="190" t="s">
        <v>113</v>
      </c>
      <c r="H41" s="191"/>
      <c r="I41" s="191"/>
      <c r="J41" s="192"/>
    </row>
    <row r="42" spans="1:12" ht="15.75" customHeight="1" x14ac:dyDescent="0.25"/>
    <row r="43" spans="1:12" ht="15.75" customHeight="1" x14ac:dyDescent="0.25"/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  <mergeCell ref="A1:J1"/>
    <mergeCell ref="A2:F2"/>
    <mergeCell ref="G2:H2"/>
    <mergeCell ref="I2:J2"/>
    <mergeCell ref="A3:F3"/>
    <mergeCell ref="G3:H3"/>
    <mergeCell ref="I3:J3"/>
    <mergeCell ref="D22:F22"/>
    <mergeCell ref="G22:J22"/>
    <mergeCell ref="G18:H19"/>
    <mergeCell ref="I18:J19"/>
    <mergeCell ref="G20:H20"/>
    <mergeCell ref="I20:J20"/>
    <mergeCell ref="D23:F23"/>
    <mergeCell ref="A23:C23"/>
    <mergeCell ref="A24:C24"/>
    <mergeCell ref="D24:F24"/>
    <mergeCell ref="A25:C25"/>
    <mergeCell ref="D25:F25"/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zoomScaleNormal="100" workbookViewId="0">
      <selection activeCell="T15" sqref="T15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7"/>
      <c r="B1" s="240" t="s">
        <v>40</v>
      </c>
      <c r="C1" s="241"/>
      <c r="D1" s="241"/>
      <c r="E1" s="241"/>
      <c r="F1" s="241"/>
      <c r="G1" s="241"/>
      <c r="H1" s="241"/>
      <c r="I1" s="241"/>
      <c r="J1" s="241"/>
      <c r="K1" s="242"/>
      <c r="R1" s="246"/>
      <c r="S1" s="108"/>
      <c r="T1" s="108"/>
      <c r="U1" s="108"/>
      <c r="V1" s="108"/>
      <c r="W1" s="231"/>
      <c r="X1" s="108"/>
      <c r="Y1" s="108"/>
    </row>
    <row r="2" spans="1:25" ht="36.75" thickBot="1" x14ac:dyDescent="0.6">
      <c r="A2" s="57"/>
      <c r="B2" s="243"/>
      <c r="C2" s="244"/>
      <c r="D2" s="244"/>
      <c r="E2" s="244"/>
      <c r="F2" s="244"/>
      <c r="G2" s="244"/>
      <c r="H2" s="244"/>
      <c r="I2" s="244"/>
      <c r="J2" s="244"/>
      <c r="K2" s="245"/>
    </row>
    <row r="3" spans="1:25" x14ac:dyDescent="0.25">
      <c r="A3" s="58"/>
      <c r="B3" s="247" t="s">
        <v>114</v>
      </c>
      <c r="C3" s="115"/>
      <c r="D3" s="115"/>
      <c r="E3" s="115"/>
      <c r="F3" s="115"/>
      <c r="G3" s="115"/>
      <c r="H3" s="115"/>
      <c r="I3" s="115"/>
      <c r="J3" s="115"/>
      <c r="K3" s="116"/>
    </row>
    <row r="4" spans="1:25" x14ac:dyDescent="0.25">
      <c r="A4" s="58"/>
      <c r="B4" s="248" t="s">
        <v>115</v>
      </c>
      <c r="C4" s="108"/>
      <c r="D4" s="108"/>
      <c r="E4" s="108"/>
      <c r="F4" s="108"/>
      <c r="G4" s="108"/>
      <c r="H4" s="108"/>
      <c r="I4" s="108"/>
      <c r="J4" s="108"/>
      <c r="K4" s="187"/>
    </row>
    <row r="5" spans="1:25" x14ac:dyDescent="0.25">
      <c r="A5" s="51"/>
      <c r="B5" s="201" t="s">
        <v>116</v>
      </c>
      <c r="C5" s="191"/>
      <c r="D5" s="191"/>
      <c r="E5" s="191"/>
      <c r="F5" s="191"/>
      <c r="G5" s="191"/>
      <c r="H5" s="191"/>
      <c r="I5" s="191"/>
      <c r="J5" s="191"/>
      <c r="K5" s="192"/>
    </row>
    <row r="6" spans="1:25" x14ac:dyDescent="0.25">
      <c r="A6" s="4"/>
      <c r="B6" s="35"/>
      <c r="C6" s="17"/>
      <c r="D6" s="17"/>
      <c r="E6" s="17"/>
      <c r="F6" s="17"/>
      <c r="G6" s="17"/>
      <c r="H6" s="17"/>
      <c r="I6" s="17"/>
      <c r="J6" s="17"/>
      <c r="K6" s="18"/>
    </row>
    <row r="7" spans="1:25" ht="18.75" x14ac:dyDescent="0.3">
      <c r="A7" s="59"/>
      <c r="B7" s="249" t="s">
        <v>117</v>
      </c>
      <c r="C7" s="108"/>
      <c r="D7" s="108"/>
      <c r="E7" s="108"/>
      <c r="F7" s="108"/>
      <c r="G7" s="108"/>
      <c r="H7" s="108"/>
      <c r="I7" s="108"/>
      <c r="J7" s="108"/>
      <c r="K7" s="187"/>
    </row>
    <row r="8" spans="1:25" x14ac:dyDescent="0.25">
      <c r="A8" s="4"/>
      <c r="B8" s="19"/>
      <c r="C8" s="4"/>
      <c r="D8" s="4"/>
      <c r="E8" s="4"/>
      <c r="F8" s="4"/>
      <c r="G8" s="4"/>
      <c r="H8" s="4"/>
      <c r="I8" s="4"/>
      <c r="J8" s="4"/>
      <c r="K8" s="20"/>
    </row>
    <row r="9" spans="1:25" x14ac:dyDescent="0.25">
      <c r="A9" s="4"/>
      <c r="B9" s="19" t="s">
        <v>118</v>
      </c>
      <c r="C9" s="252">
        <f ca="1">TODAY()</f>
        <v>46141</v>
      </c>
      <c r="D9" s="252"/>
      <c r="E9" s="4"/>
      <c r="F9" s="4"/>
      <c r="G9" s="4"/>
      <c r="H9" s="4"/>
      <c r="I9" s="4"/>
      <c r="J9" s="4"/>
      <c r="K9" s="20"/>
    </row>
    <row r="10" spans="1:25" x14ac:dyDescent="0.25">
      <c r="A10" s="4"/>
      <c r="B10" s="19" t="s">
        <v>119</v>
      </c>
      <c r="C10" s="60" t="s">
        <v>169</v>
      </c>
      <c r="D10" s="4"/>
      <c r="E10" s="4"/>
      <c r="F10" s="4"/>
      <c r="G10" s="4"/>
      <c r="H10" s="4"/>
      <c r="I10" s="4"/>
      <c r="J10" s="4"/>
      <c r="K10" s="20"/>
    </row>
    <row r="11" spans="1:25" x14ac:dyDescent="0.25">
      <c r="A11" s="4"/>
      <c r="B11" s="19"/>
      <c r="C11" s="4"/>
      <c r="D11" s="4"/>
      <c r="E11" s="4"/>
      <c r="F11" s="4"/>
      <c r="G11" s="4"/>
      <c r="H11" s="4"/>
      <c r="I11" s="4"/>
      <c r="J11" s="4"/>
      <c r="K11" s="20"/>
    </row>
    <row r="12" spans="1:25" x14ac:dyDescent="0.25">
      <c r="A12" s="4"/>
      <c r="B12" s="19" t="s">
        <v>120</v>
      </c>
      <c r="C12" s="4"/>
      <c r="D12" s="4"/>
      <c r="E12" s="4"/>
      <c r="F12" s="4"/>
      <c r="G12" s="4"/>
      <c r="H12" s="4"/>
      <c r="I12" s="4"/>
      <c r="J12" s="4"/>
      <c r="K12" s="20"/>
    </row>
    <row r="13" spans="1:25" x14ac:dyDescent="0.25">
      <c r="A13" s="15"/>
      <c r="B13" s="250" t="s">
        <v>168</v>
      </c>
      <c r="C13" s="108"/>
      <c r="D13" s="108"/>
      <c r="E13" s="108"/>
      <c r="F13" s="108"/>
      <c r="G13" s="108"/>
      <c r="H13" s="4"/>
      <c r="I13" s="4"/>
      <c r="J13" s="4"/>
      <c r="K13" s="20"/>
    </row>
    <row r="14" spans="1:25" x14ac:dyDescent="0.25">
      <c r="A14" s="61"/>
      <c r="B14" s="217" t="s">
        <v>170</v>
      </c>
      <c r="C14" s="108"/>
      <c r="D14" s="108"/>
      <c r="E14" s="108"/>
      <c r="F14" s="108"/>
      <c r="G14" s="108"/>
      <c r="H14" s="4"/>
      <c r="I14" s="4"/>
      <c r="J14" s="4"/>
      <c r="K14" s="20"/>
    </row>
    <row r="15" spans="1:25" ht="63.75" customHeight="1" x14ac:dyDescent="0.25">
      <c r="A15" s="61"/>
      <c r="B15" s="218"/>
      <c r="C15" s="108"/>
      <c r="D15" s="108"/>
      <c r="E15" s="108"/>
      <c r="F15" s="108"/>
      <c r="G15" s="108"/>
      <c r="H15" s="4"/>
      <c r="I15" s="4"/>
      <c r="J15" s="4"/>
      <c r="K15" s="20"/>
    </row>
    <row r="16" spans="1:25" x14ac:dyDescent="0.25">
      <c r="A16" s="4"/>
      <c r="B16" s="19" t="s">
        <v>121</v>
      </c>
      <c r="C16" s="4"/>
      <c r="D16" s="4"/>
      <c r="E16" s="4"/>
      <c r="F16" s="4"/>
      <c r="G16" s="4"/>
      <c r="H16" s="4"/>
      <c r="I16" s="4"/>
      <c r="J16" s="4"/>
      <c r="K16" s="20"/>
    </row>
    <row r="17" spans="1:18" ht="15.75" thickBot="1" x14ac:dyDescent="0.3">
      <c r="A17" s="4"/>
      <c r="B17" s="30"/>
      <c r="C17" s="32"/>
      <c r="D17" s="32"/>
      <c r="E17" s="32"/>
      <c r="F17" s="32"/>
      <c r="G17" s="32"/>
      <c r="H17" s="32"/>
      <c r="I17" s="32"/>
      <c r="J17" s="32"/>
      <c r="K17" s="29"/>
      <c r="O17" t="s">
        <v>150</v>
      </c>
      <c r="P17" t="s">
        <v>151</v>
      </c>
      <c r="Q17" t="s">
        <v>103</v>
      </c>
    </row>
    <row r="18" spans="1:18" ht="15.75" thickBot="1" x14ac:dyDescent="0.3">
      <c r="A18" s="52"/>
      <c r="B18" s="170" t="s">
        <v>122</v>
      </c>
      <c r="C18" s="171"/>
      <c r="D18" s="171"/>
      <c r="E18" s="251"/>
      <c r="F18" s="170" t="s">
        <v>123</v>
      </c>
      <c r="G18" s="129"/>
      <c r="H18" s="170" t="s">
        <v>124</v>
      </c>
      <c r="I18" s="129"/>
      <c r="J18" s="170" t="s">
        <v>125</v>
      </c>
      <c r="K18" s="129"/>
      <c r="N18" t="s">
        <v>158</v>
      </c>
      <c r="O18">
        <v>263.75</v>
      </c>
      <c r="P18">
        <v>170</v>
      </c>
      <c r="Q18">
        <f>O18*P18</f>
        <v>44837.5</v>
      </c>
    </row>
    <row r="19" spans="1:18" ht="15.75" customHeight="1" thickBot="1" x14ac:dyDescent="0.3">
      <c r="A19" s="3"/>
      <c r="B19" s="197" t="s">
        <v>149</v>
      </c>
      <c r="C19" s="236"/>
      <c r="D19" s="236"/>
      <c r="E19" s="237"/>
      <c r="F19" s="227">
        <v>157.29</v>
      </c>
      <c r="G19" s="228"/>
      <c r="H19" s="229">
        <v>4696.8500000000004</v>
      </c>
      <c r="I19" s="129"/>
      <c r="J19" s="234">
        <f>H19*F19</f>
        <v>738767.53650000005</v>
      </c>
      <c r="K19" s="129"/>
      <c r="N19" t="s">
        <v>162</v>
      </c>
      <c r="O19">
        <v>4337.08</v>
      </c>
      <c r="P19">
        <v>160</v>
      </c>
      <c r="Q19" s="72">
        <f>O19*P19</f>
        <v>693932.8</v>
      </c>
    </row>
    <row r="20" spans="1:18" ht="15.75" customHeight="1" x14ac:dyDescent="0.25">
      <c r="A20" s="51"/>
      <c r="B20" s="194"/>
      <c r="C20" s="108"/>
      <c r="D20" s="108"/>
      <c r="E20" s="108"/>
      <c r="F20" s="231"/>
      <c r="G20" s="235"/>
      <c r="H20" s="220" t="s">
        <v>163</v>
      </c>
      <c r="I20" s="221"/>
      <c r="J20" s="238">
        <f>J19*0.001</f>
        <v>738.76753650000001</v>
      </c>
      <c r="K20" s="239"/>
      <c r="M20" s="73"/>
      <c r="O20" s="78">
        <f>O18+O19</f>
        <v>4600.83</v>
      </c>
      <c r="P20">
        <v>0</v>
      </c>
      <c r="Q20" s="79">
        <f>O20*P20</f>
        <v>0</v>
      </c>
    </row>
    <row r="21" spans="1:18" ht="15.75" customHeight="1" thickBot="1" x14ac:dyDescent="0.3">
      <c r="A21" s="3"/>
      <c r="B21" s="190"/>
      <c r="C21" s="191"/>
      <c r="D21" s="191"/>
      <c r="E21" s="191"/>
      <c r="F21" s="32"/>
      <c r="G21" s="62"/>
      <c r="H21" s="223" t="s">
        <v>103</v>
      </c>
      <c r="I21" s="224"/>
      <c r="J21" s="225">
        <f>SUM(J19:K20)</f>
        <v>739506.30403650005</v>
      </c>
      <c r="K21" s="226"/>
      <c r="Q21" s="71">
        <f>Q18+Q19+Q20</f>
        <v>738770.3</v>
      </c>
    </row>
    <row r="22" spans="1:18" ht="15.75" customHeight="1" thickBot="1" x14ac:dyDescent="0.3">
      <c r="A22" s="51"/>
      <c r="B22" s="194"/>
      <c r="C22" s="108"/>
      <c r="D22" s="108"/>
      <c r="E22" s="108"/>
      <c r="F22" s="4"/>
      <c r="G22" s="4"/>
      <c r="H22" s="230"/>
      <c r="I22" s="108"/>
      <c r="J22" s="231"/>
      <c r="K22" s="187"/>
      <c r="N22" s="73"/>
    </row>
    <row r="23" spans="1:18" ht="15.75" customHeight="1" thickBot="1" x14ac:dyDescent="0.3">
      <c r="A23" s="52"/>
      <c r="B23" s="232" t="s">
        <v>126</v>
      </c>
      <c r="C23" s="128"/>
      <c r="D23" s="46"/>
      <c r="E23" s="46"/>
      <c r="F23" s="46"/>
      <c r="G23" s="46"/>
      <c r="H23" s="46"/>
      <c r="I23" s="46"/>
      <c r="J23" s="233">
        <f>J21</f>
        <v>739506.30403650005</v>
      </c>
      <c r="K23" s="129"/>
      <c r="Q23" s="82">
        <f>Q21/O25</f>
        <v>157.29066874556457</v>
      </c>
      <c r="R23" s="81" t="s">
        <v>151</v>
      </c>
    </row>
    <row r="24" spans="1:18" ht="15.75" customHeight="1" x14ac:dyDescent="0.25">
      <c r="A24" s="4"/>
      <c r="B24" s="19"/>
      <c r="C24" s="4"/>
      <c r="D24" s="4"/>
      <c r="E24" s="4"/>
      <c r="F24" s="4"/>
      <c r="G24" s="4"/>
      <c r="H24" s="4"/>
      <c r="I24" s="4"/>
      <c r="J24" s="4"/>
      <c r="K24" s="20"/>
      <c r="O24" s="72"/>
      <c r="Q24" s="80"/>
    </row>
    <row r="25" spans="1:18" ht="15.75" customHeight="1" x14ac:dyDescent="0.25">
      <c r="A25" s="63"/>
      <c r="B25" s="222" t="s">
        <v>127</v>
      </c>
      <c r="C25" s="108"/>
      <c r="D25" s="4"/>
      <c r="E25" s="4"/>
      <c r="F25" s="4"/>
      <c r="G25" s="4"/>
      <c r="H25" s="4"/>
      <c r="I25" s="4"/>
      <c r="J25" s="4"/>
      <c r="K25" s="20"/>
      <c r="M25" t="s">
        <v>153</v>
      </c>
      <c r="N25" s="77">
        <v>436.51</v>
      </c>
      <c r="O25" s="84">
        <f>N25*10.76</f>
        <v>4696.8476000000001</v>
      </c>
      <c r="P25" s="81" t="s">
        <v>155</v>
      </c>
    </row>
    <row r="26" spans="1:18" ht="15.75" customHeight="1" x14ac:dyDescent="0.25">
      <c r="A26" s="4"/>
      <c r="B26" s="19" t="s">
        <v>128</v>
      </c>
      <c r="C26" s="4"/>
      <c r="D26" s="4" t="s">
        <v>146</v>
      </c>
      <c r="E26" s="4"/>
      <c r="F26" s="4"/>
      <c r="G26" s="4"/>
      <c r="H26" s="4"/>
      <c r="I26" s="4"/>
      <c r="J26" s="4"/>
      <c r="K26" s="20"/>
      <c r="M26" t="s">
        <v>154</v>
      </c>
      <c r="O26">
        <v>4600.83</v>
      </c>
    </row>
    <row r="27" spans="1:18" ht="15.75" customHeight="1" x14ac:dyDescent="0.25">
      <c r="A27" s="4"/>
      <c r="B27" s="19" t="s">
        <v>129</v>
      </c>
      <c r="C27" s="4"/>
      <c r="D27" s="4"/>
      <c r="E27" s="4"/>
      <c r="F27" s="4"/>
      <c r="G27" s="4"/>
      <c r="H27" s="4"/>
      <c r="I27" s="4"/>
      <c r="J27" s="4"/>
      <c r="K27" s="20"/>
      <c r="M27" t="s">
        <v>152</v>
      </c>
      <c r="O27" s="78">
        <f>O25-O26</f>
        <v>96.01760000000013</v>
      </c>
    </row>
    <row r="28" spans="1:18" ht="15.75" customHeight="1" x14ac:dyDescent="0.25">
      <c r="A28" s="4"/>
      <c r="B28" s="19" t="s">
        <v>130</v>
      </c>
      <c r="C28" s="4"/>
      <c r="D28" s="4"/>
      <c r="E28" s="4"/>
      <c r="F28" s="4"/>
      <c r="G28" s="4"/>
      <c r="H28" s="4"/>
      <c r="I28" s="4"/>
      <c r="J28" s="4"/>
      <c r="K28" s="20"/>
    </row>
    <row r="29" spans="1:18" ht="15.75" customHeight="1" x14ac:dyDescent="0.25">
      <c r="A29" s="4"/>
      <c r="B29" s="19" t="s">
        <v>131</v>
      </c>
      <c r="C29" s="4"/>
      <c r="D29" s="4" t="s">
        <v>147</v>
      </c>
      <c r="E29" s="4"/>
      <c r="F29" s="4"/>
      <c r="G29" s="4"/>
      <c r="H29" s="4"/>
      <c r="I29" s="4"/>
      <c r="J29" s="4"/>
      <c r="K29" s="20"/>
    </row>
    <row r="30" spans="1:18" ht="15.75" customHeight="1" x14ac:dyDescent="0.25">
      <c r="A30" s="4"/>
      <c r="B30" s="19" t="s">
        <v>132</v>
      </c>
      <c r="C30" s="4"/>
      <c r="D30" s="4"/>
      <c r="E30" s="4"/>
      <c r="F30" s="4"/>
      <c r="G30" s="4"/>
      <c r="H30" s="4"/>
      <c r="I30" s="4"/>
      <c r="J30" s="4"/>
      <c r="K30" s="20"/>
    </row>
    <row r="31" spans="1:18" ht="15.75" customHeight="1" x14ac:dyDescent="0.25">
      <c r="A31" s="4"/>
      <c r="B31" s="19" t="s">
        <v>133</v>
      </c>
      <c r="C31" s="4"/>
      <c r="D31" s="4"/>
      <c r="E31" s="4"/>
      <c r="F31" s="4"/>
      <c r="G31" s="4"/>
      <c r="H31" s="4"/>
      <c r="I31" s="4"/>
      <c r="J31" s="4"/>
      <c r="K31" s="20"/>
    </row>
    <row r="32" spans="1:18" ht="15.75" customHeight="1" x14ac:dyDescent="0.25">
      <c r="A32" s="4"/>
      <c r="B32" s="19" t="s">
        <v>134</v>
      </c>
      <c r="C32" s="4"/>
      <c r="D32" s="4" t="s">
        <v>135</v>
      </c>
      <c r="E32" s="4"/>
      <c r="F32" s="4"/>
      <c r="G32" s="4"/>
      <c r="H32" s="4"/>
      <c r="I32" s="4"/>
      <c r="J32" s="4"/>
      <c r="K32" s="20"/>
    </row>
    <row r="33" spans="1:11" ht="15.75" customHeight="1" x14ac:dyDescent="0.25">
      <c r="A33" s="4"/>
      <c r="B33" s="19"/>
      <c r="C33" s="4"/>
      <c r="D33" s="1" t="s">
        <v>136</v>
      </c>
      <c r="E33" s="4"/>
      <c r="F33" s="4"/>
      <c r="G33" s="4"/>
      <c r="H33" s="4"/>
      <c r="I33" s="4"/>
      <c r="J33" s="4"/>
      <c r="K33" s="20"/>
    </row>
    <row r="34" spans="1:11" ht="15.75" customHeight="1" x14ac:dyDescent="0.25">
      <c r="A34" s="4"/>
      <c r="B34" s="19"/>
      <c r="C34" s="4"/>
      <c r="D34" s="4" t="s">
        <v>137</v>
      </c>
      <c r="E34" s="4"/>
      <c r="F34" s="4"/>
      <c r="G34" s="4"/>
      <c r="H34" s="4"/>
      <c r="I34" s="4"/>
      <c r="J34" s="4"/>
      <c r="K34" s="20"/>
    </row>
    <row r="35" spans="1:11" ht="15.75" customHeight="1" x14ac:dyDescent="0.25">
      <c r="A35" s="64"/>
      <c r="B35" s="210" t="s">
        <v>138</v>
      </c>
      <c r="C35" s="108"/>
      <c r="D35" s="108"/>
      <c r="E35" s="108"/>
      <c r="F35" s="108"/>
      <c r="G35" s="108"/>
      <c r="H35" s="4"/>
      <c r="I35" s="4"/>
      <c r="J35" s="4"/>
      <c r="K35" s="20"/>
    </row>
    <row r="36" spans="1:11" ht="15.75" customHeight="1" x14ac:dyDescent="0.25">
      <c r="A36" s="64"/>
      <c r="B36" s="210" t="s">
        <v>139</v>
      </c>
      <c r="C36" s="108"/>
      <c r="D36" s="108"/>
      <c r="E36" s="108"/>
      <c r="F36" s="108"/>
      <c r="G36" s="108"/>
      <c r="H36" s="4"/>
      <c r="I36" s="4"/>
      <c r="J36" s="4"/>
      <c r="K36" s="20"/>
    </row>
    <row r="37" spans="1:11" ht="15.75" customHeight="1" x14ac:dyDescent="0.25">
      <c r="A37" s="38"/>
      <c r="B37" s="37" t="s">
        <v>140</v>
      </c>
      <c r="C37" s="65" t="str">
        <f>'input data'!B5</f>
        <v>AD2403260504856</v>
      </c>
      <c r="D37" s="38"/>
      <c r="E37" s="38"/>
      <c r="F37" s="38"/>
      <c r="G37" s="38"/>
      <c r="H37" s="4"/>
      <c r="I37" s="4"/>
      <c r="J37" s="4"/>
      <c r="K37" s="20"/>
    </row>
    <row r="38" spans="1:11" ht="15.75" customHeight="1" x14ac:dyDescent="0.25">
      <c r="A38" s="4"/>
      <c r="B38" s="19" t="s">
        <v>141</v>
      </c>
      <c r="C38" s="4"/>
      <c r="D38" s="4"/>
      <c r="E38" s="4"/>
      <c r="F38" s="4"/>
      <c r="G38" s="4"/>
      <c r="H38" s="4"/>
      <c r="I38" s="4"/>
      <c r="J38" s="4"/>
      <c r="K38" s="20"/>
    </row>
    <row r="39" spans="1:11" ht="15.75" customHeight="1" x14ac:dyDescent="0.25">
      <c r="A39" s="4"/>
      <c r="B39" s="19"/>
      <c r="C39" s="4"/>
      <c r="D39" s="4"/>
      <c r="E39" s="4"/>
      <c r="F39" s="4"/>
      <c r="G39" s="4"/>
      <c r="H39" s="4"/>
      <c r="I39" s="4"/>
      <c r="J39" s="4"/>
      <c r="K39" s="20"/>
    </row>
    <row r="40" spans="1:11" ht="15.75" customHeight="1" x14ac:dyDescent="0.25">
      <c r="A40" s="4"/>
      <c r="B40" s="19"/>
      <c r="C40" s="4"/>
      <c r="D40" s="4"/>
      <c r="E40" s="4"/>
      <c r="F40" s="4"/>
      <c r="G40" s="4"/>
      <c r="H40" s="4"/>
      <c r="I40" s="4"/>
      <c r="J40" s="4"/>
      <c r="K40" s="20"/>
    </row>
    <row r="41" spans="1:11" ht="15.75" customHeight="1" x14ac:dyDescent="0.25">
      <c r="A41" s="4"/>
      <c r="B41" s="30"/>
      <c r="C41" s="32"/>
      <c r="D41" s="32"/>
      <c r="E41" s="32"/>
      <c r="F41" s="32"/>
      <c r="G41" s="32"/>
      <c r="H41" s="32"/>
      <c r="I41" s="32"/>
      <c r="J41" s="32"/>
      <c r="K41" s="29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5:K5"/>
    <mergeCell ref="B7:K7"/>
    <mergeCell ref="B13:G13"/>
    <mergeCell ref="B14:G15"/>
    <mergeCell ref="F18:G18"/>
    <mergeCell ref="H18:I18"/>
    <mergeCell ref="J18:K18"/>
    <mergeCell ref="B18:E18"/>
    <mergeCell ref="C9:D9"/>
    <mergeCell ref="B1:K2"/>
    <mergeCell ref="R1:V1"/>
    <mergeCell ref="W1:Y1"/>
    <mergeCell ref="B3:K3"/>
    <mergeCell ref="B4:K4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36:G36"/>
    <mergeCell ref="B21:E21"/>
    <mergeCell ref="H20:I20"/>
    <mergeCell ref="B25:C25"/>
    <mergeCell ref="H21:I21"/>
  </mergeCells>
  <pageMargins left="0.7" right="0.7" top="0.75" bottom="0.75" header="0" footer="0"/>
  <pageSetup scale="7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997"/>
  <sheetViews>
    <sheetView zoomScaleNormal="100" workbookViewId="0">
      <selection activeCell="L37" sqref="L37"/>
    </sheetView>
  </sheetViews>
  <sheetFormatPr defaultColWidth="14.42578125" defaultRowHeight="15" customHeight="1" x14ac:dyDescent="0.25"/>
  <cols>
    <col min="1" max="1" width="8.7109375" customWidth="1"/>
    <col min="2" max="2" width="8.28515625" customWidth="1"/>
    <col min="3" max="3" width="8.7109375" customWidth="1"/>
    <col min="4" max="4" width="18.28515625" customWidth="1"/>
    <col min="5" max="5" width="9.7109375" customWidth="1"/>
    <col min="6" max="6" width="6.5703125" customWidth="1"/>
    <col min="7" max="7" width="4.7109375" customWidth="1"/>
    <col min="8" max="8" width="12.5703125" bestFit="1" customWidth="1"/>
    <col min="9" max="9" width="8.7109375" customWidth="1"/>
    <col min="10" max="10" width="11.42578125" customWidth="1"/>
    <col min="11" max="26" width="8.7109375" customWidth="1"/>
  </cols>
  <sheetData>
    <row r="1" spans="1:10" x14ac:dyDescent="0.25">
      <c r="A1" s="261" t="s">
        <v>159</v>
      </c>
      <c r="B1" s="262"/>
      <c r="C1" s="262"/>
      <c r="D1" s="262"/>
      <c r="E1" s="262"/>
      <c r="F1" s="262"/>
      <c r="G1" s="262"/>
      <c r="H1" s="262"/>
      <c r="I1" s="262"/>
      <c r="J1" s="263"/>
    </row>
    <row r="2" spans="1:10" ht="29.25" customHeight="1" thickBot="1" x14ac:dyDescent="0.3">
      <c r="A2" s="124"/>
      <c r="B2" s="125"/>
      <c r="C2" s="125"/>
      <c r="D2" s="125"/>
      <c r="E2" s="125"/>
      <c r="F2" s="125"/>
      <c r="G2" s="125"/>
      <c r="H2" s="125"/>
      <c r="I2" s="125"/>
      <c r="J2" s="162"/>
    </row>
    <row r="3" spans="1:10" x14ac:dyDescent="0.25">
      <c r="A3" s="86" t="s">
        <v>37</v>
      </c>
      <c r="B3" s="68"/>
      <c r="C3" s="68"/>
      <c r="D3" s="70"/>
      <c r="E3" s="264" t="s">
        <v>38</v>
      </c>
      <c r="F3" s="166"/>
      <c r="G3" s="121"/>
      <c r="H3" s="264" t="s">
        <v>39</v>
      </c>
      <c r="I3" s="166"/>
      <c r="J3" s="121"/>
    </row>
    <row r="4" spans="1:10" ht="15.75" thickBot="1" x14ac:dyDescent="0.3">
      <c r="A4" s="19" t="s">
        <v>40</v>
      </c>
      <c r="B4" s="4"/>
      <c r="C4" s="4"/>
      <c r="D4" s="20"/>
      <c r="E4" s="211" t="str">
        <f>'input data'!B3</f>
        <v>BK003/26-27</v>
      </c>
      <c r="F4" s="191"/>
      <c r="G4" s="192"/>
      <c r="H4" s="212">
        <f>'input data'!B4</f>
        <v>46130</v>
      </c>
      <c r="I4" s="265"/>
      <c r="J4" s="213"/>
    </row>
    <row r="5" spans="1:10" x14ac:dyDescent="0.25">
      <c r="A5" s="21" t="s">
        <v>41</v>
      </c>
      <c r="B5" s="4"/>
      <c r="C5" s="4"/>
      <c r="D5" s="20"/>
      <c r="E5" s="145" t="s">
        <v>42</v>
      </c>
      <c r="F5" s="115"/>
      <c r="G5" s="116"/>
      <c r="H5" s="145" t="s">
        <v>43</v>
      </c>
      <c r="I5" s="115"/>
      <c r="J5" s="116"/>
    </row>
    <row r="6" spans="1:10" x14ac:dyDescent="0.25">
      <c r="A6" s="21" t="s">
        <v>44</v>
      </c>
      <c r="B6" s="4"/>
      <c r="C6" s="4"/>
      <c r="D6" s="20"/>
      <c r="E6" s="201"/>
      <c r="F6" s="191"/>
      <c r="G6" s="192"/>
      <c r="H6" s="260" t="str">
        <f>'input data'!B5</f>
        <v>AD2403260504856</v>
      </c>
      <c r="I6" s="191"/>
      <c r="J6" s="192"/>
    </row>
    <row r="7" spans="1:10" x14ac:dyDescent="0.25">
      <c r="A7" s="21" t="s">
        <v>45</v>
      </c>
      <c r="B7" s="4"/>
      <c r="C7" s="4"/>
      <c r="D7" s="20"/>
      <c r="E7" s="145" t="s">
        <v>46</v>
      </c>
      <c r="F7" s="115"/>
      <c r="G7" s="116"/>
      <c r="H7" s="145" t="s">
        <v>47</v>
      </c>
      <c r="I7" s="115"/>
      <c r="J7" s="116"/>
    </row>
    <row r="8" spans="1:10" x14ac:dyDescent="0.25">
      <c r="A8" s="19" t="s">
        <v>48</v>
      </c>
      <c r="B8" s="4"/>
      <c r="C8" s="4"/>
      <c r="D8" s="20"/>
      <c r="E8" s="201" t="s">
        <v>49</v>
      </c>
      <c r="F8" s="191"/>
      <c r="G8" s="192"/>
      <c r="H8" s="202" t="s">
        <v>50</v>
      </c>
      <c r="I8" s="191"/>
      <c r="J8" s="192"/>
    </row>
    <row r="9" spans="1:10" x14ac:dyDescent="0.25">
      <c r="A9" s="22" t="s">
        <v>51</v>
      </c>
      <c r="B9" s="4"/>
      <c r="C9" s="4"/>
      <c r="D9" s="20"/>
      <c r="E9" s="145" t="s">
        <v>52</v>
      </c>
      <c r="F9" s="115"/>
      <c r="G9" s="116"/>
      <c r="H9" s="145" t="s">
        <v>53</v>
      </c>
      <c r="I9" s="115"/>
      <c r="J9" s="116"/>
    </row>
    <row r="10" spans="1:10" x14ac:dyDescent="0.25">
      <c r="A10" s="22" t="s">
        <v>54</v>
      </c>
      <c r="B10" s="4"/>
      <c r="C10" s="4"/>
      <c r="D10" s="20"/>
      <c r="E10" s="194" t="str">
        <f>'input data'!B14</f>
        <v>Loose packing</v>
      </c>
      <c r="F10" s="108"/>
      <c r="G10" s="187"/>
      <c r="H10" s="194" t="str">
        <f>'input data'!B13 &amp; " " &amp; 'input data'!B15</f>
        <v>1 FCL</v>
      </c>
      <c r="I10" s="108"/>
      <c r="J10" s="187"/>
    </row>
    <row r="11" spans="1:10" x14ac:dyDescent="0.25">
      <c r="A11" s="117" t="s">
        <v>55</v>
      </c>
      <c r="B11" s="115"/>
      <c r="C11" s="115"/>
      <c r="D11" s="116"/>
      <c r="E11" s="170" t="s">
        <v>56</v>
      </c>
      <c r="F11" s="128"/>
      <c r="G11" s="129"/>
      <c r="H11" s="171" t="s">
        <v>57</v>
      </c>
      <c r="I11" s="128"/>
      <c r="J11" s="129"/>
    </row>
    <row r="12" spans="1:10" ht="15" customHeight="1" x14ac:dyDescent="0.25">
      <c r="A12" s="258" t="str">
        <f>'input data'!B6</f>
        <v>To the Order</v>
      </c>
      <c r="B12" s="108"/>
      <c r="C12" s="108"/>
      <c r="D12" s="187"/>
      <c r="E12" s="259" t="str">
        <f>'input data'!B16</f>
        <v>CNF</v>
      </c>
      <c r="F12" s="108"/>
      <c r="G12" s="187"/>
      <c r="H12" s="257" t="str">
        <f>'input data'!B17</f>
        <v>100% Against Documents</v>
      </c>
      <c r="I12" s="108"/>
      <c r="J12" s="187"/>
    </row>
    <row r="13" spans="1:10" x14ac:dyDescent="0.25">
      <c r="A13" s="19"/>
      <c r="B13" s="4"/>
      <c r="C13" s="4"/>
      <c r="D13" s="20"/>
      <c r="E13" s="205"/>
      <c r="F13" s="191"/>
      <c r="G13" s="192"/>
      <c r="H13" s="191"/>
      <c r="I13" s="191"/>
      <c r="J13" s="192"/>
    </row>
    <row r="14" spans="1:10" x14ac:dyDescent="0.25">
      <c r="A14" s="16" t="s">
        <v>58</v>
      </c>
      <c r="B14" s="17"/>
      <c r="C14" s="17"/>
      <c r="D14" s="18"/>
      <c r="E14" s="160" t="s">
        <v>156</v>
      </c>
      <c r="F14" s="115"/>
      <c r="G14" s="115"/>
      <c r="H14" s="115"/>
      <c r="I14" s="115"/>
      <c r="J14" s="116"/>
    </row>
    <row r="15" spans="1:10" x14ac:dyDescent="0.25">
      <c r="A15" s="217" t="str">
        <f>'input data'!B7</f>
        <v xml:space="preserve">A-A STONE INVESTMENT TRADING COMPANY 
LIMITED
 34/5 TRAN KHANH DU STREET, TAN DINH WARD, 
HOCHIMINH CITY, VIETNAM
 TAX:0317458134
 MAIL: AASTONEDOCS@GMAIL.COM
</v>
      </c>
      <c r="B15" s="108"/>
      <c r="C15" s="108"/>
      <c r="D15" s="187"/>
      <c r="E15" s="218"/>
      <c r="F15" s="108"/>
      <c r="G15" s="108"/>
      <c r="H15" s="108"/>
      <c r="I15" s="108"/>
      <c r="J15" s="187"/>
    </row>
    <row r="16" spans="1:10" x14ac:dyDescent="0.25">
      <c r="A16" s="218"/>
      <c r="B16" s="108"/>
      <c r="C16" s="108"/>
      <c r="D16" s="187"/>
      <c r="E16" s="218"/>
      <c r="F16" s="108"/>
      <c r="G16" s="108"/>
      <c r="H16" s="108"/>
      <c r="I16" s="108"/>
      <c r="J16" s="187"/>
    </row>
    <row r="17" spans="1:15" x14ac:dyDescent="0.25">
      <c r="A17" s="218"/>
      <c r="B17" s="108"/>
      <c r="C17" s="108"/>
      <c r="D17" s="187"/>
      <c r="E17" s="218"/>
      <c r="F17" s="108"/>
      <c r="G17" s="108"/>
      <c r="H17" s="108"/>
      <c r="I17" s="108"/>
      <c r="J17" s="187"/>
    </row>
    <row r="18" spans="1:15" x14ac:dyDescent="0.25">
      <c r="A18" s="218"/>
      <c r="B18" s="108"/>
      <c r="C18" s="108"/>
      <c r="D18" s="187"/>
      <c r="E18" s="218"/>
      <c r="F18" s="108"/>
      <c r="G18" s="108"/>
      <c r="H18" s="108"/>
      <c r="I18" s="108"/>
      <c r="J18" s="187"/>
    </row>
    <row r="19" spans="1:15" x14ac:dyDescent="0.25">
      <c r="A19" s="218"/>
      <c r="B19" s="108"/>
      <c r="C19" s="108"/>
      <c r="D19" s="187"/>
      <c r="E19" s="218"/>
      <c r="F19" s="108"/>
      <c r="G19" s="108"/>
      <c r="H19" s="108"/>
      <c r="I19" s="108"/>
      <c r="J19" s="187"/>
    </row>
    <row r="20" spans="1:15" ht="48" customHeight="1" x14ac:dyDescent="0.25">
      <c r="A20" s="205"/>
      <c r="B20" s="191"/>
      <c r="C20" s="191"/>
      <c r="D20" s="192"/>
      <c r="E20" s="205"/>
      <c r="F20" s="191"/>
      <c r="G20" s="191"/>
      <c r="H20" s="191"/>
      <c r="I20" s="191"/>
      <c r="J20" s="192"/>
    </row>
    <row r="21" spans="1:15" ht="15.75" customHeight="1" x14ac:dyDescent="0.25">
      <c r="A21" s="253" t="s">
        <v>59</v>
      </c>
      <c r="B21" s="116"/>
      <c r="C21" s="253" t="s">
        <v>28</v>
      </c>
      <c r="D21" s="116"/>
      <c r="E21" s="253" t="s">
        <v>60</v>
      </c>
      <c r="F21" s="115"/>
      <c r="G21" s="116"/>
      <c r="H21" s="253" t="s">
        <v>32</v>
      </c>
      <c r="I21" s="115"/>
      <c r="J21" s="116"/>
    </row>
    <row r="22" spans="1:15" ht="14.25" customHeight="1" x14ac:dyDescent="0.25">
      <c r="A22" s="254" t="s">
        <v>61</v>
      </c>
      <c r="B22" s="187"/>
      <c r="C22" s="255" t="str">
        <f>'input data'!B19</f>
        <v>CHENNAI</v>
      </c>
      <c r="D22" s="187"/>
      <c r="E22" s="256" t="s">
        <v>62</v>
      </c>
      <c r="F22" s="108"/>
      <c r="G22" s="187"/>
      <c r="H22" s="256" t="str">
        <f>'input data'!B23</f>
        <v>VIETNAM</v>
      </c>
      <c r="I22" s="108"/>
      <c r="J22" s="187"/>
    </row>
    <row r="23" spans="1:15" ht="15" customHeight="1" x14ac:dyDescent="0.25">
      <c r="A23" s="186"/>
      <c r="B23" s="187"/>
      <c r="C23" s="205"/>
      <c r="D23" s="192"/>
      <c r="E23" s="205"/>
      <c r="F23" s="191"/>
      <c r="G23" s="192"/>
      <c r="H23" s="205"/>
      <c r="I23" s="191"/>
      <c r="J23" s="192"/>
    </row>
    <row r="24" spans="1:15" ht="15.75" customHeight="1" x14ac:dyDescent="0.25">
      <c r="A24" s="145" t="s">
        <v>63</v>
      </c>
      <c r="B24" s="116"/>
      <c r="C24" s="156" t="s">
        <v>29</v>
      </c>
      <c r="D24" s="116"/>
      <c r="E24" s="145" t="s">
        <v>30</v>
      </c>
      <c r="F24" s="115"/>
      <c r="G24" s="116"/>
      <c r="H24" s="156" t="s">
        <v>31</v>
      </c>
      <c r="I24" s="115"/>
      <c r="J24" s="116"/>
    </row>
    <row r="25" spans="1:15" ht="15.75" customHeight="1" x14ac:dyDescent="0.25">
      <c r="A25" s="201"/>
      <c r="B25" s="192"/>
      <c r="C25" s="202" t="str">
        <f>'input data'!B20</f>
        <v>CHENNAI</v>
      </c>
      <c r="D25" s="192"/>
      <c r="E25" s="202" t="str">
        <f>'input data'!B21</f>
        <v>DA NANG</v>
      </c>
      <c r="F25" s="191"/>
      <c r="G25" s="192"/>
      <c r="H25" s="202" t="str">
        <f>'input data'!B22</f>
        <v>DA NANG</v>
      </c>
      <c r="I25" s="191"/>
      <c r="J25" s="192"/>
    </row>
    <row r="26" spans="1:15" ht="15.75" customHeight="1" x14ac:dyDescent="0.25">
      <c r="A26" s="143" t="s">
        <v>64</v>
      </c>
      <c r="B26" s="141" t="s">
        <v>65</v>
      </c>
      <c r="C26" s="115"/>
      <c r="D26" s="116"/>
      <c r="E26" s="143" t="s">
        <v>66</v>
      </c>
      <c r="F26" s="145" t="s">
        <v>67</v>
      </c>
      <c r="G26" s="116"/>
      <c r="H26" s="25" t="s">
        <v>36</v>
      </c>
      <c r="I26" s="145" t="s">
        <v>68</v>
      </c>
      <c r="J26" s="116"/>
    </row>
    <row r="27" spans="1:15" ht="15.75" customHeight="1" thickBot="1" x14ac:dyDescent="0.3">
      <c r="A27" s="144"/>
      <c r="B27" s="218"/>
      <c r="C27" s="108"/>
      <c r="D27" s="187"/>
      <c r="E27" s="144"/>
      <c r="F27" s="202" t="s">
        <v>69</v>
      </c>
      <c r="G27" s="192"/>
      <c r="H27" s="74" t="s">
        <v>69</v>
      </c>
      <c r="I27" s="202" t="s">
        <v>70</v>
      </c>
      <c r="J27" s="192"/>
    </row>
    <row r="28" spans="1:15" ht="15.75" customHeight="1" thickBot="1" x14ac:dyDescent="0.3">
      <c r="A28" s="27">
        <v>1</v>
      </c>
      <c r="B28" s="127" t="str">
        <f>'input data'!B18</f>
        <v>NATURAL POLISHED GRANITE SLABS</v>
      </c>
      <c r="C28" s="128"/>
      <c r="D28" s="129"/>
      <c r="E28" s="28">
        <v>68022390</v>
      </c>
      <c r="F28" s="130">
        <f>'input data'!B26</f>
        <v>436.51</v>
      </c>
      <c r="G28" s="128"/>
      <c r="H28" s="87">
        <v>1581.75</v>
      </c>
      <c r="I28" s="273">
        <f>F28*H28</f>
        <v>690449.6925</v>
      </c>
      <c r="J28" s="274"/>
      <c r="O28" s="75"/>
    </row>
    <row r="29" spans="1:15" ht="15.75" customHeight="1" x14ac:dyDescent="0.25">
      <c r="A29" s="19" t="s">
        <v>33</v>
      </c>
      <c r="B29" s="4"/>
      <c r="C29" s="4" t="s">
        <v>34</v>
      </c>
      <c r="D29" s="4" t="s">
        <v>71</v>
      </c>
      <c r="E29" s="4" t="s">
        <v>72</v>
      </c>
      <c r="F29" s="4"/>
      <c r="G29" s="68"/>
      <c r="H29" s="133" t="s">
        <v>148</v>
      </c>
      <c r="I29" s="68"/>
      <c r="J29" s="20"/>
    </row>
    <row r="30" spans="1:15" ht="15.75" customHeight="1" x14ac:dyDescent="0.25">
      <c r="A30" s="194" t="str">
        <f>UPPER('input data'!B24)</f>
        <v>OOCU0930538</v>
      </c>
      <c r="B30" s="108"/>
      <c r="C30" s="3">
        <f>'input data'!B25</f>
        <v>235</v>
      </c>
      <c r="D30" s="4" t="s">
        <v>73</v>
      </c>
      <c r="E30" s="4" t="s">
        <v>74</v>
      </c>
      <c r="F30" s="4"/>
      <c r="G30" s="68"/>
      <c r="H30" s="133"/>
      <c r="I30" s="68"/>
      <c r="J30" s="20"/>
    </row>
    <row r="31" spans="1:15" ht="15.75" customHeight="1" thickBot="1" x14ac:dyDescent="0.3">
      <c r="A31" s="19"/>
      <c r="B31" s="4"/>
      <c r="C31" s="4"/>
      <c r="D31" s="4"/>
      <c r="E31" s="4"/>
      <c r="F31" s="193"/>
      <c r="G31" s="120"/>
      <c r="H31" s="133"/>
      <c r="I31" s="68"/>
      <c r="J31" s="20"/>
    </row>
    <row r="32" spans="1:15" ht="15.75" customHeight="1" thickBot="1" x14ac:dyDescent="0.3">
      <c r="A32" s="30"/>
      <c r="B32" s="32"/>
      <c r="C32" s="32"/>
      <c r="D32" s="32"/>
      <c r="E32" s="32"/>
      <c r="F32" s="32"/>
      <c r="G32" s="69"/>
      <c r="H32" s="134"/>
      <c r="I32" s="137"/>
      <c r="J32" s="272"/>
    </row>
    <row r="33" spans="1:10" ht="15.75" customHeight="1" x14ac:dyDescent="0.25">
      <c r="A33" s="16" t="s">
        <v>75</v>
      </c>
      <c r="B33" s="17"/>
      <c r="C33" s="17"/>
      <c r="D33" s="17"/>
      <c r="E33" s="17"/>
      <c r="F33" s="17"/>
      <c r="G33" s="17"/>
      <c r="H33" s="70"/>
      <c r="I33" s="268">
        <f>I28</f>
        <v>690449.6925</v>
      </c>
      <c r="J33" s="269"/>
    </row>
    <row r="34" spans="1:10" ht="15.75" customHeight="1" thickBot="1" x14ac:dyDescent="0.3">
      <c r="A34" s="33" t="s">
        <v>160</v>
      </c>
      <c r="B34" s="32"/>
      <c r="C34" s="32"/>
      <c r="D34" s="32"/>
      <c r="E34" s="32"/>
      <c r="F34" s="32"/>
      <c r="G34" s="32"/>
      <c r="H34" s="29"/>
      <c r="I34" s="270"/>
      <c r="J34" s="271"/>
    </row>
    <row r="35" spans="1:10" ht="15.75" customHeight="1" x14ac:dyDescent="0.25">
      <c r="A35" s="267" t="s">
        <v>76</v>
      </c>
      <c r="B35" s="115"/>
      <c r="C35" s="115"/>
      <c r="D35" s="116"/>
      <c r="E35" s="117" t="s">
        <v>77</v>
      </c>
      <c r="F35" s="115"/>
      <c r="G35" s="115"/>
      <c r="H35" s="115"/>
      <c r="I35" s="115"/>
      <c r="J35" s="116"/>
    </row>
    <row r="36" spans="1:10" ht="19.5" customHeight="1" x14ac:dyDescent="0.25">
      <c r="A36" s="250" t="s">
        <v>78</v>
      </c>
      <c r="B36" s="108"/>
      <c r="C36" s="108"/>
      <c r="D36" s="187"/>
      <c r="E36" s="19" t="s">
        <v>79</v>
      </c>
      <c r="F36" s="4"/>
      <c r="G36" s="4"/>
      <c r="H36" s="4"/>
      <c r="I36" s="4"/>
      <c r="J36" s="20"/>
    </row>
    <row r="37" spans="1:10" ht="19.5" customHeight="1" x14ac:dyDescent="0.25">
      <c r="A37" s="218"/>
      <c r="B37" s="108"/>
      <c r="C37" s="108"/>
      <c r="D37" s="187"/>
      <c r="E37" s="19"/>
      <c r="F37" s="4"/>
      <c r="G37" s="4"/>
      <c r="H37" s="4"/>
      <c r="I37" s="4"/>
      <c r="J37" s="20"/>
    </row>
    <row r="38" spans="1:10" ht="15.75" customHeight="1" x14ac:dyDescent="0.25">
      <c r="A38" s="266" t="s">
        <v>80</v>
      </c>
      <c r="B38" s="108"/>
      <c r="C38" s="108"/>
      <c r="D38" s="187"/>
      <c r="E38" s="19"/>
      <c r="F38" s="4"/>
      <c r="G38" s="4"/>
      <c r="H38" s="4"/>
      <c r="I38" s="4"/>
      <c r="J38" s="20"/>
    </row>
    <row r="39" spans="1:10" ht="18.75" customHeight="1" x14ac:dyDescent="0.25">
      <c r="A39" s="205"/>
      <c r="B39" s="191"/>
      <c r="C39" s="191"/>
      <c r="D39" s="192"/>
      <c r="E39" s="30" t="s">
        <v>81</v>
      </c>
      <c r="F39" s="32"/>
      <c r="G39" s="32"/>
      <c r="H39" s="32"/>
      <c r="I39" s="32"/>
      <c r="J39" s="29"/>
    </row>
    <row r="40" spans="1:10" ht="15.75" customHeight="1" x14ac:dyDescent="0.25"/>
    <row r="41" spans="1:10" ht="15.75" customHeight="1" x14ac:dyDescent="0.25"/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61">
    <mergeCell ref="C25:D25"/>
    <mergeCell ref="E25:G25"/>
    <mergeCell ref="H25:J25"/>
    <mergeCell ref="A26:A27"/>
    <mergeCell ref="B26:D27"/>
    <mergeCell ref="E26:E27"/>
    <mergeCell ref="A25:B25"/>
    <mergeCell ref="A38:D39"/>
    <mergeCell ref="B28:D28"/>
    <mergeCell ref="F26:G26"/>
    <mergeCell ref="F28:G28"/>
    <mergeCell ref="I26:J26"/>
    <mergeCell ref="F27:G27"/>
    <mergeCell ref="I27:J27"/>
    <mergeCell ref="F31:G31"/>
    <mergeCell ref="A30:B30"/>
    <mergeCell ref="A35:D35"/>
    <mergeCell ref="A36:D37"/>
    <mergeCell ref="I33:J34"/>
    <mergeCell ref="E35:J35"/>
    <mergeCell ref="I32:J32"/>
    <mergeCell ref="I28:J28"/>
    <mergeCell ref="H29:H32"/>
    <mergeCell ref="A1:J2"/>
    <mergeCell ref="E3:G3"/>
    <mergeCell ref="H3:J3"/>
    <mergeCell ref="E4:G4"/>
    <mergeCell ref="H4:J4"/>
    <mergeCell ref="H9:J9"/>
    <mergeCell ref="E5:G5"/>
    <mergeCell ref="H5:J5"/>
    <mergeCell ref="E9:G9"/>
    <mergeCell ref="E10:G10"/>
    <mergeCell ref="E6:G6"/>
    <mergeCell ref="H6:J6"/>
    <mergeCell ref="E7:G7"/>
    <mergeCell ref="H7:J7"/>
    <mergeCell ref="E8:G8"/>
    <mergeCell ref="H8:J8"/>
    <mergeCell ref="H10:J10"/>
    <mergeCell ref="H11:J11"/>
    <mergeCell ref="H12:J13"/>
    <mergeCell ref="E14:J20"/>
    <mergeCell ref="A12:D12"/>
    <mergeCell ref="E12:G13"/>
    <mergeCell ref="A11:D11"/>
    <mergeCell ref="E11:G11"/>
    <mergeCell ref="A15:D20"/>
    <mergeCell ref="A21:B21"/>
    <mergeCell ref="A22:B22"/>
    <mergeCell ref="E24:G24"/>
    <mergeCell ref="H24:J24"/>
    <mergeCell ref="C21:D21"/>
    <mergeCell ref="C22:D23"/>
    <mergeCell ref="E22:G23"/>
    <mergeCell ref="H22:J23"/>
    <mergeCell ref="A23:B23"/>
    <mergeCell ref="A24:B24"/>
    <mergeCell ref="C24:D24"/>
    <mergeCell ref="E21:G21"/>
    <mergeCell ref="H21:J21"/>
  </mergeCells>
  <conditionalFormatting sqref="A30:B30">
    <cfRule type="containsBlanks" dxfId="1" priority="2">
      <formula>LEN(TRIM(A30))=0</formula>
    </cfRule>
  </conditionalFormatting>
  <conditionalFormatting sqref="C30">
    <cfRule type="containsBlanks" dxfId="0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scale="92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company data</vt:lpstr>
      <vt:lpstr>input data</vt:lpstr>
      <vt:lpstr>Invoice</vt:lpstr>
      <vt:lpstr>Peacking List</vt:lpstr>
      <vt:lpstr>PO</vt:lpstr>
      <vt:lpstr>indian rupees igst</vt:lpstr>
      <vt:lpstr>Invoice!Print_Area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2026-04-29T06:27:07Z</cp:lastPrinted>
  <dcterms:created xsi:type="dcterms:W3CDTF">2022-11-23T06:47:43Z</dcterms:created>
  <dcterms:modified xsi:type="dcterms:W3CDTF">2026-04-29T07:56:08Z</dcterms:modified>
</cp:coreProperties>
</file>
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B K EXPORTS\Measurement Sheet\"/>
    </mc:Choice>
  </mc:AlternateContent>
  <bookViews>
    <workbookView xWindow="0" yWindow="0" windowWidth="20400" windowHeight="8940"/>
  </bookViews>
  <sheets>
    <sheet name="Customer " sheetId="1" r:id="rId1"/>
  </sheets>
  <definedNames>
    <definedName name="_xlnm._FilterDatabase" localSheetId="0" hidden="1">'Customer '!$A$20:$I$408</definedName>
    <definedName name="ColumnTitle1">#REF!</definedName>
    <definedName name="ColumnTitleRegion1..B4.1">#REF!</definedName>
    <definedName name="ColumnTitleRegion2..C9.1">#REF!</definedName>
    <definedName name="Company_Name">#REF!</definedName>
    <definedName name="_xlnm.Print_Area" localSheetId="0">'Customer '!$A$1:$J$415</definedName>
  </definedNames>
  <calcPr calcId="152511"/>
  <extLst>
    <ext uri="GoogleSheetsCustomDataVersion2">
      <go:sheetsCustomData xmlns:go="http://customooxmlschemas.google.com/" r:id="rId6" roundtripDataChecksum="U8yADL32IYpbrFSsxBoMZAeyq9sLB280WWes7PEJjXA="/>
    </ext>
  </extLst>
</workbook>
</file>

<file path=xl/calcChain.xml><?xml version="1.0" encoding="utf-8"?>
<calcChain xmlns="http://schemas.openxmlformats.org/spreadsheetml/2006/main">
  <c r="H138" i="1" l="1"/>
  <c r="D138" i="1"/>
  <c r="J415" i="1"/>
  <c r="J414" i="1"/>
  <c r="H365" i="1"/>
  <c r="D365" i="1"/>
  <c r="D312" i="1"/>
  <c r="F312" i="1"/>
  <c r="H312" i="1" s="1"/>
  <c r="G312" i="1"/>
  <c r="D313" i="1"/>
  <c r="F313" i="1"/>
  <c r="G313" i="1"/>
  <c r="D314" i="1"/>
  <c r="F314" i="1"/>
  <c r="G314" i="1"/>
  <c r="D315" i="1"/>
  <c r="F315" i="1"/>
  <c r="G315" i="1"/>
  <c r="D316" i="1"/>
  <c r="F316" i="1"/>
  <c r="H316" i="1" s="1"/>
  <c r="G316" i="1"/>
  <c r="D317" i="1"/>
  <c r="F317" i="1"/>
  <c r="G317" i="1"/>
  <c r="D318" i="1"/>
  <c r="F318" i="1"/>
  <c r="G318" i="1"/>
  <c r="D319" i="1"/>
  <c r="F319" i="1"/>
  <c r="G319" i="1"/>
  <c r="D320" i="1"/>
  <c r="F320" i="1"/>
  <c r="H320" i="1" s="1"/>
  <c r="G320" i="1"/>
  <c r="D321" i="1"/>
  <c r="F321" i="1"/>
  <c r="G321" i="1"/>
  <c r="D322" i="1"/>
  <c r="F322" i="1"/>
  <c r="G322" i="1"/>
  <c r="D323" i="1"/>
  <c r="F323" i="1"/>
  <c r="G323" i="1"/>
  <c r="D324" i="1"/>
  <c r="F324" i="1"/>
  <c r="H324" i="1" s="1"/>
  <c r="G324" i="1"/>
  <c r="D325" i="1"/>
  <c r="F325" i="1"/>
  <c r="G325" i="1"/>
  <c r="D326" i="1"/>
  <c r="F326" i="1"/>
  <c r="G326" i="1"/>
  <c r="D327" i="1"/>
  <c r="F327" i="1"/>
  <c r="G327" i="1"/>
  <c r="D328" i="1"/>
  <c r="F328" i="1"/>
  <c r="H328" i="1" s="1"/>
  <c r="G328" i="1"/>
  <c r="D329" i="1"/>
  <c r="F329" i="1"/>
  <c r="G329" i="1"/>
  <c r="D330" i="1"/>
  <c r="F330" i="1"/>
  <c r="G330" i="1"/>
  <c r="D331" i="1"/>
  <c r="F331" i="1"/>
  <c r="G331" i="1"/>
  <c r="D332" i="1"/>
  <c r="F332" i="1"/>
  <c r="H332" i="1" s="1"/>
  <c r="G332" i="1"/>
  <c r="D333" i="1"/>
  <c r="F333" i="1"/>
  <c r="G333" i="1"/>
  <c r="D334" i="1"/>
  <c r="F334" i="1"/>
  <c r="G334" i="1"/>
  <c r="D335" i="1"/>
  <c r="F335" i="1"/>
  <c r="G335" i="1"/>
  <c r="D336" i="1"/>
  <c r="F336" i="1"/>
  <c r="H336" i="1" s="1"/>
  <c r="G336" i="1"/>
  <c r="D337" i="1"/>
  <c r="F337" i="1"/>
  <c r="G337" i="1"/>
  <c r="D338" i="1"/>
  <c r="F338" i="1"/>
  <c r="G338" i="1"/>
  <c r="D339" i="1"/>
  <c r="F339" i="1"/>
  <c r="G339" i="1"/>
  <c r="D340" i="1"/>
  <c r="F340" i="1"/>
  <c r="H340" i="1" s="1"/>
  <c r="G340" i="1"/>
  <c r="D341" i="1"/>
  <c r="F341" i="1"/>
  <c r="G341" i="1"/>
  <c r="D342" i="1"/>
  <c r="F342" i="1"/>
  <c r="G342" i="1"/>
  <c r="D343" i="1"/>
  <c r="F343" i="1"/>
  <c r="H343" i="1" s="1"/>
  <c r="G343" i="1"/>
  <c r="D344" i="1"/>
  <c r="F344" i="1"/>
  <c r="H344" i="1" s="1"/>
  <c r="G344" i="1"/>
  <c r="D345" i="1"/>
  <c r="F345" i="1"/>
  <c r="G345" i="1"/>
  <c r="D346" i="1"/>
  <c r="F346" i="1"/>
  <c r="G346" i="1"/>
  <c r="D347" i="1"/>
  <c r="F347" i="1"/>
  <c r="G347" i="1"/>
  <c r="D348" i="1"/>
  <c r="F348" i="1"/>
  <c r="H348" i="1" s="1"/>
  <c r="G348" i="1"/>
  <c r="D349" i="1"/>
  <c r="F349" i="1"/>
  <c r="G349" i="1"/>
  <c r="D350" i="1"/>
  <c r="F350" i="1"/>
  <c r="G350" i="1"/>
  <c r="D351" i="1"/>
  <c r="F351" i="1"/>
  <c r="G351" i="1"/>
  <c r="D352" i="1"/>
  <c r="F352" i="1"/>
  <c r="H352" i="1" s="1"/>
  <c r="G352" i="1"/>
  <c r="D353" i="1"/>
  <c r="F353" i="1"/>
  <c r="G353" i="1"/>
  <c r="D354" i="1"/>
  <c r="F354" i="1"/>
  <c r="G354" i="1"/>
  <c r="D355" i="1"/>
  <c r="F355" i="1"/>
  <c r="H355" i="1" s="1"/>
  <c r="G355" i="1"/>
  <c r="D356" i="1"/>
  <c r="F356" i="1"/>
  <c r="H356" i="1" s="1"/>
  <c r="G356" i="1"/>
  <c r="D357" i="1"/>
  <c r="F357" i="1"/>
  <c r="G357" i="1"/>
  <c r="D358" i="1"/>
  <c r="F358" i="1"/>
  <c r="G358" i="1"/>
  <c r="D359" i="1"/>
  <c r="F359" i="1"/>
  <c r="H359" i="1" s="1"/>
  <c r="G359" i="1"/>
  <c r="D360" i="1"/>
  <c r="F360" i="1"/>
  <c r="H360" i="1" s="1"/>
  <c r="G360" i="1"/>
  <c r="D361" i="1"/>
  <c r="F361" i="1"/>
  <c r="G361" i="1"/>
  <c r="D362" i="1"/>
  <c r="F362" i="1"/>
  <c r="G362" i="1"/>
  <c r="D363" i="1"/>
  <c r="F363" i="1"/>
  <c r="H363" i="1" s="1"/>
  <c r="G363" i="1"/>
  <c r="D364" i="1"/>
  <c r="F364" i="1"/>
  <c r="H364" i="1" s="1"/>
  <c r="G364" i="1"/>
  <c r="D210" i="1"/>
  <c r="F210" i="1"/>
  <c r="G210" i="1"/>
  <c r="D211" i="1"/>
  <c r="F211" i="1"/>
  <c r="G211" i="1"/>
  <c r="D212" i="1"/>
  <c r="F212" i="1"/>
  <c r="G212" i="1"/>
  <c r="D213" i="1"/>
  <c r="F213" i="1"/>
  <c r="H213" i="1" s="1"/>
  <c r="G213" i="1"/>
  <c r="D214" i="1"/>
  <c r="F214" i="1"/>
  <c r="G214" i="1"/>
  <c r="D215" i="1"/>
  <c r="F215" i="1"/>
  <c r="G215" i="1"/>
  <c r="D216" i="1"/>
  <c r="F216" i="1"/>
  <c r="G216" i="1"/>
  <c r="D217" i="1"/>
  <c r="F217" i="1"/>
  <c r="H217" i="1" s="1"/>
  <c r="G217" i="1"/>
  <c r="D218" i="1"/>
  <c r="F218" i="1"/>
  <c r="G218" i="1"/>
  <c r="D219" i="1"/>
  <c r="F219" i="1"/>
  <c r="G219" i="1"/>
  <c r="D220" i="1"/>
  <c r="F220" i="1"/>
  <c r="G220" i="1"/>
  <c r="D221" i="1"/>
  <c r="F221" i="1"/>
  <c r="H221" i="1" s="1"/>
  <c r="G221" i="1"/>
  <c r="D222" i="1"/>
  <c r="F222" i="1"/>
  <c r="G222" i="1"/>
  <c r="D223" i="1"/>
  <c r="F223" i="1"/>
  <c r="G223" i="1"/>
  <c r="D224" i="1"/>
  <c r="F224" i="1"/>
  <c r="G224" i="1"/>
  <c r="D225" i="1"/>
  <c r="F225" i="1"/>
  <c r="H225" i="1" s="1"/>
  <c r="G225" i="1"/>
  <c r="D226" i="1"/>
  <c r="F226" i="1"/>
  <c r="G226" i="1"/>
  <c r="D227" i="1"/>
  <c r="F227" i="1"/>
  <c r="G227" i="1"/>
  <c r="D228" i="1"/>
  <c r="F228" i="1"/>
  <c r="H228" i="1" s="1"/>
  <c r="G228" i="1"/>
  <c r="D229" i="1"/>
  <c r="F229" i="1"/>
  <c r="H229" i="1" s="1"/>
  <c r="G229" i="1"/>
  <c r="D230" i="1"/>
  <c r="F230" i="1"/>
  <c r="G230" i="1"/>
  <c r="D231" i="1"/>
  <c r="F231" i="1"/>
  <c r="G231" i="1"/>
  <c r="D232" i="1"/>
  <c r="F232" i="1"/>
  <c r="G232" i="1"/>
  <c r="D233" i="1"/>
  <c r="F233" i="1"/>
  <c r="H233" i="1" s="1"/>
  <c r="G233" i="1"/>
  <c r="D234" i="1"/>
  <c r="F234" i="1"/>
  <c r="G234" i="1"/>
  <c r="D235" i="1"/>
  <c r="F235" i="1"/>
  <c r="G235" i="1"/>
  <c r="D236" i="1"/>
  <c r="F236" i="1"/>
  <c r="G236" i="1"/>
  <c r="D237" i="1"/>
  <c r="F237" i="1"/>
  <c r="H237" i="1" s="1"/>
  <c r="G237" i="1"/>
  <c r="D238" i="1"/>
  <c r="F238" i="1"/>
  <c r="G238" i="1"/>
  <c r="D239" i="1"/>
  <c r="F239" i="1"/>
  <c r="G239" i="1"/>
  <c r="D240" i="1"/>
  <c r="F240" i="1"/>
  <c r="G240" i="1"/>
  <c r="D241" i="1"/>
  <c r="F241" i="1"/>
  <c r="H241" i="1" s="1"/>
  <c r="G241" i="1"/>
  <c r="D242" i="1"/>
  <c r="F242" i="1"/>
  <c r="H242" i="1" s="1"/>
  <c r="G242" i="1"/>
  <c r="D243" i="1"/>
  <c r="F243" i="1"/>
  <c r="H243" i="1" s="1"/>
  <c r="G243" i="1"/>
  <c r="D244" i="1"/>
  <c r="F244" i="1"/>
  <c r="G244" i="1"/>
  <c r="H244" i="1" s="1"/>
  <c r="D245" i="1"/>
  <c r="F245" i="1"/>
  <c r="G245" i="1"/>
  <c r="H245" i="1" s="1"/>
  <c r="D246" i="1"/>
  <c r="F246" i="1"/>
  <c r="G246" i="1"/>
  <c r="H246" i="1" s="1"/>
  <c r="D247" i="1"/>
  <c r="F247" i="1"/>
  <c r="G247" i="1"/>
  <c r="D248" i="1"/>
  <c r="F248" i="1"/>
  <c r="G248" i="1"/>
  <c r="H248" i="1" s="1"/>
  <c r="D249" i="1"/>
  <c r="F249" i="1"/>
  <c r="G249" i="1"/>
  <c r="H249" i="1" s="1"/>
  <c r="D250" i="1"/>
  <c r="F250" i="1"/>
  <c r="G250" i="1"/>
  <c r="H250" i="1" s="1"/>
  <c r="D251" i="1"/>
  <c r="F251" i="1"/>
  <c r="G251" i="1"/>
  <c r="D252" i="1"/>
  <c r="F252" i="1"/>
  <c r="G252" i="1"/>
  <c r="H252" i="1" s="1"/>
  <c r="D253" i="1"/>
  <c r="F253" i="1"/>
  <c r="G253" i="1"/>
  <c r="H253" i="1" s="1"/>
  <c r="D254" i="1"/>
  <c r="F254" i="1"/>
  <c r="G254" i="1"/>
  <c r="H254" i="1" s="1"/>
  <c r="D255" i="1"/>
  <c r="F255" i="1"/>
  <c r="G255" i="1"/>
  <c r="D256" i="1"/>
  <c r="F256" i="1"/>
  <c r="G256" i="1"/>
  <c r="H256" i="1" s="1"/>
  <c r="D257" i="1"/>
  <c r="F257" i="1"/>
  <c r="G257" i="1"/>
  <c r="H257" i="1" s="1"/>
  <c r="D258" i="1"/>
  <c r="F258" i="1"/>
  <c r="G258" i="1"/>
  <c r="H258" i="1" s="1"/>
  <c r="D259" i="1"/>
  <c r="F259" i="1"/>
  <c r="G259" i="1"/>
  <c r="D260" i="1"/>
  <c r="F260" i="1"/>
  <c r="G260" i="1"/>
  <c r="H260" i="1" s="1"/>
  <c r="D261" i="1"/>
  <c r="F261" i="1"/>
  <c r="G261" i="1"/>
  <c r="H261" i="1" s="1"/>
  <c r="D262" i="1"/>
  <c r="F262" i="1"/>
  <c r="G262" i="1"/>
  <c r="H262" i="1" s="1"/>
  <c r="D263" i="1"/>
  <c r="F263" i="1"/>
  <c r="G263" i="1"/>
  <c r="D264" i="1"/>
  <c r="F264" i="1"/>
  <c r="G264" i="1"/>
  <c r="H264" i="1" s="1"/>
  <c r="D265" i="1"/>
  <c r="F265" i="1"/>
  <c r="G265" i="1"/>
  <c r="H265" i="1" s="1"/>
  <c r="D266" i="1"/>
  <c r="F266" i="1"/>
  <c r="G266" i="1"/>
  <c r="H266" i="1" s="1"/>
  <c r="D267" i="1"/>
  <c r="F267" i="1"/>
  <c r="G267" i="1"/>
  <c r="D268" i="1"/>
  <c r="F268" i="1"/>
  <c r="G268" i="1"/>
  <c r="H268" i="1" s="1"/>
  <c r="D269" i="1"/>
  <c r="F269" i="1"/>
  <c r="G269" i="1"/>
  <c r="H269" i="1" s="1"/>
  <c r="D270" i="1"/>
  <c r="F270" i="1"/>
  <c r="G270" i="1"/>
  <c r="H270" i="1" s="1"/>
  <c r="D271" i="1"/>
  <c r="F271" i="1"/>
  <c r="G271" i="1"/>
  <c r="D272" i="1"/>
  <c r="F272" i="1"/>
  <c r="G272" i="1"/>
  <c r="H272" i="1" s="1"/>
  <c r="D273" i="1"/>
  <c r="F273" i="1"/>
  <c r="G273" i="1"/>
  <c r="H273" i="1" s="1"/>
  <c r="D274" i="1"/>
  <c r="F274" i="1"/>
  <c r="G274" i="1"/>
  <c r="H274" i="1" s="1"/>
  <c r="D275" i="1"/>
  <c r="F275" i="1"/>
  <c r="G275" i="1"/>
  <c r="D276" i="1"/>
  <c r="F276" i="1"/>
  <c r="G276" i="1"/>
  <c r="H276" i="1" s="1"/>
  <c r="D277" i="1"/>
  <c r="F277" i="1"/>
  <c r="G277" i="1"/>
  <c r="H277" i="1" s="1"/>
  <c r="D278" i="1"/>
  <c r="F278" i="1"/>
  <c r="G278" i="1"/>
  <c r="H278" i="1" s="1"/>
  <c r="D279" i="1"/>
  <c r="F279" i="1"/>
  <c r="G279" i="1"/>
  <c r="D280" i="1"/>
  <c r="F280" i="1"/>
  <c r="G280" i="1"/>
  <c r="H280" i="1" s="1"/>
  <c r="D281" i="1"/>
  <c r="F281" i="1"/>
  <c r="G281" i="1"/>
  <c r="H281" i="1" s="1"/>
  <c r="D282" i="1"/>
  <c r="F282" i="1"/>
  <c r="G282" i="1"/>
  <c r="H282" i="1" s="1"/>
  <c r="D283" i="1"/>
  <c r="F283" i="1"/>
  <c r="G283" i="1"/>
  <c r="D284" i="1"/>
  <c r="F284" i="1"/>
  <c r="G284" i="1"/>
  <c r="H284" i="1" s="1"/>
  <c r="D285" i="1"/>
  <c r="F285" i="1"/>
  <c r="G285" i="1"/>
  <c r="H285" i="1" s="1"/>
  <c r="D286" i="1"/>
  <c r="F286" i="1"/>
  <c r="G286" i="1"/>
  <c r="D287" i="1"/>
  <c r="F287" i="1"/>
  <c r="G287" i="1"/>
  <c r="D288" i="1"/>
  <c r="F288" i="1"/>
  <c r="G288" i="1"/>
  <c r="H288" i="1" s="1"/>
  <c r="D289" i="1"/>
  <c r="F289" i="1"/>
  <c r="G289" i="1"/>
  <c r="H289" i="1" s="1"/>
  <c r="D290" i="1"/>
  <c r="F290" i="1"/>
  <c r="G290" i="1"/>
  <c r="H290" i="1" s="1"/>
  <c r="D291" i="1"/>
  <c r="F291" i="1"/>
  <c r="G291" i="1"/>
  <c r="D292" i="1"/>
  <c r="F292" i="1"/>
  <c r="G292" i="1"/>
  <c r="H292" i="1" s="1"/>
  <c r="D293" i="1"/>
  <c r="F293" i="1"/>
  <c r="G293" i="1"/>
  <c r="H293" i="1" s="1"/>
  <c r="D294" i="1"/>
  <c r="F294" i="1"/>
  <c r="G294" i="1"/>
  <c r="H294" i="1" s="1"/>
  <c r="D295" i="1"/>
  <c r="F295" i="1"/>
  <c r="G295" i="1"/>
  <c r="D296" i="1"/>
  <c r="F296" i="1"/>
  <c r="G296" i="1"/>
  <c r="H296" i="1" s="1"/>
  <c r="D297" i="1"/>
  <c r="F297" i="1"/>
  <c r="G297" i="1"/>
  <c r="H297" i="1" s="1"/>
  <c r="D298" i="1"/>
  <c r="F298" i="1"/>
  <c r="G298" i="1"/>
  <c r="H298" i="1" s="1"/>
  <c r="D299" i="1"/>
  <c r="F299" i="1"/>
  <c r="G299" i="1"/>
  <c r="D300" i="1"/>
  <c r="F300" i="1"/>
  <c r="G300" i="1"/>
  <c r="H300" i="1" s="1"/>
  <c r="D301" i="1"/>
  <c r="F301" i="1"/>
  <c r="G301" i="1"/>
  <c r="H301" i="1" s="1"/>
  <c r="D302" i="1"/>
  <c r="F302" i="1"/>
  <c r="G302" i="1"/>
  <c r="D303" i="1"/>
  <c r="F303" i="1"/>
  <c r="G303" i="1"/>
  <c r="D304" i="1"/>
  <c r="F304" i="1"/>
  <c r="G304" i="1"/>
  <c r="H304" i="1" s="1"/>
  <c r="D305" i="1"/>
  <c r="F305" i="1"/>
  <c r="G305" i="1"/>
  <c r="H305" i="1" s="1"/>
  <c r="D306" i="1"/>
  <c r="F306" i="1"/>
  <c r="G306" i="1"/>
  <c r="H306" i="1" s="1"/>
  <c r="D307" i="1"/>
  <c r="F307" i="1"/>
  <c r="G307" i="1"/>
  <c r="D308" i="1"/>
  <c r="F308" i="1"/>
  <c r="G308" i="1"/>
  <c r="H308" i="1" s="1"/>
  <c r="D309" i="1"/>
  <c r="F309" i="1"/>
  <c r="G309" i="1"/>
  <c r="H309" i="1" s="1"/>
  <c r="D310" i="1"/>
  <c r="F310" i="1"/>
  <c r="G310" i="1"/>
  <c r="H310" i="1" s="1"/>
  <c r="D311" i="1"/>
  <c r="F311" i="1"/>
  <c r="G311" i="1"/>
  <c r="D151" i="1"/>
  <c r="F151" i="1"/>
  <c r="G151" i="1"/>
  <c r="D152" i="1"/>
  <c r="F152" i="1"/>
  <c r="G152" i="1"/>
  <c r="H152" i="1"/>
  <c r="D153" i="1"/>
  <c r="F153" i="1"/>
  <c r="G153" i="1"/>
  <c r="H153" i="1"/>
  <c r="D154" i="1"/>
  <c r="F154" i="1"/>
  <c r="G154" i="1"/>
  <c r="H154" i="1"/>
  <c r="D155" i="1"/>
  <c r="F155" i="1"/>
  <c r="G155" i="1"/>
  <c r="H155" i="1"/>
  <c r="D156" i="1"/>
  <c r="F156" i="1"/>
  <c r="G156" i="1"/>
  <c r="H156" i="1"/>
  <c r="D157" i="1"/>
  <c r="F157" i="1"/>
  <c r="G157" i="1"/>
  <c r="H157" i="1"/>
  <c r="D158" i="1"/>
  <c r="F158" i="1"/>
  <c r="G158" i="1"/>
  <c r="H158" i="1"/>
  <c r="D159" i="1"/>
  <c r="F159" i="1"/>
  <c r="G159" i="1"/>
  <c r="H159" i="1"/>
  <c r="D160" i="1"/>
  <c r="F160" i="1"/>
  <c r="G160" i="1"/>
  <c r="H160" i="1"/>
  <c r="D161" i="1"/>
  <c r="F161" i="1"/>
  <c r="G161" i="1"/>
  <c r="H161" i="1"/>
  <c r="D162" i="1"/>
  <c r="F162" i="1"/>
  <c r="G162" i="1"/>
  <c r="H162" i="1"/>
  <c r="D163" i="1"/>
  <c r="F163" i="1"/>
  <c r="G163" i="1"/>
  <c r="H163" i="1"/>
  <c r="D164" i="1"/>
  <c r="F164" i="1"/>
  <c r="G164" i="1"/>
  <c r="H164" i="1"/>
  <c r="D165" i="1"/>
  <c r="F165" i="1"/>
  <c r="G165" i="1"/>
  <c r="H165" i="1"/>
  <c r="D166" i="1"/>
  <c r="F166" i="1"/>
  <c r="G166" i="1"/>
  <c r="H166" i="1"/>
  <c r="D167" i="1"/>
  <c r="F167" i="1"/>
  <c r="G167" i="1"/>
  <c r="H167" i="1"/>
  <c r="D168" i="1"/>
  <c r="F168" i="1"/>
  <c r="G168" i="1"/>
  <c r="H168" i="1"/>
  <c r="D169" i="1"/>
  <c r="F169" i="1"/>
  <c r="G169" i="1"/>
  <c r="H169" i="1"/>
  <c r="D170" i="1"/>
  <c r="F170" i="1"/>
  <c r="G170" i="1"/>
  <c r="H170" i="1"/>
  <c r="D171" i="1"/>
  <c r="F171" i="1"/>
  <c r="G171" i="1"/>
  <c r="H171" i="1"/>
  <c r="D172" i="1"/>
  <c r="F172" i="1"/>
  <c r="G172" i="1"/>
  <c r="H172" i="1"/>
  <c r="D173" i="1"/>
  <c r="F173" i="1"/>
  <c r="G173" i="1"/>
  <c r="H173" i="1"/>
  <c r="D174" i="1"/>
  <c r="F174" i="1"/>
  <c r="G174" i="1"/>
  <c r="H174" i="1"/>
  <c r="D175" i="1"/>
  <c r="F175" i="1"/>
  <c r="G175" i="1"/>
  <c r="H175" i="1"/>
  <c r="D176" i="1"/>
  <c r="F176" i="1"/>
  <c r="G176" i="1"/>
  <c r="H176" i="1"/>
  <c r="D177" i="1"/>
  <c r="F177" i="1"/>
  <c r="G177" i="1"/>
  <c r="H177" i="1"/>
  <c r="D178" i="1"/>
  <c r="F178" i="1"/>
  <c r="G178" i="1"/>
  <c r="H178" i="1"/>
  <c r="D179" i="1"/>
  <c r="F179" i="1"/>
  <c r="G179" i="1"/>
  <c r="H179" i="1"/>
  <c r="D180" i="1"/>
  <c r="F180" i="1"/>
  <c r="G180" i="1"/>
  <c r="H180" i="1"/>
  <c r="D181" i="1"/>
  <c r="F181" i="1"/>
  <c r="G181" i="1"/>
  <c r="H181" i="1"/>
  <c r="D182" i="1"/>
  <c r="F182" i="1"/>
  <c r="G182" i="1"/>
  <c r="H182" i="1"/>
  <c r="D183" i="1"/>
  <c r="F183" i="1"/>
  <c r="G183" i="1"/>
  <c r="H183" i="1"/>
  <c r="D184" i="1"/>
  <c r="F184" i="1"/>
  <c r="G184" i="1"/>
  <c r="H184" i="1"/>
  <c r="D185" i="1"/>
  <c r="F185" i="1"/>
  <c r="G185" i="1"/>
  <c r="H185" i="1"/>
  <c r="D186" i="1"/>
  <c r="F186" i="1"/>
  <c r="G186" i="1"/>
  <c r="H186" i="1"/>
  <c r="D187" i="1"/>
  <c r="F187" i="1"/>
  <c r="G187" i="1"/>
  <c r="H187" i="1"/>
  <c r="D188" i="1"/>
  <c r="F188" i="1"/>
  <c r="G188" i="1"/>
  <c r="H188" i="1"/>
  <c r="D189" i="1"/>
  <c r="F189" i="1"/>
  <c r="G189" i="1"/>
  <c r="H189" i="1"/>
  <c r="D190" i="1"/>
  <c r="F190" i="1"/>
  <c r="G190" i="1"/>
  <c r="H190" i="1"/>
  <c r="D191" i="1"/>
  <c r="F191" i="1"/>
  <c r="G191" i="1"/>
  <c r="H191" i="1"/>
  <c r="D192" i="1"/>
  <c r="F192" i="1"/>
  <c r="G192" i="1"/>
  <c r="H192" i="1"/>
  <c r="D193" i="1"/>
  <c r="F193" i="1"/>
  <c r="G193" i="1"/>
  <c r="H193" i="1"/>
  <c r="D194" i="1"/>
  <c r="F194" i="1"/>
  <c r="G194" i="1"/>
  <c r="H194" i="1"/>
  <c r="D195" i="1"/>
  <c r="F195" i="1"/>
  <c r="G195" i="1"/>
  <c r="H195" i="1"/>
  <c r="D196" i="1"/>
  <c r="F196" i="1"/>
  <c r="G196" i="1"/>
  <c r="H196" i="1"/>
  <c r="D197" i="1"/>
  <c r="F197" i="1"/>
  <c r="G197" i="1"/>
  <c r="H197" i="1"/>
  <c r="D198" i="1"/>
  <c r="F198" i="1"/>
  <c r="G198" i="1"/>
  <c r="H198" i="1"/>
  <c r="D199" i="1"/>
  <c r="F199" i="1"/>
  <c r="G199" i="1"/>
  <c r="H199" i="1"/>
  <c r="D200" i="1"/>
  <c r="F200" i="1"/>
  <c r="G200" i="1"/>
  <c r="H200" i="1"/>
  <c r="D201" i="1"/>
  <c r="F201" i="1"/>
  <c r="G201" i="1"/>
  <c r="H201" i="1"/>
  <c r="D202" i="1"/>
  <c r="F202" i="1"/>
  <c r="G202" i="1"/>
  <c r="H202" i="1"/>
  <c r="D203" i="1"/>
  <c r="F203" i="1"/>
  <c r="G203" i="1"/>
  <c r="H203" i="1"/>
  <c r="D204" i="1"/>
  <c r="F204" i="1"/>
  <c r="G204" i="1"/>
  <c r="H204" i="1"/>
  <c r="D205" i="1"/>
  <c r="F205" i="1"/>
  <c r="G205" i="1"/>
  <c r="H205" i="1"/>
  <c r="D206" i="1"/>
  <c r="F206" i="1"/>
  <c r="G206" i="1"/>
  <c r="H206" i="1"/>
  <c r="D207" i="1"/>
  <c r="F207" i="1"/>
  <c r="G207" i="1"/>
  <c r="H207" i="1"/>
  <c r="D208" i="1"/>
  <c r="F208" i="1"/>
  <c r="G208" i="1"/>
  <c r="H208" i="1"/>
  <c r="D209" i="1"/>
  <c r="F209" i="1"/>
  <c r="G209" i="1"/>
  <c r="H209" i="1"/>
  <c r="G150" i="1"/>
  <c r="F150" i="1"/>
  <c r="D150" i="1"/>
  <c r="H238" i="1" l="1"/>
  <c r="H234" i="1"/>
  <c r="H230" i="1"/>
  <c r="H226" i="1"/>
  <c r="H222" i="1"/>
  <c r="H218" i="1"/>
  <c r="H214" i="1"/>
  <c r="H210" i="1"/>
  <c r="H361" i="1"/>
  <c r="H349" i="1"/>
  <c r="H345" i="1"/>
  <c r="H341" i="1"/>
  <c r="H317" i="1"/>
  <c r="H302" i="1"/>
  <c r="H286" i="1"/>
  <c r="H239" i="1"/>
  <c r="H235" i="1"/>
  <c r="H231" i="1"/>
  <c r="H227" i="1"/>
  <c r="H223" i="1"/>
  <c r="H219" i="1"/>
  <c r="H215" i="1"/>
  <c r="H211" i="1"/>
  <c r="H362" i="1"/>
  <c r="H358" i="1"/>
  <c r="H354" i="1"/>
  <c r="H350" i="1"/>
  <c r="H346" i="1"/>
  <c r="H342" i="1"/>
  <c r="H338" i="1"/>
  <c r="H334" i="1"/>
  <c r="H330" i="1"/>
  <c r="H326" i="1"/>
  <c r="H322" i="1"/>
  <c r="H318" i="1"/>
  <c r="H314" i="1"/>
  <c r="H357" i="1"/>
  <c r="H353" i="1"/>
  <c r="H337" i="1"/>
  <c r="H333" i="1"/>
  <c r="H329" i="1"/>
  <c r="H325" i="1"/>
  <c r="H321" i="1"/>
  <c r="H313" i="1"/>
  <c r="H311" i="1"/>
  <c r="H307" i="1"/>
  <c r="H303" i="1"/>
  <c r="H299" i="1"/>
  <c r="H295" i="1"/>
  <c r="H291" i="1"/>
  <c r="H287" i="1"/>
  <c r="H283" i="1"/>
  <c r="H279" i="1"/>
  <c r="H275" i="1"/>
  <c r="H271" i="1"/>
  <c r="H267" i="1"/>
  <c r="H263" i="1"/>
  <c r="H259" i="1"/>
  <c r="H255" i="1"/>
  <c r="H251" i="1"/>
  <c r="H247" i="1"/>
  <c r="H240" i="1"/>
  <c r="H236" i="1"/>
  <c r="H232" i="1"/>
  <c r="H224" i="1"/>
  <c r="H220" i="1"/>
  <c r="H216" i="1"/>
  <c r="H212" i="1"/>
  <c r="H351" i="1"/>
  <c r="H347" i="1"/>
  <c r="H339" i="1"/>
  <c r="H335" i="1"/>
  <c r="H331" i="1"/>
  <c r="H327" i="1"/>
  <c r="H323" i="1"/>
  <c r="H319" i="1"/>
  <c r="H315" i="1"/>
  <c r="H151" i="1"/>
  <c r="H150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21" i="1" l="1"/>
  <c r="F414" i="1" s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G124" i="1"/>
  <c r="F125" i="1"/>
  <c r="G125" i="1"/>
  <c r="F126" i="1"/>
  <c r="G126" i="1"/>
  <c r="F127" i="1"/>
  <c r="G127" i="1"/>
  <c r="F128" i="1"/>
  <c r="G128" i="1"/>
  <c r="F129" i="1"/>
  <c r="G129" i="1"/>
  <c r="F130" i="1"/>
  <c r="G130" i="1"/>
  <c r="F131" i="1"/>
  <c r="G131" i="1"/>
  <c r="F132" i="1"/>
  <c r="G132" i="1"/>
  <c r="F133" i="1"/>
  <c r="G133" i="1"/>
  <c r="F134" i="1"/>
  <c r="G134" i="1"/>
  <c r="F135" i="1"/>
  <c r="G135" i="1"/>
  <c r="F136" i="1"/>
  <c r="G136" i="1"/>
  <c r="F137" i="1"/>
  <c r="G137" i="1"/>
  <c r="H136" i="1" l="1"/>
  <c r="H134" i="1"/>
  <c r="H132" i="1"/>
  <c r="H130" i="1"/>
  <c r="H128" i="1"/>
  <c r="H126" i="1"/>
  <c r="H124" i="1"/>
  <c r="H122" i="1"/>
  <c r="H120" i="1"/>
  <c r="H118" i="1"/>
  <c r="H114" i="1"/>
  <c r="H112" i="1"/>
  <c r="H110" i="1"/>
  <c r="H108" i="1"/>
  <c r="H92" i="1"/>
  <c r="H90" i="1"/>
  <c r="H88" i="1"/>
  <c r="H86" i="1"/>
  <c r="H84" i="1"/>
  <c r="H82" i="1"/>
  <c r="H80" i="1"/>
  <c r="H76" i="1"/>
  <c r="H74" i="1"/>
  <c r="H72" i="1"/>
  <c r="H70" i="1"/>
  <c r="H64" i="1"/>
  <c r="H62" i="1"/>
  <c r="H60" i="1"/>
  <c r="H58" i="1"/>
  <c r="H56" i="1"/>
  <c r="H54" i="1"/>
  <c r="H52" i="1"/>
  <c r="H50" i="1"/>
  <c r="H48" i="1"/>
  <c r="H46" i="1"/>
  <c r="H44" i="1"/>
  <c r="H40" i="1"/>
  <c r="H38" i="1"/>
  <c r="H36" i="1"/>
  <c r="H34" i="1"/>
  <c r="H32" i="1"/>
  <c r="H30" i="1"/>
  <c r="H28" i="1"/>
  <c r="H26" i="1"/>
  <c r="H24" i="1"/>
  <c r="H22" i="1"/>
  <c r="H137" i="1"/>
  <c r="H135" i="1"/>
  <c r="H133" i="1"/>
  <c r="H131" i="1"/>
  <c r="H129" i="1"/>
  <c r="H127" i="1"/>
  <c r="H125" i="1"/>
  <c r="H123" i="1"/>
  <c r="H121" i="1"/>
  <c r="H119" i="1"/>
  <c r="H117" i="1"/>
  <c r="H116" i="1"/>
  <c r="H115" i="1"/>
  <c r="H113" i="1"/>
  <c r="H111" i="1"/>
  <c r="H109" i="1"/>
  <c r="H107" i="1"/>
  <c r="H106" i="1"/>
  <c r="H104" i="1"/>
  <c r="H100" i="1"/>
  <c r="H94" i="1"/>
  <c r="H102" i="1"/>
  <c r="H98" i="1"/>
  <c r="H96" i="1"/>
  <c r="H105" i="1"/>
  <c r="H103" i="1"/>
  <c r="H101" i="1"/>
  <c r="H99" i="1"/>
  <c r="H97" i="1"/>
  <c r="H95" i="1"/>
  <c r="H93" i="1"/>
  <c r="H91" i="1"/>
  <c r="H89" i="1"/>
  <c r="H87" i="1"/>
  <c r="H85" i="1"/>
  <c r="H83" i="1"/>
  <c r="H81" i="1"/>
  <c r="H79" i="1"/>
  <c r="H78" i="1"/>
  <c r="H77" i="1"/>
  <c r="H75" i="1"/>
  <c r="H73" i="1"/>
  <c r="H71" i="1"/>
  <c r="H69" i="1"/>
  <c r="H68" i="1"/>
  <c r="H66" i="1"/>
  <c r="H67" i="1"/>
  <c r="H65" i="1"/>
  <c r="H63" i="1"/>
  <c r="H61" i="1"/>
  <c r="H59" i="1"/>
  <c r="H57" i="1"/>
  <c r="H55" i="1"/>
  <c r="H53" i="1"/>
  <c r="H51" i="1"/>
  <c r="H49" i="1"/>
  <c r="H47" i="1"/>
  <c r="H45" i="1"/>
  <c r="H43" i="1"/>
  <c r="H42" i="1"/>
  <c r="H41" i="1"/>
  <c r="H39" i="1"/>
  <c r="H37" i="1"/>
  <c r="H35" i="1"/>
  <c r="H33" i="1"/>
  <c r="H31" i="1"/>
  <c r="H29" i="1"/>
  <c r="H27" i="1"/>
  <c r="H25" i="1"/>
  <c r="H23" i="1"/>
  <c r="H21" i="1"/>
  <c r="B10" i="1"/>
  <c r="F415" i="1" l="1"/>
</calcChain>
</file>

<file path=xl/sharedStrings.xml><?xml version="1.0" encoding="utf-8"?>
<sst xmlns="http://schemas.openxmlformats.org/spreadsheetml/2006/main" count="45" uniqueCount="27">
  <si>
    <t>MEASUREMENT SHEET</t>
  </si>
  <si>
    <t xml:space="preserve">B K Exports </t>
  </si>
  <si>
    <t>90, Jasodanagar Cross Road ,Opposite Baroda Expressway Narol-Naroda Highway, Amraiwadi 
Ahmedabad 380026 (Guj) India</t>
  </si>
  <si>
    <t>+91 95376 51265</t>
  </si>
  <si>
    <t>DATE :</t>
  </si>
  <si>
    <t>MEASUREMENT TO</t>
  </si>
  <si>
    <t>FOR</t>
  </si>
  <si>
    <t>GROSS MEASUREMENT</t>
  </si>
  <si>
    <t>NET MEASUREMENT</t>
  </si>
  <si>
    <t>Sr. No.</t>
  </si>
  <si>
    <t>Length</t>
  </si>
  <si>
    <t xml:space="preserve">Height </t>
  </si>
  <si>
    <t>SQM</t>
  </si>
  <si>
    <t xml:space="preserve"> </t>
  </si>
  <si>
    <t>INSIGHTS</t>
  </si>
  <si>
    <t>Total no. slabs</t>
  </si>
  <si>
    <t>Total Gross SQM</t>
  </si>
  <si>
    <t>Total Net SQM</t>
  </si>
  <si>
    <t xml:space="preserve">total </t>
  </si>
  <si>
    <t>total</t>
  </si>
  <si>
    <t>LONG</t>
  </si>
  <si>
    <t>Remarks</t>
  </si>
  <si>
    <t>G20 Long</t>
  </si>
  <si>
    <t xml:space="preserve">G20 Short </t>
  </si>
  <si>
    <t>Short</t>
  </si>
  <si>
    <t>Total Gross</t>
  </si>
  <si>
    <t>Total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</si>
</sst>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2" x14ac:knownFonts="1">
    <font>
      <sz val="11"/>
      <color theme="4"/>
      <name val="Arial"/>
      <scheme val="minor"/>
    </font>
    <font>
      <b/>
      <sz val="11"/>
      <color theme="4"/>
      <name val="Century Gothic"/>
      <family val="2"/>
    </font>
    <font>
      <b/>
      <sz val="16"/>
      <color theme="4"/>
      <name val="Century Gothic"/>
      <family val="2"/>
    </font>
    <font>
      <sz val="11"/>
      <color theme="4"/>
      <name val="Century Gothic"/>
      <family val="2"/>
    </font>
    <font>
      <b/>
      <sz val="22"/>
      <color rgb="FF00B0F0"/>
      <name val="Century Gothic"/>
      <family val="2"/>
    </font>
    <font>
      <sz val="12"/>
      <color theme="4"/>
      <name val="Century Gothic"/>
      <family val="2"/>
    </font>
    <font>
      <sz val="11"/>
      <color rgb="FF615A22"/>
      <name val="Century Gothic"/>
      <family val="2"/>
    </font>
    <font>
      <b/>
      <sz val="12"/>
      <color theme="4"/>
      <name val="Century Gothic"/>
      <family val="2"/>
    </font>
    <font>
      <b/>
      <sz val="11"/>
      <color rgb="FF615A22"/>
      <name val="Century Gothic"/>
      <family val="2"/>
    </font>
    <font>
      <sz val="11"/>
      <color rgb="FF00B0F0"/>
      <name val="Century Gothic"/>
      <family val="2"/>
    </font>
    <font>
      <b/>
      <sz val="16"/>
      <color rgb="FF00B0F0"/>
      <name val="Century Gothic"/>
      <family val="2"/>
    </font>
    <font>
      <sz val="11"/>
      <name val="Arial"/>
      <family val="2"/>
    </font>
    <font>
      <b/>
      <sz val="11"/>
      <color theme="1"/>
      <name val="Century Gothic"/>
      <family val="2"/>
    </font>
    <font>
      <b/>
      <sz val="11"/>
      <color rgb="FF00B050"/>
      <name val="Century Gothic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0B050"/>
      <name val="Century Gothic"/>
      <family val="2"/>
    </font>
    <font>
      <sz val="11"/>
      <color theme="4"/>
      <name val="Arial"/>
      <family val="2"/>
    </font>
    <font>
      <b/>
      <sz val="11"/>
      <color rgb="FF00B0F0"/>
      <name val="Century Gothic"/>
      <family val="2"/>
    </font>
    <font>
      <b/>
      <sz val="11"/>
      <color rgb="FF0070C0"/>
      <name val="Arial"/>
      <family val="2"/>
    </font>
    <font>
      <b/>
      <sz val="15"/>
      <color rgb="FF00B050"/>
      <name val="Century Gothic"/>
      <family val="2"/>
    </font>
    <font>
      <sz val="11"/>
      <color theme="4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7">
    <xf numFmtId="0" fontId="0" fillId="0" borderId="0" xfId="0" applyFont="1" applyAlignment="1">
      <alignment horizontal="left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0" fontId="14" fillId="0" borderId="3" xfId="0" applyFont="1" applyBorder="1" applyAlignment="1">
      <alignment horizontal="center" vertical="center"/>
    </xf>
    <xf numFmtId="2" fontId="14" fillId="0" borderId="3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1" fontId="14" fillId="0" borderId="3" xfId="0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1" fontId="14" fillId="0" borderId="2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2" fontId="18" fillId="0" borderId="2" xfId="0" applyNumberFormat="1" applyFont="1" applyBorder="1" applyAlignment="1">
      <alignment horizontal="left" vertical="center" wrapText="1"/>
    </xf>
    <xf numFmtId="0" fontId="17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1" fontId="14" fillId="0" borderId="1" xfId="0" applyNumberFormat="1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2" fontId="15" fillId="0" borderId="22" xfId="0" applyNumberFormat="1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/>
    </xf>
    <xf numFmtId="2" fontId="14" fillId="0" borderId="23" xfId="0" applyNumberFormat="1" applyFont="1" applyBorder="1" applyAlignment="1">
      <alignment horizontal="center" vertical="center" wrapText="1"/>
    </xf>
    <xf numFmtId="2" fontId="14" fillId="0" borderId="22" xfId="0" applyNumberFormat="1" applyFont="1" applyBorder="1" applyAlignment="1">
      <alignment horizontal="center" vertical="center" wrapText="1"/>
    </xf>
    <xf numFmtId="1" fontId="14" fillId="0" borderId="23" xfId="0" applyNumberFormat="1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4" fillId="0" borderId="22" xfId="0" applyFont="1" applyBorder="1" applyAlignment="1">
      <alignment horizontal="center" vertical="center"/>
    </xf>
    <xf numFmtId="1" fontId="14" fillId="0" borderId="22" xfId="0" applyNumberFormat="1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6" xfId="0" applyFont="1" applyBorder="1" applyAlignment="1">
      <alignment horizontal="left" vertical="center" wrapText="1"/>
    </xf>
    <xf numFmtId="0" fontId="0" fillId="0" borderId="15" xfId="0" applyFont="1" applyBorder="1" applyAlignment="1">
      <alignment horizontal="left" vertical="center" wrapText="1"/>
    </xf>
    <xf numFmtId="1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1" fontId="14" fillId="0" borderId="24" xfId="0" applyNumberFormat="1" applyFont="1" applyBorder="1" applyAlignment="1">
      <alignment horizontal="center" vertical="center" wrapText="1"/>
    </xf>
    <xf numFmtId="1" fontId="14" fillId="0" borderId="26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164" fontId="6" fillId="0" borderId="0" xfId="0" applyNumberFormat="1" applyFont="1" applyAlignment="1">
      <alignment horizontal="left" vertical="center" wrapText="1"/>
    </xf>
    <xf numFmtId="164" fontId="0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133350</xdr:colOff>
      <xdr:row>4</xdr:row>
      <xdr:rowOff>133350</xdr:rowOff>
    </xdr:from>
    <xdr:ext cx="1695450" cy="6858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38575" y="733425"/>
          <a:ext cx="1695450" cy="6858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459CA3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1"/>
  <sheetViews>
    <sheetView tabSelected="1" topLeftCell="A352" zoomScale="115" zoomScaleNormal="115" workbookViewId="0">
      <selection activeCell="M370" sqref="M370"/>
    </sheetView>
  </sheetViews>
  <sheetFormatPr defaultColWidth="12.625" defaultRowHeight="15" customHeight="1" x14ac:dyDescent="0.2"/>
  <cols>
    <col min="1" max="1" width="7.375" style="21" customWidth="1"/>
    <col min="2" max="2" width="10.125" style="21" customWidth="1"/>
    <col min="3" max="3" width="9.75" style="21" customWidth="1"/>
    <col min="4" max="4" width="12.125" style="21" customWidth="1"/>
    <col min="5" max="5" width="9.25" style="21" customWidth="1"/>
    <col min="6" max="6" width="6.75" style="21" customWidth="1"/>
    <col min="7" max="7" width="10.625" style="21" customWidth="1"/>
    <col min="8" max="19" width="8.625" style="21" customWidth="1"/>
    <col min="20" max="16384" width="12.625" style="21"/>
  </cols>
  <sheetData>
    <row r="1" spans="1:8" ht="13.5" customHeight="1" x14ac:dyDescent="0.2">
      <c r="A1" s="91" t="s">
        <v>0</v>
      </c>
      <c r="B1" s="87"/>
      <c r="C1" s="87"/>
      <c r="D1" s="87"/>
      <c r="E1" s="87"/>
      <c r="F1" s="87"/>
      <c r="G1" s="87"/>
      <c r="H1" s="87"/>
    </row>
    <row r="2" spans="1:8" ht="13.5" customHeight="1" x14ac:dyDescent="0.2">
      <c r="A2" s="87"/>
      <c r="B2" s="87"/>
      <c r="C2" s="87"/>
      <c r="D2" s="87"/>
      <c r="E2" s="87"/>
      <c r="F2" s="87"/>
      <c r="G2" s="87"/>
      <c r="H2" s="87"/>
    </row>
    <row r="3" spans="1:8" ht="6" customHeight="1" x14ac:dyDescent="0.2">
      <c r="A3" s="1"/>
      <c r="B3" s="1"/>
      <c r="C3" s="1"/>
      <c r="D3" s="1"/>
      <c r="E3" s="1"/>
      <c r="F3" s="1"/>
      <c r="G3" s="1"/>
      <c r="H3" s="1"/>
    </row>
    <row r="4" spans="1:8" ht="14.25" customHeight="1" x14ac:dyDescent="0.2">
      <c r="A4" s="92" t="s">
        <v>1</v>
      </c>
      <c r="B4" s="87"/>
      <c r="C4" s="87"/>
      <c r="D4" s="87"/>
      <c r="E4" s="87"/>
      <c r="F4" s="2"/>
      <c r="G4" s="2"/>
      <c r="H4" s="2"/>
    </row>
    <row r="5" spans="1:8" ht="14.25" customHeight="1" x14ac:dyDescent="0.2">
      <c r="A5" s="87"/>
      <c r="B5" s="87"/>
      <c r="C5" s="87"/>
      <c r="D5" s="87"/>
      <c r="E5" s="87"/>
      <c r="F5" s="2"/>
      <c r="G5" s="2"/>
      <c r="H5" s="2"/>
    </row>
    <row r="6" spans="1:8" ht="14.25" customHeight="1" x14ac:dyDescent="0.2">
      <c r="A6" s="93" t="s">
        <v>2</v>
      </c>
      <c r="B6" s="87"/>
      <c r="C6" s="87"/>
      <c r="D6" s="87"/>
      <c r="E6" s="87"/>
      <c r="F6" s="2"/>
      <c r="G6" s="2"/>
      <c r="H6" s="2"/>
    </row>
    <row r="7" spans="1:8" ht="14.25" customHeight="1" x14ac:dyDescent="0.2">
      <c r="A7" s="87"/>
      <c r="B7" s="87"/>
      <c r="C7" s="87"/>
      <c r="D7" s="87"/>
      <c r="E7" s="87"/>
      <c r="F7" s="2"/>
      <c r="G7" s="2"/>
      <c r="H7" s="2"/>
    </row>
    <row r="8" spans="1:8" ht="23.25" customHeight="1" x14ac:dyDescent="0.2">
      <c r="A8" s="87"/>
      <c r="B8" s="87"/>
      <c r="C8" s="87"/>
      <c r="D8" s="87"/>
      <c r="E8" s="87"/>
      <c r="F8" s="2"/>
      <c r="G8" s="2"/>
      <c r="H8" s="2"/>
    </row>
    <row r="9" spans="1:8" ht="14.25" customHeight="1" x14ac:dyDescent="0.2">
      <c r="A9" s="94" t="s">
        <v>3</v>
      </c>
      <c r="B9" s="87"/>
      <c r="C9" s="2"/>
      <c r="D9" s="2"/>
      <c r="E9" s="2"/>
      <c r="F9" s="2"/>
      <c r="G9" s="2"/>
      <c r="H9" s="2"/>
    </row>
    <row r="10" spans="1:8" ht="14.25" customHeight="1" x14ac:dyDescent="0.2">
      <c r="A10" s="3" t="s">
        <v>4</v>
      </c>
      <c r="B10" s="95">
        <f ca="1">TODAY()</f>
        <v>46237</v>
      </c>
      <c r="C10" s="96"/>
      <c r="D10" s="2"/>
      <c r="E10" s="2"/>
      <c r="F10" s="2"/>
      <c r="G10" s="2"/>
      <c r="H10" s="2"/>
    </row>
    <row r="11" spans="1:8" ht="14.25" customHeight="1" x14ac:dyDescent="0.2">
      <c r="A11" s="4"/>
      <c r="B11" s="2"/>
      <c r="C11" s="2"/>
      <c r="D11" s="2"/>
      <c r="E11" s="2"/>
      <c r="F11" s="2"/>
      <c r="G11" s="2"/>
      <c r="H11" s="2"/>
    </row>
    <row r="12" spans="1:8" ht="13.5" customHeight="1" x14ac:dyDescent="0.2">
      <c r="A12" s="89" t="s">
        <v>5</v>
      </c>
      <c r="B12" s="87"/>
      <c r="C12" s="87"/>
      <c r="D12" s="2"/>
      <c r="E12" s="2"/>
      <c r="F12" s="90" t="s">
        <v>6</v>
      </c>
      <c r="G12" s="87"/>
      <c r="H12" s="2"/>
    </row>
    <row r="13" spans="1:8" ht="14.25" customHeight="1" x14ac:dyDescent="0.2">
      <c r="A13" s="86"/>
      <c r="B13" s="87"/>
      <c r="C13" s="87"/>
      <c r="D13" s="2"/>
      <c r="E13" s="2"/>
      <c r="F13" s="88" t="s">
        <v>22</v>
      </c>
      <c r="G13" s="88"/>
      <c r="H13" s="88"/>
    </row>
    <row r="14" spans="1:8" ht="14.25" customHeight="1" x14ac:dyDescent="0.2">
      <c r="A14" s="87"/>
      <c r="B14" s="87"/>
      <c r="C14" s="87"/>
      <c r="D14" s="2"/>
      <c r="E14" s="2"/>
      <c r="F14" s="88"/>
      <c r="G14" s="88"/>
      <c r="H14" s="88"/>
    </row>
    <row r="15" spans="1:8" ht="6" customHeight="1" x14ac:dyDescent="0.2">
      <c r="A15" s="5"/>
      <c r="B15" s="6"/>
      <c r="C15" s="6"/>
      <c r="D15" s="6"/>
      <c r="E15" s="6"/>
      <c r="F15" s="6"/>
      <c r="G15" s="6"/>
      <c r="H15" s="6"/>
    </row>
    <row r="16" spans="1:8" ht="14.25" customHeight="1" thickBot="1" x14ac:dyDescent="0.25">
      <c r="A16" s="4"/>
      <c r="B16" s="2"/>
      <c r="C16" s="2"/>
      <c r="D16" s="2"/>
      <c r="E16" s="2"/>
      <c r="F16" s="2"/>
      <c r="G16" s="2"/>
      <c r="H16" s="2"/>
    </row>
    <row r="17" spans="1:9" ht="14.25" customHeight="1" x14ac:dyDescent="0.2">
      <c r="A17" s="72" t="s">
        <v>7</v>
      </c>
      <c r="B17" s="73"/>
      <c r="C17" s="73"/>
      <c r="D17" s="74"/>
      <c r="E17" s="10"/>
      <c r="F17" s="72" t="s">
        <v>8</v>
      </c>
      <c r="G17" s="73"/>
      <c r="H17" s="74"/>
    </row>
    <row r="18" spans="1:9" ht="14.25" customHeight="1" x14ac:dyDescent="0.2">
      <c r="A18" s="75"/>
      <c r="B18" s="76"/>
      <c r="C18" s="76"/>
      <c r="D18" s="77"/>
      <c r="E18" s="11"/>
      <c r="F18" s="78"/>
      <c r="G18" s="76"/>
      <c r="H18" s="77"/>
    </row>
    <row r="19" spans="1:9" ht="14.25" customHeight="1" thickBot="1" x14ac:dyDescent="0.25">
      <c r="A19" s="12"/>
      <c r="B19" s="11"/>
      <c r="C19" s="11"/>
      <c r="D19" s="13"/>
      <c r="E19" s="11"/>
      <c r="F19" s="18"/>
      <c r="G19" s="11"/>
      <c r="H19" s="13"/>
    </row>
    <row r="20" spans="1:9" ht="18" customHeight="1" thickBot="1" x14ac:dyDescent="0.25">
      <c r="A20" s="47" t="s">
        <v>9</v>
      </c>
      <c r="B20" s="19" t="s">
        <v>10</v>
      </c>
      <c r="C20" s="19" t="s">
        <v>11</v>
      </c>
      <c r="D20" s="20" t="s">
        <v>12</v>
      </c>
      <c r="E20" s="17" t="s">
        <v>13</v>
      </c>
      <c r="F20" s="14" t="s">
        <v>10</v>
      </c>
      <c r="G20" s="15" t="s">
        <v>11</v>
      </c>
      <c r="H20" s="16" t="s">
        <v>12</v>
      </c>
      <c r="I20" s="40" t="s">
        <v>21</v>
      </c>
    </row>
    <row r="21" spans="1:9" ht="14.25" customHeight="1" x14ac:dyDescent="0.2">
      <c r="A21" s="48">
        <v>1</v>
      </c>
      <c r="B21" s="48">
        <v>239</v>
      </c>
      <c r="C21" s="48">
        <v>105</v>
      </c>
      <c r="D21" s="23">
        <f t="shared" ref="D21:D86" si="0">B21*C21/10000</f>
        <v>2.5095000000000001</v>
      </c>
      <c r="E21" s="24"/>
      <c r="F21" s="25">
        <f t="shared" ref="F21:G21" si="1">B21-5</f>
        <v>234</v>
      </c>
      <c r="G21" s="25">
        <f t="shared" si="1"/>
        <v>100</v>
      </c>
      <c r="H21" s="23">
        <f t="shared" ref="H21:H86" si="2">F21*G21/10000</f>
        <v>2.34</v>
      </c>
    </row>
    <row r="22" spans="1:9" ht="14.25" customHeight="1" x14ac:dyDescent="0.2">
      <c r="A22" s="22">
        <v>2</v>
      </c>
      <c r="B22" s="48">
        <v>226</v>
      </c>
      <c r="C22" s="48">
        <v>105</v>
      </c>
      <c r="D22" s="23">
        <f t="shared" si="0"/>
        <v>2.3730000000000002</v>
      </c>
      <c r="E22" s="27"/>
      <c r="F22" s="28">
        <f t="shared" ref="F22:G22" si="3">B22-5</f>
        <v>221</v>
      </c>
      <c r="G22" s="28">
        <f t="shared" si="3"/>
        <v>100</v>
      </c>
      <c r="H22" s="23">
        <f t="shared" si="2"/>
        <v>2.21</v>
      </c>
    </row>
    <row r="23" spans="1:9" ht="14.25" customHeight="1" x14ac:dyDescent="0.2">
      <c r="A23" s="22">
        <v>3</v>
      </c>
      <c r="B23" s="48">
        <v>251</v>
      </c>
      <c r="C23" s="48">
        <v>105</v>
      </c>
      <c r="D23" s="23">
        <f t="shared" si="0"/>
        <v>2.6355</v>
      </c>
      <c r="E23" s="27"/>
      <c r="F23" s="28">
        <f t="shared" ref="F23:G23" si="4">B23-5</f>
        <v>246</v>
      </c>
      <c r="G23" s="28">
        <f t="shared" si="4"/>
        <v>100</v>
      </c>
      <c r="H23" s="23">
        <f t="shared" si="2"/>
        <v>2.46</v>
      </c>
    </row>
    <row r="24" spans="1:9" ht="14.25" customHeight="1" x14ac:dyDescent="0.2">
      <c r="A24" s="26">
        <v>4</v>
      </c>
      <c r="B24" s="48">
        <v>272</v>
      </c>
      <c r="C24" s="48">
        <v>105</v>
      </c>
      <c r="D24" s="23">
        <f t="shared" si="0"/>
        <v>2.8559999999999999</v>
      </c>
      <c r="E24" s="27"/>
      <c r="F24" s="28">
        <f t="shared" ref="F24:G24" si="5">B24-5</f>
        <v>267</v>
      </c>
      <c r="G24" s="28">
        <f t="shared" si="5"/>
        <v>100</v>
      </c>
      <c r="H24" s="23">
        <f t="shared" si="2"/>
        <v>2.67</v>
      </c>
    </row>
    <row r="25" spans="1:9" ht="14.25" customHeight="1" x14ac:dyDescent="0.2">
      <c r="A25" s="22">
        <v>5</v>
      </c>
      <c r="B25" s="48">
        <v>257</v>
      </c>
      <c r="C25" s="48">
        <v>105</v>
      </c>
      <c r="D25" s="23">
        <f t="shared" si="0"/>
        <v>2.6985000000000001</v>
      </c>
      <c r="E25" s="27"/>
      <c r="F25" s="28">
        <f t="shared" ref="F25:G25" si="6">B25-5</f>
        <v>252</v>
      </c>
      <c r="G25" s="28">
        <f t="shared" si="6"/>
        <v>100</v>
      </c>
      <c r="H25" s="23">
        <f t="shared" si="2"/>
        <v>2.52</v>
      </c>
    </row>
    <row r="26" spans="1:9" ht="14.25" customHeight="1" x14ac:dyDescent="0.2">
      <c r="A26" s="26">
        <v>6</v>
      </c>
      <c r="B26" s="48">
        <v>274</v>
      </c>
      <c r="C26" s="48">
        <v>105</v>
      </c>
      <c r="D26" s="23">
        <f t="shared" si="0"/>
        <v>2.8769999999999998</v>
      </c>
      <c r="E26" s="27"/>
      <c r="F26" s="28">
        <f t="shared" ref="F26:G26" si="7">B26-5</f>
        <v>269</v>
      </c>
      <c r="G26" s="28">
        <f t="shared" si="7"/>
        <v>100</v>
      </c>
      <c r="H26" s="23">
        <f t="shared" si="2"/>
        <v>2.69</v>
      </c>
    </row>
    <row r="27" spans="1:9" ht="14.25" customHeight="1" x14ac:dyDescent="0.2">
      <c r="A27" s="22">
        <v>7</v>
      </c>
      <c r="B27" s="48">
        <v>279</v>
      </c>
      <c r="C27" s="48">
        <v>105</v>
      </c>
      <c r="D27" s="23">
        <f t="shared" si="0"/>
        <v>2.9295</v>
      </c>
      <c r="E27" s="27"/>
      <c r="F27" s="28">
        <f t="shared" ref="F27:G27" si="8">B27-5</f>
        <v>274</v>
      </c>
      <c r="G27" s="28">
        <f t="shared" si="8"/>
        <v>100</v>
      </c>
      <c r="H27" s="23">
        <f t="shared" si="2"/>
        <v>2.74</v>
      </c>
    </row>
    <row r="28" spans="1:9" ht="14.25" customHeight="1" x14ac:dyDescent="0.2">
      <c r="A28" s="26">
        <v>8</v>
      </c>
      <c r="B28" s="48">
        <v>280</v>
      </c>
      <c r="C28" s="48">
        <v>105</v>
      </c>
      <c r="D28" s="23">
        <f t="shared" si="0"/>
        <v>2.94</v>
      </c>
      <c r="E28" s="27"/>
      <c r="F28" s="28">
        <f t="shared" ref="F28:G28" si="9">B28-5</f>
        <v>275</v>
      </c>
      <c r="G28" s="28">
        <f t="shared" si="9"/>
        <v>100</v>
      </c>
      <c r="H28" s="23">
        <f t="shared" si="2"/>
        <v>2.75</v>
      </c>
    </row>
    <row r="29" spans="1:9" ht="14.25" customHeight="1" x14ac:dyDescent="0.2">
      <c r="A29" s="22">
        <v>9</v>
      </c>
      <c r="B29" s="48">
        <v>273</v>
      </c>
      <c r="C29" s="48">
        <v>95</v>
      </c>
      <c r="D29" s="23">
        <f t="shared" si="0"/>
        <v>2.5935000000000001</v>
      </c>
      <c r="E29" s="27"/>
      <c r="F29" s="28">
        <f t="shared" ref="F29:G29" si="10">B29-5</f>
        <v>268</v>
      </c>
      <c r="G29" s="28">
        <f t="shared" si="10"/>
        <v>90</v>
      </c>
      <c r="H29" s="23">
        <f t="shared" si="2"/>
        <v>2.4119999999999999</v>
      </c>
    </row>
    <row r="30" spans="1:9" ht="14.25" customHeight="1" x14ac:dyDescent="0.2">
      <c r="A30" s="26">
        <v>10</v>
      </c>
      <c r="B30" s="48">
        <v>274</v>
      </c>
      <c r="C30" s="48">
        <v>81</v>
      </c>
      <c r="D30" s="23">
        <f t="shared" si="0"/>
        <v>2.2193999999999998</v>
      </c>
      <c r="E30" s="27"/>
      <c r="F30" s="28">
        <f t="shared" ref="F30:G30" si="11">B30-5</f>
        <v>269</v>
      </c>
      <c r="G30" s="28">
        <f t="shared" si="11"/>
        <v>76</v>
      </c>
      <c r="H30" s="23">
        <f t="shared" si="2"/>
        <v>2.0444</v>
      </c>
    </row>
    <row r="31" spans="1:9" ht="14.25" customHeight="1" x14ac:dyDescent="0.2">
      <c r="A31" s="22">
        <v>11</v>
      </c>
      <c r="B31" s="48">
        <v>325</v>
      </c>
      <c r="C31" s="48">
        <v>100</v>
      </c>
      <c r="D31" s="23">
        <f t="shared" si="0"/>
        <v>3.25</v>
      </c>
      <c r="E31" s="27"/>
      <c r="F31" s="28">
        <f t="shared" ref="F31:G31" si="12">B31-5</f>
        <v>320</v>
      </c>
      <c r="G31" s="28">
        <f t="shared" si="12"/>
        <v>95</v>
      </c>
      <c r="H31" s="23">
        <f t="shared" si="2"/>
        <v>3.04</v>
      </c>
    </row>
    <row r="32" spans="1:9" ht="14.25" customHeight="1" x14ac:dyDescent="0.2">
      <c r="A32" s="26">
        <v>12</v>
      </c>
      <c r="B32" s="48">
        <v>318</v>
      </c>
      <c r="C32" s="48">
        <v>100</v>
      </c>
      <c r="D32" s="23">
        <f t="shared" si="0"/>
        <v>3.18</v>
      </c>
      <c r="E32" s="27"/>
      <c r="F32" s="28">
        <f t="shared" ref="F32:G32" si="13">B32-5</f>
        <v>313</v>
      </c>
      <c r="G32" s="28">
        <f t="shared" si="13"/>
        <v>95</v>
      </c>
      <c r="H32" s="23">
        <f t="shared" si="2"/>
        <v>2.9735</v>
      </c>
    </row>
    <row r="33" spans="1:9" ht="14.25" customHeight="1" x14ac:dyDescent="0.2">
      <c r="A33" s="22">
        <v>13</v>
      </c>
      <c r="B33" s="48">
        <v>323</v>
      </c>
      <c r="C33" s="48">
        <v>100</v>
      </c>
      <c r="D33" s="23">
        <f t="shared" si="0"/>
        <v>3.23</v>
      </c>
      <c r="E33" s="27"/>
      <c r="F33" s="28">
        <f t="shared" ref="F33:G33" si="14">B33-5</f>
        <v>318</v>
      </c>
      <c r="G33" s="28">
        <f t="shared" si="14"/>
        <v>95</v>
      </c>
      <c r="H33" s="23">
        <f t="shared" si="2"/>
        <v>3.0209999999999999</v>
      </c>
      <c r="I33" s="40"/>
    </row>
    <row r="34" spans="1:9" ht="14.25" customHeight="1" x14ac:dyDescent="0.2">
      <c r="A34" s="26">
        <v>14</v>
      </c>
      <c r="B34" s="48">
        <v>313</v>
      </c>
      <c r="C34" s="48">
        <v>100</v>
      </c>
      <c r="D34" s="23">
        <f t="shared" si="0"/>
        <v>3.13</v>
      </c>
      <c r="E34" s="27"/>
      <c r="F34" s="28">
        <f t="shared" ref="F34:G34" si="15">B34-5</f>
        <v>308</v>
      </c>
      <c r="G34" s="28">
        <f t="shared" si="15"/>
        <v>95</v>
      </c>
      <c r="H34" s="23">
        <f t="shared" si="2"/>
        <v>2.9260000000000002</v>
      </c>
    </row>
    <row r="35" spans="1:9" ht="14.25" customHeight="1" x14ac:dyDescent="0.2">
      <c r="A35" s="22">
        <v>15</v>
      </c>
      <c r="B35" s="48">
        <v>306</v>
      </c>
      <c r="C35" s="48">
        <v>100</v>
      </c>
      <c r="D35" s="23">
        <f t="shared" si="0"/>
        <v>3.06</v>
      </c>
      <c r="E35" s="27"/>
      <c r="F35" s="28">
        <f t="shared" ref="F35:G35" si="16">B35-5</f>
        <v>301</v>
      </c>
      <c r="G35" s="28">
        <f t="shared" si="16"/>
        <v>95</v>
      </c>
      <c r="H35" s="23">
        <f t="shared" si="2"/>
        <v>2.8595000000000002</v>
      </c>
    </row>
    <row r="36" spans="1:9" ht="14.25" customHeight="1" x14ac:dyDescent="0.2">
      <c r="A36" s="26">
        <v>16</v>
      </c>
      <c r="B36" s="48">
        <v>288</v>
      </c>
      <c r="C36" s="48">
        <v>100</v>
      </c>
      <c r="D36" s="23">
        <f t="shared" si="0"/>
        <v>2.88</v>
      </c>
      <c r="E36" s="27"/>
      <c r="F36" s="28">
        <f t="shared" ref="F36:G36" si="17">B36-5</f>
        <v>283</v>
      </c>
      <c r="G36" s="28">
        <f t="shared" si="17"/>
        <v>95</v>
      </c>
      <c r="H36" s="23">
        <f t="shared" si="2"/>
        <v>2.6884999999999999</v>
      </c>
      <c r="I36" s="40"/>
    </row>
    <row r="37" spans="1:9" ht="14.25" customHeight="1" x14ac:dyDescent="0.2">
      <c r="A37" s="22">
        <v>17</v>
      </c>
      <c r="B37" s="48">
        <v>281</v>
      </c>
      <c r="C37" s="48">
        <v>100</v>
      </c>
      <c r="D37" s="23">
        <f t="shared" si="0"/>
        <v>2.81</v>
      </c>
      <c r="E37" s="27"/>
      <c r="F37" s="28">
        <f t="shared" ref="F37:G37" si="18">B37-5</f>
        <v>276</v>
      </c>
      <c r="G37" s="28">
        <f t="shared" si="18"/>
        <v>95</v>
      </c>
      <c r="H37" s="23">
        <f t="shared" si="2"/>
        <v>2.6219999999999999</v>
      </c>
    </row>
    <row r="38" spans="1:9" ht="14.25" customHeight="1" x14ac:dyDescent="0.2">
      <c r="A38" s="26">
        <v>18</v>
      </c>
      <c r="B38" s="48">
        <v>288</v>
      </c>
      <c r="C38" s="48">
        <v>100</v>
      </c>
      <c r="D38" s="23">
        <f t="shared" si="0"/>
        <v>2.88</v>
      </c>
      <c r="E38" s="27"/>
      <c r="F38" s="28">
        <f t="shared" ref="F38:G38" si="19">B38-5</f>
        <v>283</v>
      </c>
      <c r="G38" s="28">
        <f t="shared" si="19"/>
        <v>95</v>
      </c>
      <c r="H38" s="23">
        <f t="shared" si="2"/>
        <v>2.6884999999999999</v>
      </c>
    </row>
    <row r="39" spans="1:9" ht="14.25" customHeight="1" x14ac:dyDescent="0.2">
      <c r="A39" s="22">
        <v>19</v>
      </c>
      <c r="B39" s="48">
        <v>335</v>
      </c>
      <c r="C39" s="48">
        <v>100</v>
      </c>
      <c r="D39" s="23">
        <f t="shared" si="0"/>
        <v>3.35</v>
      </c>
      <c r="E39" s="27"/>
      <c r="F39" s="28">
        <f t="shared" ref="F39:G39" si="20">B39-5</f>
        <v>330</v>
      </c>
      <c r="G39" s="28">
        <f t="shared" si="20"/>
        <v>95</v>
      </c>
      <c r="H39" s="23">
        <f t="shared" si="2"/>
        <v>3.1349999999999998</v>
      </c>
    </row>
    <row r="40" spans="1:9" ht="14.25" customHeight="1" x14ac:dyDescent="0.2">
      <c r="A40" s="26">
        <v>20</v>
      </c>
      <c r="B40" s="48">
        <v>265</v>
      </c>
      <c r="C40" s="48">
        <v>100</v>
      </c>
      <c r="D40" s="23">
        <f t="shared" si="0"/>
        <v>2.65</v>
      </c>
      <c r="E40" s="27"/>
      <c r="F40" s="28">
        <f t="shared" ref="F40:G40" si="21">B40-5</f>
        <v>260</v>
      </c>
      <c r="G40" s="28">
        <f t="shared" si="21"/>
        <v>95</v>
      </c>
      <c r="H40" s="23">
        <f t="shared" si="2"/>
        <v>2.4700000000000002</v>
      </c>
      <c r="I40" s="40"/>
    </row>
    <row r="41" spans="1:9" ht="14.25" customHeight="1" x14ac:dyDescent="0.2">
      <c r="A41" s="22">
        <v>21</v>
      </c>
      <c r="B41" s="48">
        <v>240</v>
      </c>
      <c r="C41" s="48">
        <v>99</v>
      </c>
      <c r="D41" s="23">
        <f t="shared" si="0"/>
        <v>2.3759999999999999</v>
      </c>
      <c r="E41" s="27"/>
      <c r="F41" s="28">
        <f t="shared" ref="F41:G41" si="22">B41-5</f>
        <v>235</v>
      </c>
      <c r="G41" s="28">
        <f t="shared" si="22"/>
        <v>94</v>
      </c>
      <c r="H41" s="23">
        <f t="shared" si="2"/>
        <v>2.2090000000000001</v>
      </c>
    </row>
    <row r="42" spans="1:9" ht="14.25" customHeight="1" x14ac:dyDescent="0.2">
      <c r="A42" s="26">
        <v>22</v>
      </c>
      <c r="B42" s="48">
        <v>218</v>
      </c>
      <c r="C42" s="48">
        <v>97</v>
      </c>
      <c r="D42" s="23">
        <f t="shared" si="0"/>
        <v>2.1145999999999998</v>
      </c>
      <c r="E42" s="27"/>
      <c r="F42" s="28">
        <f t="shared" ref="F42:G42" si="23">B42-5</f>
        <v>213</v>
      </c>
      <c r="G42" s="28">
        <f t="shared" si="23"/>
        <v>92</v>
      </c>
      <c r="H42" s="23">
        <f t="shared" si="2"/>
        <v>1.9596</v>
      </c>
      <c r="I42" s="40"/>
    </row>
    <row r="43" spans="1:9" ht="14.25" customHeight="1" x14ac:dyDescent="0.2">
      <c r="A43" s="22">
        <v>23</v>
      </c>
      <c r="B43" s="48">
        <v>252</v>
      </c>
      <c r="C43" s="48">
        <v>99</v>
      </c>
      <c r="D43" s="23">
        <f t="shared" si="0"/>
        <v>2.4948000000000001</v>
      </c>
      <c r="E43" s="27"/>
      <c r="F43" s="28">
        <f t="shared" ref="F43:G43" si="24">B43-5</f>
        <v>247</v>
      </c>
      <c r="G43" s="28">
        <f t="shared" si="24"/>
        <v>94</v>
      </c>
      <c r="H43" s="23">
        <f t="shared" si="2"/>
        <v>2.3218000000000001</v>
      </c>
    </row>
    <row r="44" spans="1:9" ht="14.25" customHeight="1" x14ac:dyDescent="0.2">
      <c r="A44" s="26">
        <v>24</v>
      </c>
      <c r="B44" s="48">
        <v>252</v>
      </c>
      <c r="C44" s="48">
        <v>101</v>
      </c>
      <c r="D44" s="23">
        <f t="shared" si="0"/>
        <v>2.5451999999999999</v>
      </c>
      <c r="E44" s="27"/>
      <c r="F44" s="28">
        <f t="shared" ref="F44:G44" si="25">B44-5</f>
        <v>247</v>
      </c>
      <c r="G44" s="28">
        <f t="shared" si="25"/>
        <v>96</v>
      </c>
      <c r="H44" s="23">
        <f t="shared" si="2"/>
        <v>2.3712</v>
      </c>
    </row>
    <row r="45" spans="1:9" ht="14.25" customHeight="1" x14ac:dyDescent="0.2">
      <c r="A45" s="22">
        <v>25</v>
      </c>
      <c r="B45" s="48">
        <v>243</v>
      </c>
      <c r="C45" s="48">
        <v>101</v>
      </c>
      <c r="D45" s="23">
        <f t="shared" si="0"/>
        <v>2.4542999999999999</v>
      </c>
      <c r="E45" s="27"/>
      <c r="F45" s="28">
        <f t="shared" ref="F45:G45" si="26">B45-5</f>
        <v>238</v>
      </c>
      <c r="G45" s="28">
        <f t="shared" si="26"/>
        <v>96</v>
      </c>
      <c r="H45" s="23">
        <f t="shared" si="2"/>
        <v>2.2848000000000002</v>
      </c>
      <c r="I45" s="40"/>
    </row>
    <row r="46" spans="1:9" ht="14.25" customHeight="1" x14ac:dyDescent="0.2">
      <c r="A46" s="26">
        <v>26</v>
      </c>
      <c r="B46" s="48">
        <v>248</v>
      </c>
      <c r="C46" s="48">
        <v>101</v>
      </c>
      <c r="D46" s="23">
        <f t="shared" si="0"/>
        <v>2.5047999999999999</v>
      </c>
      <c r="E46" s="27"/>
      <c r="F46" s="28">
        <f t="shared" ref="F46:G46" si="27">B46-5</f>
        <v>243</v>
      </c>
      <c r="G46" s="28">
        <f t="shared" si="27"/>
        <v>96</v>
      </c>
      <c r="H46" s="23">
        <f t="shared" si="2"/>
        <v>2.3328000000000002</v>
      </c>
      <c r="I46" s="40"/>
    </row>
    <row r="47" spans="1:9" ht="14.25" customHeight="1" x14ac:dyDescent="0.2">
      <c r="A47" s="22">
        <v>27</v>
      </c>
      <c r="B47" s="48">
        <v>238</v>
      </c>
      <c r="C47" s="48">
        <v>79</v>
      </c>
      <c r="D47" s="23">
        <f t="shared" si="0"/>
        <v>1.8802000000000001</v>
      </c>
      <c r="E47" s="27"/>
      <c r="F47" s="28">
        <f t="shared" ref="F47:G47" si="28">B47-5</f>
        <v>233</v>
      </c>
      <c r="G47" s="28">
        <f t="shared" si="28"/>
        <v>74</v>
      </c>
      <c r="H47" s="23">
        <f t="shared" si="2"/>
        <v>1.7242</v>
      </c>
      <c r="I47" s="40"/>
    </row>
    <row r="48" spans="1:9" ht="14.25" customHeight="1" x14ac:dyDescent="0.2">
      <c r="A48" s="26">
        <v>28</v>
      </c>
      <c r="B48" s="48">
        <v>242</v>
      </c>
      <c r="C48" s="48">
        <v>98</v>
      </c>
      <c r="D48" s="23">
        <f t="shared" si="0"/>
        <v>2.3715999999999999</v>
      </c>
      <c r="E48" s="27"/>
      <c r="F48" s="28">
        <f t="shared" ref="F48:G48" si="29">B48-5</f>
        <v>237</v>
      </c>
      <c r="G48" s="28">
        <f t="shared" si="29"/>
        <v>93</v>
      </c>
      <c r="H48" s="23">
        <f t="shared" si="2"/>
        <v>2.2040999999999999</v>
      </c>
      <c r="I48" s="40"/>
    </row>
    <row r="49" spans="1:9" ht="14.25" customHeight="1" x14ac:dyDescent="0.2">
      <c r="A49" s="22">
        <v>29</v>
      </c>
      <c r="B49" s="48">
        <v>236</v>
      </c>
      <c r="C49" s="48">
        <v>101</v>
      </c>
      <c r="D49" s="23">
        <f t="shared" si="0"/>
        <v>2.3835999999999999</v>
      </c>
      <c r="E49" s="27"/>
      <c r="F49" s="28">
        <f t="shared" ref="F49:G49" si="30">B49-5</f>
        <v>231</v>
      </c>
      <c r="G49" s="28">
        <f t="shared" si="30"/>
        <v>96</v>
      </c>
      <c r="H49" s="23">
        <f t="shared" si="2"/>
        <v>2.2176</v>
      </c>
      <c r="I49" s="40"/>
    </row>
    <row r="50" spans="1:9" ht="14.25" customHeight="1" x14ac:dyDescent="0.2">
      <c r="A50" s="26">
        <v>30</v>
      </c>
      <c r="B50" s="48">
        <v>253</v>
      </c>
      <c r="C50" s="48">
        <v>101</v>
      </c>
      <c r="D50" s="23">
        <f t="shared" si="0"/>
        <v>2.5552999999999999</v>
      </c>
      <c r="E50" s="27"/>
      <c r="F50" s="28">
        <f t="shared" ref="F50:G50" si="31">B50-5</f>
        <v>248</v>
      </c>
      <c r="G50" s="28">
        <f t="shared" si="31"/>
        <v>96</v>
      </c>
      <c r="H50" s="23">
        <f t="shared" si="2"/>
        <v>2.3807999999999998</v>
      </c>
      <c r="I50" s="40"/>
    </row>
    <row r="51" spans="1:9" ht="14.25" customHeight="1" x14ac:dyDescent="0.2">
      <c r="A51" s="22">
        <v>31</v>
      </c>
      <c r="B51" s="48">
        <v>251</v>
      </c>
      <c r="C51" s="48">
        <v>101</v>
      </c>
      <c r="D51" s="23">
        <f t="shared" si="0"/>
        <v>2.5350999999999999</v>
      </c>
      <c r="E51" s="27"/>
      <c r="F51" s="28">
        <f t="shared" ref="F51:G51" si="32">B51-5</f>
        <v>246</v>
      </c>
      <c r="G51" s="28">
        <f t="shared" si="32"/>
        <v>96</v>
      </c>
      <c r="H51" s="23">
        <f t="shared" si="2"/>
        <v>2.3616000000000001</v>
      </c>
      <c r="I51" s="40"/>
    </row>
    <row r="52" spans="1:9" ht="14.25" customHeight="1" x14ac:dyDescent="0.2">
      <c r="A52" s="26">
        <v>32</v>
      </c>
      <c r="B52" s="48">
        <v>222</v>
      </c>
      <c r="C52" s="48">
        <v>76</v>
      </c>
      <c r="D52" s="23">
        <f t="shared" si="0"/>
        <v>1.6872</v>
      </c>
      <c r="E52" s="27"/>
      <c r="F52" s="28">
        <f t="shared" ref="F52:G52" si="33">B52-5</f>
        <v>217</v>
      </c>
      <c r="G52" s="28">
        <f t="shared" si="33"/>
        <v>71</v>
      </c>
      <c r="H52" s="23">
        <f t="shared" si="2"/>
        <v>1.5407</v>
      </c>
      <c r="I52" s="40"/>
    </row>
    <row r="53" spans="1:9" ht="14.25" customHeight="1" x14ac:dyDescent="0.2">
      <c r="A53" s="22">
        <v>33</v>
      </c>
      <c r="B53" s="48">
        <v>232</v>
      </c>
      <c r="C53" s="48">
        <v>76</v>
      </c>
      <c r="D53" s="23">
        <f t="shared" si="0"/>
        <v>1.7632000000000001</v>
      </c>
      <c r="E53" s="27"/>
      <c r="F53" s="28">
        <f t="shared" ref="F53:G53" si="34">B53-5</f>
        <v>227</v>
      </c>
      <c r="G53" s="28">
        <f t="shared" si="34"/>
        <v>71</v>
      </c>
      <c r="H53" s="23">
        <f t="shared" si="2"/>
        <v>1.6116999999999999</v>
      </c>
      <c r="I53" s="40"/>
    </row>
    <row r="54" spans="1:9" ht="14.25" customHeight="1" x14ac:dyDescent="0.2">
      <c r="A54" s="26">
        <v>34</v>
      </c>
      <c r="B54" s="48">
        <v>283</v>
      </c>
      <c r="C54" s="48">
        <v>75</v>
      </c>
      <c r="D54" s="23">
        <f t="shared" si="0"/>
        <v>2.1225000000000001</v>
      </c>
      <c r="E54" s="27"/>
      <c r="F54" s="28">
        <f t="shared" ref="F54:G54" si="35">B54-5</f>
        <v>278</v>
      </c>
      <c r="G54" s="28">
        <f t="shared" si="35"/>
        <v>70</v>
      </c>
      <c r="H54" s="23">
        <f t="shared" si="2"/>
        <v>1.946</v>
      </c>
      <c r="I54" s="40"/>
    </row>
    <row r="55" spans="1:9" ht="14.25" customHeight="1" x14ac:dyDescent="0.2">
      <c r="A55" s="22">
        <v>35</v>
      </c>
      <c r="B55" s="48">
        <v>278</v>
      </c>
      <c r="C55" s="48">
        <v>75</v>
      </c>
      <c r="D55" s="23">
        <f t="shared" si="0"/>
        <v>2.085</v>
      </c>
      <c r="E55" s="27"/>
      <c r="F55" s="28">
        <f t="shared" ref="F55:G55" si="36">B55-5</f>
        <v>273</v>
      </c>
      <c r="G55" s="28">
        <f t="shared" si="36"/>
        <v>70</v>
      </c>
      <c r="H55" s="23">
        <f t="shared" si="2"/>
        <v>1.911</v>
      </c>
      <c r="I55" s="40"/>
    </row>
    <row r="56" spans="1:9" ht="14.25" customHeight="1" x14ac:dyDescent="0.2">
      <c r="A56" s="26">
        <v>36</v>
      </c>
      <c r="B56" s="48">
        <v>288</v>
      </c>
      <c r="C56" s="48">
        <v>71</v>
      </c>
      <c r="D56" s="23">
        <f t="shared" si="0"/>
        <v>2.0448</v>
      </c>
      <c r="E56" s="27"/>
      <c r="F56" s="28">
        <f t="shared" ref="F56:G56" si="37">B56-5</f>
        <v>283</v>
      </c>
      <c r="G56" s="28">
        <f t="shared" si="37"/>
        <v>66</v>
      </c>
      <c r="H56" s="23">
        <f t="shared" si="2"/>
        <v>1.8677999999999999</v>
      </c>
      <c r="I56" s="40"/>
    </row>
    <row r="57" spans="1:9" ht="14.25" customHeight="1" x14ac:dyDescent="0.2">
      <c r="A57" s="22">
        <v>37</v>
      </c>
      <c r="B57" s="48">
        <v>288</v>
      </c>
      <c r="C57" s="48">
        <v>70</v>
      </c>
      <c r="D57" s="23">
        <f t="shared" si="0"/>
        <v>2.016</v>
      </c>
      <c r="E57" s="27"/>
      <c r="F57" s="28">
        <f t="shared" ref="F57:G57" si="38">B57-5</f>
        <v>283</v>
      </c>
      <c r="G57" s="28">
        <f t="shared" si="38"/>
        <v>65</v>
      </c>
      <c r="H57" s="23">
        <f t="shared" si="2"/>
        <v>1.8394999999999999</v>
      </c>
      <c r="I57" s="40"/>
    </row>
    <row r="58" spans="1:9" ht="14.25" customHeight="1" x14ac:dyDescent="0.2">
      <c r="A58" s="26">
        <v>38</v>
      </c>
      <c r="B58" s="48">
        <v>289</v>
      </c>
      <c r="C58" s="48">
        <v>70</v>
      </c>
      <c r="D58" s="23">
        <f t="shared" si="0"/>
        <v>2.0230000000000001</v>
      </c>
      <c r="E58" s="27"/>
      <c r="F58" s="28">
        <f t="shared" ref="F58:G58" si="39">B58-5</f>
        <v>284</v>
      </c>
      <c r="G58" s="28">
        <f t="shared" si="39"/>
        <v>65</v>
      </c>
      <c r="H58" s="23">
        <f t="shared" si="2"/>
        <v>1.8460000000000001</v>
      </c>
      <c r="I58" s="40"/>
    </row>
    <row r="59" spans="1:9" ht="14.25" customHeight="1" x14ac:dyDescent="0.2">
      <c r="A59" s="22">
        <v>39</v>
      </c>
      <c r="B59" s="48">
        <v>300</v>
      </c>
      <c r="C59" s="48">
        <v>64</v>
      </c>
      <c r="D59" s="23">
        <f t="shared" si="0"/>
        <v>1.92</v>
      </c>
      <c r="E59" s="27"/>
      <c r="F59" s="28">
        <f t="shared" ref="F59:G59" si="40">B59-5</f>
        <v>295</v>
      </c>
      <c r="G59" s="28">
        <f t="shared" si="40"/>
        <v>59</v>
      </c>
      <c r="H59" s="23">
        <f t="shared" si="2"/>
        <v>1.7404999999999999</v>
      </c>
      <c r="I59" s="40"/>
    </row>
    <row r="60" spans="1:9" ht="14.25" customHeight="1" x14ac:dyDescent="0.2">
      <c r="A60" s="26">
        <v>40</v>
      </c>
      <c r="B60" s="48">
        <v>298</v>
      </c>
      <c r="C60" s="48">
        <v>63</v>
      </c>
      <c r="D60" s="23">
        <f t="shared" si="0"/>
        <v>1.8774</v>
      </c>
      <c r="E60" s="27"/>
      <c r="F60" s="28">
        <f t="shared" ref="F60:G60" si="41">B60-5</f>
        <v>293</v>
      </c>
      <c r="G60" s="28">
        <f t="shared" si="41"/>
        <v>58</v>
      </c>
      <c r="H60" s="23">
        <f t="shared" si="2"/>
        <v>1.6994</v>
      </c>
      <c r="I60" s="40"/>
    </row>
    <row r="61" spans="1:9" ht="14.25" customHeight="1" x14ac:dyDescent="0.2">
      <c r="A61" s="22">
        <v>41</v>
      </c>
      <c r="B61" s="48">
        <v>228</v>
      </c>
      <c r="C61" s="48">
        <v>65</v>
      </c>
      <c r="D61" s="23">
        <f t="shared" si="0"/>
        <v>1.482</v>
      </c>
      <c r="E61" s="27"/>
      <c r="F61" s="28">
        <f t="shared" ref="F61:G61" si="42">B61-5</f>
        <v>223</v>
      </c>
      <c r="G61" s="28">
        <f t="shared" si="42"/>
        <v>60</v>
      </c>
      <c r="H61" s="23">
        <f t="shared" si="2"/>
        <v>1.3380000000000001</v>
      </c>
      <c r="I61" s="40"/>
    </row>
    <row r="62" spans="1:9" ht="14.25" customHeight="1" x14ac:dyDescent="0.2">
      <c r="A62" s="26">
        <v>42</v>
      </c>
      <c r="B62" s="48">
        <v>228</v>
      </c>
      <c r="C62" s="48">
        <v>64</v>
      </c>
      <c r="D62" s="23">
        <f t="shared" si="0"/>
        <v>1.4592000000000001</v>
      </c>
      <c r="E62" s="27"/>
      <c r="F62" s="28">
        <f t="shared" ref="F62:G62" si="43">B62-5</f>
        <v>223</v>
      </c>
      <c r="G62" s="28">
        <f t="shared" si="43"/>
        <v>59</v>
      </c>
      <c r="H62" s="23">
        <f t="shared" si="2"/>
        <v>1.3157000000000001</v>
      </c>
      <c r="I62" s="40"/>
    </row>
    <row r="63" spans="1:9" ht="14.25" customHeight="1" x14ac:dyDescent="0.2">
      <c r="A63" s="22">
        <v>43</v>
      </c>
      <c r="B63" s="48">
        <v>233</v>
      </c>
      <c r="C63" s="48">
        <v>63</v>
      </c>
      <c r="D63" s="23">
        <f t="shared" si="0"/>
        <v>1.4679</v>
      </c>
      <c r="E63" s="27"/>
      <c r="F63" s="28">
        <f t="shared" ref="F63:G63" si="44">B63-5</f>
        <v>228</v>
      </c>
      <c r="G63" s="28">
        <f t="shared" si="44"/>
        <v>58</v>
      </c>
      <c r="H63" s="23">
        <f t="shared" si="2"/>
        <v>1.3224</v>
      </c>
      <c r="I63" s="40"/>
    </row>
    <row r="64" spans="1:9" ht="14.25" customHeight="1" x14ac:dyDescent="0.2">
      <c r="A64" s="26">
        <v>44</v>
      </c>
      <c r="B64" s="48">
        <v>274</v>
      </c>
      <c r="C64" s="48">
        <v>70</v>
      </c>
      <c r="D64" s="23">
        <f t="shared" si="0"/>
        <v>1.9179999999999999</v>
      </c>
      <c r="E64" s="27"/>
      <c r="F64" s="28">
        <f t="shared" ref="F64:G64" si="45">B64-5</f>
        <v>269</v>
      </c>
      <c r="G64" s="28">
        <f t="shared" si="45"/>
        <v>65</v>
      </c>
      <c r="H64" s="23">
        <f t="shared" si="2"/>
        <v>1.7484999999999999</v>
      </c>
      <c r="I64" s="40"/>
    </row>
    <row r="65" spans="1:9" ht="14.25" customHeight="1" x14ac:dyDescent="0.2">
      <c r="A65" s="22">
        <v>45</v>
      </c>
      <c r="B65" s="48">
        <v>266</v>
      </c>
      <c r="C65" s="48">
        <v>70</v>
      </c>
      <c r="D65" s="23">
        <f t="shared" si="0"/>
        <v>1.8620000000000001</v>
      </c>
      <c r="E65" s="27"/>
      <c r="F65" s="28">
        <f t="shared" ref="F65:G65" si="46">B65-5</f>
        <v>261</v>
      </c>
      <c r="G65" s="28">
        <f t="shared" si="46"/>
        <v>65</v>
      </c>
      <c r="H65" s="23">
        <f t="shared" si="2"/>
        <v>1.6964999999999999</v>
      </c>
      <c r="I65" s="40"/>
    </row>
    <row r="66" spans="1:9" ht="14.25" customHeight="1" x14ac:dyDescent="0.2">
      <c r="A66" s="26">
        <v>46</v>
      </c>
      <c r="B66" s="48">
        <v>266</v>
      </c>
      <c r="C66" s="48">
        <v>70</v>
      </c>
      <c r="D66" s="23">
        <f t="shared" si="0"/>
        <v>1.8620000000000001</v>
      </c>
      <c r="E66" s="27"/>
      <c r="F66" s="28">
        <f t="shared" ref="F66:G66" si="47">B66-5</f>
        <v>261</v>
      </c>
      <c r="G66" s="28">
        <f t="shared" si="47"/>
        <v>65</v>
      </c>
      <c r="H66" s="23">
        <f t="shared" si="2"/>
        <v>1.6964999999999999</v>
      </c>
      <c r="I66" s="40"/>
    </row>
    <row r="67" spans="1:9" ht="14.25" customHeight="1" x14ac:dyDescent="0.2">
      <c r="A67" s="22">
        <v>47</v>
      </c>
      <c r="B67" s="48">
        <v>285</v>
      </c>
      <c r="C67" s="48">
        <v>60</v>
      </c>
      <c r="D67" s="23">
        <f t="shared" si="0"/>
        <v>1.71</v>
      </c>
      <c r="E67" s="27"/>
      <c r="F67" s="28">
        <f t="shared" ref="F67:G67" si="48">B67-5</f>
        <v>280</v>
      </c>
      <c r="G67" s="28">
        <f t="shared" si="48"/>
        <v>55</v>
      </c>
      <c r="H67" s="23">
        <f t="shared" si="2"/>
        <v>1.54</v>
      </c>
      <c r="I67" s="40"/>
    </row>
    <row r="68" spans="1:9" ht="14.25" customHeight="1" x14ac:dyDescent="0.2">
      <c r="A68" s="26">
        <v>48</v>
      </c>
      <c r="B68" s="48">
        <v>294</v>
      </c>
      <c r="C68" s="48">
        <v>60</v>
      </c>
      <c r="D68" s="23">
        <f t="shared" si="0"/>
        <v>1.764</v>
      </c>
      <c r="E68" s="27"/>
      <c r="F68" s="28">
        <f t="shared" ref="F68:G68" si="49">B68-5</f>
        <v>289</v>
      </c>
      <c r="G68" s="28">
        <f t="shared" si="49"/>
        <v>55</v>
      </c>
      <c r="H68" s="23">
        <f t="shared" si="2"/>
        <v>1.5894999999999999</v>
      </c>
    </row>
    <row r="69" spans="1:9" ht="14.25" customHeight="1" x14ac:dyDescent="0.2">
      <c r="A69" s="22">
        <v>49</v>
      </c>
      <c r="B69" s="48">
        <v>295</v>
      </c>
      <c r="C69" s="48">
        <v>60</v>
      </c>
      <c r="D69" s="23">
        <f t="shared" si="0"/>
        <v>1.77</v>
      </c>
      <c r="E69" s="27"/>
      <c r="F69" s="28">
        <f t="shared" ref="F69:G69" si="50">B69-5</f>
        <v>290</v>
      </c>
      <c r="G69" s="28">
        <f t="shared" si="50"/>
        <v>55</v>
      </c>
      <c r="H69" s="23">
        <f t="shared" si="2"/>
        <v>1.595</v>
      </c>
      <c r="I69" s="40"/>
    </row>
    <row r="70" spans="1:9" ht="14.25" customHeight="1" x14ac:dyDescent="0.2">
      <c r="A70" s="26">
        <v>50</v>
      </c>
      <c r="B70" s="48">
        <v>295</v>
      </c>
      <c r="C70" s="48">
        <v>60</v>
      </c>
      <c r="D70" s="23">
        <f t="shared" si="0"/>
        <v>1.77</v>
      </c>
      <c r="E70" s="27"/>
      <c r="F70" s="28">
        <f t="shared" ref="F70:G70" si="51">B70-5</f>
        <v>290</v>
      </c>
      <c r="G70" s="28">
        <f t="shared" si="51"/>
        <v>55</v>
      </c>
      <c r="H70" s="23">
        <f t="shared" si="2"/>
        <v>1.595</v>
      </c>
      <c r="I70" s="40"/>
    </row>
    <row r="71" spans="1:9" ht="14.25" customHeight="1" x14ac:dyDescent="0.2">
      <c r="A71" s="22">
        <v>51</v>
      </c>
      <c r="B71" s="48">
        <v>295</v>
      </c>
      <c r="C71" s="48">
        <v>60</v>
      </c>
      <c r="D71" s="23">
        <f t="shared" si="0"/>
        <v>1.77</v>
      </c>
      <c r="E71" s="27"/>
      <c r="F71" s="28">
        <f t="shared" ref="F71:G71" si="52">B71-5</f>
        <v>290</v>
      </c>
      <c r="G71" s="28">
        <f t="shared" si="52"/>
        <v>55</v>
      </c>
      <c r="H71" s="23">
        <f t="shared" si="2"/>
        <v>1.595</v>
      </c>
    </row>
    <row r="72" spans="1:9" ht="14.25" customHeight="1" x14ac:dyDescent="0.2">
      <c r="A72" s="26">
        <v>52</v>
      </c>
      <c r="B72" s="48">
        <v>261</v>
      </c>
      <c r="C72" s="48">
        <v>60</v>
      </c>
      <c r="D72" s="23">
        <f t="shared" si="0"/>
        <v>1.5660000000000001</v>
      </c>
      <c r="E72" s="27"/>
      <c r="F72" s="28">
        <f t="shared" ref="F72:G72" si="53">B72-5</f>
        <v>256</v>
      </c>
      <c r="G72" s="28">
        <f t="shared" si="53"/>
        <v>55</v>
      </c>
      <c r="H72" s="23">
        <f t="shared" si="2"/>
        <v>1.4079999999999999</v>
      </c>
    </row>
    <row r="73" spans="1:9" ht="14.25" customHeight="1" x14ac:dyDescent="0.2">
      <c r="A73" s="22">
        <v>53</v>
      </c>
      <c r="B73" s="48">
        <v>294</v>
      </c>
      <c r="C73" s="48">
        <v>60</v>
      </c>
      <c r="D73" s="23">
        <f t="shared" si="0"/>
        <v>1.764</v>
      </c>
      <c r="E73" s="27"/>
      <c r="F73" s="28">
        <f t="shared" ref="F73:G73" si="54">B73-5</f>
        <v>289</v>
      </c>
      <c r="G73" s="28">
        <f t="shared" si="54"/>
        <v>55</v>
      </c>
      <c r="H73" s="23">
        <f t="shared" si="2"/>
        <v>1.5894999999999999</v>
      </c>
      <c r="I73" s="40"/>
    </row>
    <row r="74" spans="1:9" ht="14.25" customHeight="1" x14ac:dyDescent="0.2">
      <c r="A74" s="26">
        <v>54</v>
      </c>
      <c r="B74" s="48">
        <v>275</v>
      </c>
      <c r="C74" s="48">
        <v>60</v>
      </c>
      <c r="D74" s="23">
        <f t="shared" si="0"/>
        <v>1.65</v>
      </c>
      <c r="E74" s="27"/>
      <c r="F74" s="28">
        <f t="shared" ref="F74:G74" si="55">B74-5</f>
        <v>270</v>
      </c>
      <c r="G74" s="28">
        <f t="shared" si="55"/>
        <v>55</v>
      </c>
      <c r="H74" s="23">
        <f t="shared" si="2"/>
        <v>1.4850000000000001</v>
      </c>
      <c r="I74" s="43"/>
    </row>
    <row r="75" spans="1:9" ht="14.25" customHeight="1" x14ac:dyDescent="0.2">
      <c r="A75" s="22">
        <v>55</v>
      </c>
      <c r="B75" s="48">
        <v>293</v>
      </c>
      <c r="C75" s="48">
        <v>63</v>
      </c>
      <c r="D75" s="23">
        <f t="shared" si="0"/>
        <v>1.8459000000000001</v>
      </c>
      <c r="E75" s="27"/>
      <c r="F75" s="28">
        <f t="shared" ref="F75:G75" si="56">B75-5</f>
        <v>288</v>
      </c>
      <c r="G75" s="28">
        <f t="shared" si="56"/>
        <v>58</v>
      </c>
      <c r="H75" s="23">
        <f t="shared" si="2"/>
        <v>1.6704000000000001</v>
      </c>
      <c r="I75" s="43"/>
    </row>
    <row r="76" spans="1:9" ht="14.25" customHeight="1" x14ac:dyDescent="0.2">
      <c r="A76" s="26">
        <v>56</v>
      </c>
      <c r="B76" s="48">
        <v>293</v>
      </c>
      <c r="C76" s="48">
        <v>63</v>
      </c>
      <c r="D76" s="23">
        <f t="shared" si="0"/>
        <v>1.8459000000000001</v>
      </c>
      <c r="E76" s="27"/>
      <c r="F76" s="28">
        <f t="shared" ref="F76:G76" si="57">B76-5</f>
        <v>288</v>
      </c>
      <c r="G76" s="28">
        <f t="shared" si="57"/>
        <v>58</v>
      </c>
      <c r="H76" s="23">
        <f t="shared" si="2"/>
        <v>1.6704000000000001</v>
      </c>
      <c r="I76" s="43"/>
    </row>
    <row r="77" spans="1:9" ht="14.25" customHeight="1" x14ac:dyDescent="0.2">
      <c r="A77" s="22">
        <v>57</v>
      </c>
      <c r="B77" s="48">
        <v>288</v>
      </c>
      <c r="C77" s="48">
        <v>63</v>
      </c>
      <c r="D77" s="23">
        <f t="shared" si="0"/>
        <v>1.8144</v>
      </c>
      <c r="E77" s="27"/>
      <c r="F77" s="28">
        <f t="shared" ref="F77:G77" si="58">B77-5</f>
        <v>283</v>
      </c>
      <c r="G77" s="28">
        <f t="shared" si="58"/>
        <v>58</v>
      </c>
      <c r="H77" s="23">
        <f t="shared" si="2"/>
        <v>1.6414</v>
      </c>
      <c r="I77" s="43"/>
    </row>
    <row r="78" spans="1:9" ht="14.25" customHeight="1" x14ac:dyDescent="0.2">
      <c r="A78" s="26">
        <v>58</v>
      </c>
      <c r="B78" s="48">
        <v>283</v>
      </c>
      <c r="C78" s="48">
        <v>63</v>
      </c>
      <c r="D78" s="23">
        <f t="shared" si="0"/>
        <v>1.7828999999999999</v>
      </c>
      <c r="E78" s="27"/>
      <c r="F78" s="28">
        <f t="shared" ref="F78:G78" si="59">B78-5</f>
        <v>278</v>
      </c>
      <c r="G78" s="28">
        <f t="shared" si="59"/>
        <v>58</v>
      </c>
      <c r="H78" s="23">
        <f t="shared" si="2"/>
        <v>1.6124000000000001</v>
      </c>
      <c r="I78" s="40"/>
    </row>
    <row r="79" spans="1:9" ht="14.25" customHeight="1" x14ac:dyDescent="0.2">
      <c r="A79" s="22">
        <v>59</v>
      </c>
      <c r="B79" s="48">
        <v>261</v>
      </c>
      <c r="C79" s="48">
        <v>60</v>
      </c>
      <c r="D79" s="23">
        <f t="shared" si="0"/>
        <v>1.5660000000000001</v>
      </c>
      <c r="E79" s="27"/>
      <c r="F79" s="28">
        <f t="shared" ref="F79:G79" si="60">B79-5</f>
        <v>256</v>
      </c>
      <c r="G79" s="28">
        <f t="shared" si="60"/>
        <v>55</v>
      </c>
      <c r="H79" s="23">
        <f t="shared" si="2"/>
        <v>1.4079999999999999</v>
      </c>
    </row>
    <row r="80" spans="1:9" ht="14.25" customHeight="1" x14ac:dyDescent="0.2">
      <c r="A80" s="26">
        <v>60</v>
      </c>
      <c r="B80" s="48">
        <v>230</v>
      </c>
      <c r="C80" s="48">
        <v>60</v>
      </c>
      <c r="D80" s="23">
        <f t="shared" si="0"/>
        <v>1.38</v>
      </c>
      <c r="E80" s="27"/>
      <c r="F80" s="28">
        <f t="shared" ref="F80:G80" si="61">B80-5</f>
        <v>225</v>
      </c>
      <c r="G80" s="28">
        <f t="shared" si="61"/>
        <v>55</v>
      </c>
      <c r="H80" s="23">
        <f t="shared" si="2"/>
        <v>1.2375</v>
      </c>
      <c r="I80" s="40"/>
    </row>
    <row r="81" spans="1:9" ht="14.25" customHeight="1" x14ac:dyDescent="0.2">
      <c r="A81" s="22">
        <v>61</v>
      </c>
      <c r="B81" s="48">
        <v>254</v>
      </c>
      <c r="C81" s="48">
        <v>62</v>
      </c>
      <c r="D81" s="23">
        <f t="shared" si="0"/>
        <v>1.5748</v>
      </c>
      <c r="E81" s="27"/>
      <c r="F81" s="28">
        <f t="shared" ref="F81:G81" si="62">B81-5</f>
        <v>249</v>
      </c>
      <c r="G81" s="28">
        <f t="shared" si="62"/>
        <v>57</v>
      </c>
      <c r="H81" s="23">
        <f t="shared" si="2"/>
        <v>1.4193</v>
      </c>
      <c r="I81" s="40"/>
    </row>
    <row r="82" spans="1:9" ht="14.25" customHeight="1" x14ac:dyDescent="0.2">
      <c r="A82" s="26">
        <v>62</v>
      </c>
      <c r="B82" s="48">
        <v>242</v>
      </c>
      <c r="C82" s="48">
        <v>63</v>
      </c>
      <c r="D82" s="23">
        <f t="shared" si="0"/>
        <v>1.5246</v>
      </c>
      <c r="E82" s="27"/>
      <c r="F82" s="28">
        <f t="shared" ref="F82:G82" si="63">B82-5</f>
        <v>237</v>
      </c>
      <c r="G82" s="28">
        <f t="shared" si="63"/>
        <v>58</v>
      </c>
      <c r="H82" s="23">
        <f t="shared" si="2"/>
        <v>1.3746</v>
      </c>
      <c r="I82" s="40"/>
    </row>
    <row r="83" spans="1:9" ht="14.25" customHeight="1" x14ac:dyDescent="0.2">
      <c r="A83" s="22">
        <v>63</v>
      </c>
      <c r="B83" s="48">
        <v>219</v>
      </c>
      <c r="C83" s="48">
        <v>92</v>
      </c>
      <c r="D83" s="23">
        <f t="shared" si="0"/>
        <v>2.0148000000000001</v>
      </c>
      <c r="E83" s="27"/>
      <c r="F83" s="28">
        <f t="shared" ref="F83:G83" si="64">B83-5</f>
        <v>214</v>
      </c>
      <c r="G83" s="28">
        <f t="shared" si="64"/>
        <v>87</v>
      </c>
      <c r="H83" s="23">
        <f t="shared" si="2"/>
        <v>1.8617999999999999</v>
      </c>
      <c r="I83" s="40"/>
    </row>
    <row r="84" spans="1:9" ht="14.25" customHeight="1" x14ac:dyDescent="0.2">
      <c r="A84" s="26">
        <v>64</v>
      </c>
      <c r="B84" s="48">
        <v>219</v>
      </c>
      <c r="C84" s="48">
        <v>95</v>
      </c>
      <c r="D84" s="23">
        <f t="shared" si="0"/>
        <v>2.0804999999999998</v>
      </c>
      <c r="E84" s="27"/>
      <c r="F84" s="28">
        <f t="shared" ref="F84:G84" si="65">B84-5</f>
        <v>214</v>
      </c>
      <c r="G84" s="28">
        <f t="shared" si="65"/>
        <v>90</v>
      </c>
      <c r="H84" s="23">
        <f t="shared" si="2"/>
        <v>1.9259999999999999</v>
      </c>
      <c r="I84" s="40"/>
    </row>
    <row r="85" spans="1:9" ht="14.25" customHeight="1" x14ac:dyDescent="0.2">
      <c r="A85" s="22">
        <v>65</v>
      </c>
      <c r="B85" s="48">
        <v>219</v>
      </c>
      <c r="C85" s="48">
        <v>95</v>
      </c>
      <c r="D85" s="23">
        <f t="shared" si="0"/>
        <v>2.0804999999999998</v>
      </c>
      <c r="E85" s="27"/>
      <c r="F85" s="28">
        <f t="shared" ref="F85:G85" si="66">B85-5</f>
        <v>214</v>
      </c>
      <c r="G85" s="28">
        <f t="shared" si="66"/>
        <v>90</v>
      </c>
      <c r="H85" s="23">
        <f t="shared" si="2"/>
        <v>1.9259999999999999</v>
      </c>
    </row>
    <row r="86" spans="1:9" ht="14.25" customHeight="1" x14ac:dyDescent="0.2">
      <c r="A86" s="26">
        <v>66</v>
      </c>
      <c r="B86" s="48">
        <v>220</v>
      </c>
      <c r="C86" s="48">
        <v>95</v>
      </c>
      <c r="D86" s="23">
        <f t="shared" si="0"/>
        <v>2.09</v>
      </c>
      <c r="E86" s="27"/>
      <c r="F86" s="28">
        <f t="shared" ref="F86:G86" si="67">B86-5</f>
        <v>215</v>
      </c>
      <c r="G86" s="28">
        <f t="shared" si="67"/>
        <v>90</v>
      </c>
      <c r="H86" s="23">
        <f t="shared" si="2"/>
        <v>1.9350000000000001</v>
      </c>
    </row>
    <row r="87" spans="1:9" ht="14.25" customHeight="1" x14ac:dyDescent="0.2">
      <c r="A87" s="22">
        <v>67</v>
      </c>
      <c r="B87" s="48">
        <v>220</v>
      </c>
      <c r="C87" s="48">
        <v>95</v>
      </c>
      <c r="D87" s="23">
        <f t="shared" ref="D87:D137" si="68">B87*C87/10000</f>
        <v>2.09</v>
      </c>
      <c r="E87" s="27"/>
      <c r="F87" s="28">
        <f t="shared" ref="F87:G87" si="69">B87-5</f>
        <v>215</v>
      </c>
      <c r="G87" s="28">
        <f t="shared" si="69"/>
        <v>90</v>
      </c>
      <c r="H87" s="23">
        <f t="shared" ref="H87:H137" si="70">F87*G87/10000</f>
        <v>1.9350000000000001</v>
      </c>
    </row>
    <row r="88" spans="1:9" ht="14.25" customHeight="1" x14ac:dyDescent="0.2">
      <c r="A88" s="26">
        <v>68</v>
      </c>
      <c r="B88" s="48">
        <v>221</v>
      </c>
      <c r="C88" s="48">
        <v>93</v>
      </c>
      <c r="D88" s="23">
        <f t="shared" si="68"/>
        <v>2.0552999999999999</v>
      </c>
      <c r="E88" s="27"/>
      <c r="F88" s="28">
        <f t="shared" ref="F88:G88" si="71">B88-5</f>
        <v>216</v>
      </c>
      <c r="G88" s="28">
        <f t="shared" si="71"/>
        <v>88</v>
      </c>
      <c r="H88" s="23">
        <f t="shared" si="70"/>
        <v>1.9008</v>
      </c>
    </row>
    <row r="89" spans="1:9" ht="14.25" customHeight="1" x14ac:dyDescent="0.2">
      <c r="A89" s="22">
        <v>69</v>
      </c>
      <c r="B89" s="48">
        <v>216</v>
      </c>
      <c r="C89" s="48">
        <v>89</v>
      </c>
      <c r="D89" s="23">
        <f t="shared" si="68"/>
        <v>1.9224000000000001</v>
      </c>
      <c r="E89" s="27"/>
      <c r="F89" s="28">
        <f t="shared" ref="F89:G89" si="72">B89-5</f>
        <v>211</v>
      </c>
      <c r="G89" s="28">
        <f t="shared" si="72"/>
        <v>84</v>
      </c>
      <c r="H89" s="23">
        <f t="shared" si="70"/>
        <v>1.7724</v>
      </c>
      <c r="I89" s="40"/>
    </row>
    <row r="90" spans="1:9" ht="14.25" customHeight="1" x14ac:dyDescent="0.2">
      <c r="A90" s="26">
        <v>70</v>
      </c>
      <c r="B90" s="48">
        <v>216</v>
      </c>
      <c r="C90" s="48">
        <v>91</v>
      </c>
      <c r="D90" s="23">
        <f t="shared" si="68"/>
        <v>1.9656</v>
      </c>
      <c r="E90" s="27"/>
      <c r="F90" s="28">
        <f t="shared" ref="F90:G90" si="73">B90-5</f>
        <v>211</v>
      </c>
      <c r="G90" s="28">
        <f t="shared" si="73"/>
        <v>86</v>
      </c>
      <c r="H90" s="23">
        <f t="shared" si="70"/>
        <v>1.8146</v>
      </c>
      <c r="I90" s="40"/>
    </row>
    <row r="91" spans="1:9" ht="14.25" customHeight="1" x14ac:dyDescent="0.2">
      <c r="A91" s="22">
        <v>71</v>
      </c>
      <c r="B91" s="48">
        <v>220</v>
      </c>
      <c r="C91" s="48">
        <v>77</v>
      </c>
      <c r="D91" s="23">
        <f t="shared" si="68"/>
        <v>1.694</v>
      </c>
      <c r="E91" s="27"/>
      <c r="F91" s="28">
        <f t="shared" ref="F91:G91" si="74">B91-5</f>
        <v>215</v>
      </c>
      <c r="G91" s="28">
        <f t="shared" si="74"/>
        <v>72</v>
      </c>
      <c r="H91" s="23">
        <f t="shared" si="70"/>
        <v>1.548</v>
      </c>
      <c r="I91" s="40"/>
    </row>
    <row r="92" spans="1:9" ht="14.25" customHeight="1" x14ac:dyDescent="0.2">
      <c r="A92" s="26">
        <v>72</v>
      </c>
      <c r="B92" s="48">
        <v>223</v>
      </c>
      <c r="C92" s="48">
        <v>92</v>
      </c>
      <c r="D92" s="23">
        <f t="shared" si="68"/>
        <v>2.0516000000000001</v>
      </c>
      <c r="E92" s="27"/>
      <c r="F92" s="28">
        <f t="shared" ref="F92:G92" si="75">B92-5</f>
        <v>218</v>
      </c>
      <c r="G92" s="28">
        <f t="shared" si="75"/>
        <v>87</v>
      </c>
      <c r="H92" s="23">
        <f t="shared" si="70"/>
        <v>1.8966000000000001</v>
      </c>
      <c r="I92" s="40"/>
    </row>
    <row r="93" spans="1:9" ht="14.25" customHeight="1" x14ac:dyDescent="0.2">
      <c r="A93" s="22">
        <v>73</v>
      </c>
      <c r="B93" s="48">
        <v>223</v>
      </c>
      <c r="C93" s="48">
        <v>74</v>
      </c>
      <c r="D93" s="23">
        <f t="shared" si="68"/>
        <v>1.6501999999999999</v>
      </c>
      <c r="E93" s="27"/>
      <c r="F93" s="28">
        <f t="shared" ref="F93:G93" si="76">B93-5</f>
        <v>218</v>
      </c>
      <c r="G93" s="28">
        <f t="shared" si="76"/>
        <v>69</v>
      </c>
      <c r="H93" s="23">
        <f t="shared" si="70"/>
        <v>1.5042</v>
      </c>
      <c r="I93" s="40"/>
    </row>
    <row r="94" spans="1:9" ht="14.25" customHeight="1" x14ac:dyDescent="0.2">
      <c r="A94" s="26">
        <v>74</v>
      </c>
      <c r="B94" s="48">
        <v>223</v>
      </c>
      <c r="C94" s="48">
        <v>75</v>
      </c>
      <c r="D94" s="23">
        <f t="shared" si="68"/>
        <v>1.6725000000000001</v>
      </c>
      <c r="E94" s="27"/>
      <c r="F94" s="28">
        <f t="shared" ref="F94:G94" si="77">B94-5</f>
        <v>218</v>
      </c>
      <c r="G94" s="28">
        <f t="shared" si="77"/>
        <v>70</v>
      </c>
      <c r="H94" s="23">
        <f t="shared" si="70"/>
        <v>1.526</v>
      </c>
    </row>
    <row r="95" spans="1:9" ht="14.25" customHeight="1" x14ac:dyDescent="0.2">
      <c r="A95" s="22">
        <v>75</v>
      </c>
      <c r="B95" s="48">
        <v>233</v>
      </c>
      <c r="C95" s="48">
        <v>75</v>
      </c>
      <c r="D95" s="23">
        <f t="shared" si="68"/>
        <v>1.7475000000000001</v>
      </c>
      <c r="E95" s="27"/>
      <c r="F95" s="28">
        <f t="shared" ref="F95:G95" si="78">B95-5</f>
        <v>228</v>
      </c>
      <c r="G95" s="28">
        <f t="shared" si="78"/>
        <v>70</v>
      </c>
      <c r="H95" s="23">
        <f t="shared" si="70"/>
        <v>1.5960000000000001</v>
      </c>
    </row>
    <row r="96" spans="1:9" ht="14.25" customHeight="1" x14ac:dyDescent="0.2">
      <c r="A96" s="26">
        <v>76</v>
      </c>
      <c r="B96" s="48">
        <v>221</v>
      </c>
      <c r="C96" s="48">
        <v>75</v>
      </c>
      <c r="D96" s="23">
        <f t="shared" si="68"/>
        <v>1.6575</v>
      </c>
      <c r="E96" s="27"/>
      <c r="F96" s="28">
        <f t="shared" ref="F96:G96" si="79">B96-5</f>
        <v>216</v>
      </c>
      <c r="G96" s="28">
        <f t="shared" si="79"/>
        <v>70</v>
      </c>
      <c r="H96" s="23">
        <f t="shared" si="70"/>
        <v>1.512</v>
      </c>
    </row>
    <row r="97" spans="1:9" ht="14.25" customHeight="1" x14ac:dyDescent="0.2">
      <c r="A97" s="22">
        <v>77</v>
      </c>
      <c r="B97" s="48">
        <v>216</v>
      </c>
      <c r="C97" s="48">
        <v>75</v>
      </c>
      <c r="D97" s="23">
        <f t="shared" si="68"/>
        <v>1.62</v>
      </c>
      <c r="E97" s="27"/>
      <c r="F97" s="28">
        <f t="shared" ref="F97:G97" si="80">B97-5</f>
        <v>211</v>
      </c>
      <c r="G97" s="28">
        <f t="shared" si="80"/>
        <v>70</v>
      </c>
      <c r="H97" s="23">
        <f t="shared" si="70"/>
        <v>1.4770000000000001</v>
      </c>
      <c r="I97" s="40"/>
    </row>
    <row r="98" spans="1:9" ht="14.25" customHeight="1" x14ac:dyDescent="0.2">
      <c r="A98" s="26">
        <v>78</v>
      </c>
      <c r="B98" s="48">
        <v>228</v>
      </c>
      <c r="C98" s="48">
        <v>92</v>
      </c>
      <c r="D98" s="23">
        <f t="shared" si="68"/>
        <v>2.0975999999999999</v>
      </c>
      <c r="E98" s="27"/>
      <c r="F98" s="28">
        <f t="shared" ref="F98:G98" si="81">B98-5</f>
        <v>223</v>
      </c>
      <c r="G98" s="28">
        <f t="shared" si="81"/>
        <v>87</v>
      </c>
      <c r="H98" s="23">
        <f t="shared" si="70"/>
        <v>1.9400999999999999</v>
      </c>
      <c r="I98" s="40"/>
    </row>
    <row r="99" spans="1:9" ht="14.25" customHeight="1" x14ac:dyDescent="0.2">
      <c r="A99" s="22">
        <v>79</v>
      </c>
      <c r="B99" s="48">
        <v>246</v>
      </c>
      <c r="C99" s="48">
        <v>77</v>
      </c>
      <c r="D99" s="23">
        <f t="shared" si="68"/>
        <v>1.8942000000000001</v>
      </c>
      <c r="E99" s="27"/>
      <c r="F99" s="28">
        <f t="shared" ref="F99:G99" si="82">B99-5</f>
        <v>241</v>
      </c>
      <c r="G99" s="28">
        <f t="shared" si="82"/>
        <v>72</v>
      </c>
      <c r="H99" s="23">
        <f t="shared" si="70"/>
        <v>1.7352000000000001</v>
      </c>
      <c r="I99" s="40"/>
    </row>
    <row r="100" spans="1:9" ht="14.25" customHeight="1" x14ac:dyDescent="0.2">
      <c r="A100" s="26">
        <v>80</v>
      </c>
      <c r="B100" s="48">
        <v>233</v>
      </c>
      <c r="C100" s="48">
        <v>80</v>
      </c>
      <c r="D100" s="23">
        <f t="shared" si="68"/>
        <v>1.8640000000000001</v>
      </c>
      <c r="E100" s="27"/>
      <c r="F100" s="28">
        <f t="shared" ref="F100:G100" si="83">B100-5</f>
        <v>228</v>
      </c>
      <c r="G100" s="28">
        <f t="shared" si="83"/>
        <v>75</v>
      </c>
      <c r="H100" s="23">
        <f t="shared" si="70"/>
        <v>1.71</v>
      </c>
      <c r="I100" s="40"/>
    </row>
    <row r="101" spans="1:9" ht="14.25" customHeight="1" x14ac:dyDescent="0.2">
      <c r="A101" s="22">
        <v>81</v>
      </c>
      <c r="B101" s="48">
        <v>235</v>
      </c>
      <c r="C101" s="48">
        <v>92</v>
      </c>
      <c r="D101" s="23">
        <f t="shared" si="68"/>
        <v>2.1619999999999999</v>
      </c>
      <c r="E101" s="27"/>
      <c r="F101" s="28">
        <f t="shared" ref="F101:G101" si="84">B101-5</f>
        <v>230</v>
      </c>
      <c r="G101" s="28">
        <f t="shared" si="84"/>
        <v>87</v>
      </c>
      <c r="H101" s="23">
        <f t="shared" si="70"/>
        <v>2.0009999999999999</v>
      </c>
      <c r="I101" s="40"/>
    </row>
    <row r="102" spans="1:9" ht="14.25" customHeight="1" x14ac:dyDescent="0.2">
      <c r="A102" s="26">
        <v>82</v>
      </c>
      <c r="B102" s="48">
        <v>230</v>
      </c>
      <c r="C102" s="48">
        <v>74</v>
      </c>
      <c r="D102" s="23">
        <f t="shared" si="68"/>
        <v>1.702</v>
      </c>
      <c r="E102" s="27"/>
      <c r="F102" s="28">
        <f t="shared" ref="F102:G102" si="85">B102-5</f>
        <v>225</v>
      </c>
      <c r="G102" s="28">
        <f t="shared" si="85"/>
        <v>69</v>
      </c>
      <c r="H102" s="23">
        <f t="shared" si="70"/>
        <v>1.5525</v>
      </c>
      <c r="I102" s="40"/>
    </row>
    <row r="103" spans="1:9" ht="14.25" customHeight="1" x14ac:dyDescent="0.2">
      <c r="A103" s="22">
        <v>83</v>
      </c>
      <c r="B103" s="48">
        <v>233</v>
      </c>
      <c r="C103" s="48">
        <v>65</v>
      </c>
      <c r="D103" s="23">
        <f t="shared" si="68"/>
        <v>1.5145</v>
      </c>
      <c r="E103" s="27"/>
      <c r="F103" s="28">
        <f t="shared" ref="F103:G103" si="86">B103-5</f>
        <v>228</v>
      </c>
      <c r="G103" s="28">
        <f t="shared" si="86"/>
        <v>60</v>
      </c>
      <c r="H103" s="23">
        <f t="shared" si="70"/>
        <v>1.3680000000000001</v>
      </c>
      <c r="I103" s="40"/>
    </row>
    <row r="104" spans="1:9" ht="14.25" customHeight="1" x14ac:dyDescent="0.2">
      <c r="A104" s="26">
        <v>84</v>
      </c>
      <c r="B104" s="48">
        <v>228</v>
      </c>
      <c r="C104" s="48">
        <v>74</v>
      </c>
      <c r="D104" s="23">
        <f t="shared" si="68"/>
        <v>1.6872</v>
      </c>
      <c r="E104" s="27"/>
      <c r="F104" s="28">
        <f t="shared" ref="F104:G104" si="87">B104-5</f>
        <v>223</v>
      </c>
      <c r="G104" s="28">
        <f t="shared" si="87"/>
        <v>69</v>
      </c>
      <c r="H104" s="23">
        <f t="shared" si="70"/>
        <v>1.5387</v>
      </c>
      <c r="I104" s="40"/>
    </row>
    <row r="105" spans="1:9" ht="14.25" customHeight="1" x14ac:dyDescent="0.2">
      <c r="A105" s="22">
        <v>85</v>
      </c>
      <c r="B105" s="48">
        <v>230</v>
      </c>
      <c r="C105" s="48">
        <v>74</v>
      </c>
      <c r="D105" s="23">
        <f t="shared" si="68"/>
        <v>1.702</v>
      </c>
      <c r="E105" s="27"/>
      <c r="F105" s="28">
        <f t="shared" ref="F105:G105" si="88">B105-5</f>
        <v>225</v>
      </c>
      <c r="G105" s="28">
        <f t="shared" si="88"/>
        <v>69</v>
      </c>
      <c r="H105" s="23">
        <f t="shared" si="70"/>
        <v>1.5525</v>
      </c>
      <c r="I105" s="40"/>
    </row>
    <row r="106" spans="1:9" ht="14.25" customHeight="1" x14ac:dyDescent="0.2">
      <c r="A106" s="26">
        <v>86</v>
      </c>
      <c r="B106" s="48">
        <v>228</v>
      </c>
      <c r="C106" s="48">
        <v>73</v>
      </c>
      <c r="D106" s="23">
        <f t="shared" si="68"/>
        <v>1.6644000000000001</v>
      </c>
      <c r="E106" s="27"/>
      <c r="F106" s="28">
        <f t="shared" ref="F106:G106" si="89">B106-5</f>
        <v>223</v>
      </c>
      <c r="G106" s="28">
        <f t="shared" si="89"/>
        <v>68</v>
      </c>
      <c r="H106" s="23">
        <f t="shared" si="70"/>
        <v>1.5164</v>
      </c>
      <c r="I106" s="40"/>
    </row>
    <row r="107" spans="1:9" ht="14.25" customHeight="1" x14ac:dyDescent="0.2">
      <c r="A107" s="22">
        <v>87</v>
      </c>
      <c r="B107" s="48">
        <v>230</v>
      </c>
      <c r="C107" s="48">
        <v>74</v>
      </c>
      <c r="D107" s="23">
        <f t="shared" si="68"/>
        <v>1.702</v>
      </c>
      <c r="E107" s="27"/>
      <c r="F107" s="28">
        <f t="shared" ref="F107:G107" si="90">B107-5</f>
        <v>225</v>
      </c>
      <c r="G107" s="28">
        <f t="shared" si="90"/>
        <v>69</v>
      </c>
      <c r="H107" s="23">
        <f t="shared" si="70"/>
        <v>1.5525</v>
      </c>
      <c r="I107" s="40"/>
    </row>
    <row r="108" spans="1:9" ht="14.25" customHeight="1" x14ac:dyDescent="0.2">
      <c r="A108" s="26">
        <v>88</v>
      </c>
      <c r="B108" s="48">
        <v>230</v>
      </c>
      <c r="C108" s="48">
        <v>70</v>
      </c>
      <c r="D108" s="23">
        <f t="shared" si="68"/>
        <v>1.61</v>
      </c>
      <c r="E108" s="27"/>
      <c r="F108" s="28">
        <f t="shared" ref="F108:G108" si="91">B108-5</f>
        <v>225</v>
      </c>
      <c r="G108" s="28">
        <f t="shared" si="91"/>
        <v>65</v>
      </c>
      <c r="H108" s="23">
        <f t="shared" si="70"/>
        <v>1.4624999999999999</v>
      </c>
      <c r="I108" s="40"/>
    </row>
    <row r="109" spans="1:9" ht="14.25" customHeight="1" x14ac:dyDescent="0.2">
      <c r="A109" s="22">
        <v>89</v>
      </c>
      <c r="B109" s="48">
        <v>278</v>
      </c>
      <c r="C109" s="48">
        <v>60</v>
      </c>
      <c r="D109" s="23">
        <f t="shared" si="68"/>
        <v>1.6679999999999999</v>
      </c>
      <c r="E109" s="27"/>
      <c r="F109" s="28">
        <f t="shared" ref="F109:G109" si="92">B109-5</f>
        <v>273</v>
      </c>
      <c r="G109" s="28">
        <f t="shared" si="92"/>
        <v>55</v>
      </c>
      <c r="H109" s="23">
        <f t="shared" si="70"/>
        <v>1.5015000000000001</v>
      </c>
      <c r="I109" s="40"/>
    </row>
    <row r="110" spans="1:9" ht="14.25" customHeight="1" x14ac:dyDescent="0.2">
      <c r="A110" s="26">
        <v>90</v>
      </c>
      <c r="B110" s="48">
        <v>258</v>
      </c>
      <c r="C110" s="48">
        <v>75</v>
      </c>
      <c r="D110" s="23">
        <f t="shared" si="68"/>
        <v>1.9350000000000001</v>
      </c>
      <c r="E110" s="27"/>
      <c r="F110" s="28">
        <f t="shared" ref="F110:G110" si="93">B110-5</f>
        <v>253</v>
      </c>
      <c r="G110" s="28">
        <f t="shared" si="93"/>
        <v>70</v>
      </c>
      <c r="H110" s="23">
        <f t="shared" si="70"/>
        <v>1.7709999999999999</v>
      </c>
      <c r="I110" s="40"/>
    </row>
    <row r="111" spans="1:9" ht="14.25" customHeight="1" x14ac:dyDescent="0.2">
      <c r="A111" s="22">
        <v>91</v>
      </c>
      <c r="B111" s="48">
        <v>245</v>
      </c>
      <c r="C111" s="48">
        <v>76</v>
      </c>
      <c r="D111" s="23">
        <f t="shared" si="68"/>
        <v>1.8620000000000001</v>
      </c>
      <c r="E111" s="27"/>
      <c r="F111" s="28">
        <f t="shared" ref="F111:G111" si="94">B111-5</f>
        <v>240</v>
      </c>
      <c r="G111" s="28">
        <f t="shared" si="94"/>
        <v>71</v>
      </c>
      <c r="H111" s="23">
        <f t="shared" si="70"/>
        <v>1.704</v>
      </c>
      <c r="I111" s="40"/>
    </row>
    <row r="112" spans="1:9" ht="14.25" customHeight="1" x14ac:dyDescent="0.2">
      <c r="A112" s="26">
        <v>92</v>
      </c>
      <c r="B112" s="48">
        <v>250</v>
      </c>
      <c r="C112" s="48">
        <v>73</v>
      </c>
      <c r="D112" s="23">
        <f t="shared" si="68"/>
        <v>1.825</v>
      </c>
      <c r="E112" s="27"/>
      <c r="F112" s="28">
        <f t="shared" ref="F112:G112" si="95">B112-5</f>
        <v>245</v>
      </c>
      <c r="G112" s="28">
        <f t="shared" si="95"/>
        <v>68</v>
      </c>
      <c r="H112" s="23">
        <f t="shared" si="70"/>
        <v>1.6659999999999999</v>
      </c>
      <c r="I112" s="40"/>
    </row>
    <row r="113" spans="1:9" ht="14.25" customHeight="1" x14ac:dyDescent="0.2">
      <c r="A113" s="22">
        <v>93</v>
      </c>
      <c r="B113" s="48">
        <v>263</v>
      </c>
      <c r="C113" s="48">
        <v>73</v>
      </c>
      <c r="D113" s="23">
        <f t="shared" si="68"/>
        <v>1.9198999999999999</v>
      </c>
      <c r="E113" s="27"/>
      <c r="F113" s="28">
        <f t="shared" ref="F113:G113" si="96">B113-5</f>
        <v>258</v>
      </c>
      <c r="G113" s="28">
        <f t="shared" si="96"/>
        <v>68</v>
      </c>
      <c r="H113" s="23">
        <f t="shared" si="70"/>
        <v>1.7544</v>
      </c>
      <c r="I113" s="40"/>
    </row>
    <row r="114" spans="1:9" ht="14.25" customHeight="1" x14ac:dyDescent="0.2">
      <c r="A114" s="26">
        <v>94</v>
      </c>
      <c r="B114" s="48">
        <v>301</v>
      </c>
      <c r="C114" s="48">
        <v>63</v>
      </c>
      <c r="D114" s="23">
        <f t="shared" si="68"/>
        <v>1.8963000000000001</v>
      </c>
      <c r="E114" s="27"/>
      <c r="F114" s="28">
        <f t="shared" ref="F114:G114" si="97">B114-5</f>
        <v>296</v>
      </c>
      <c r="G114" s="28">
        <f t="shared" si="97"/>
        <v>58</v>
      </c>
      <c r="H114" s="23">
        <f t="shared" si="70"/>
        <v>1.7168000000000001</v>
      </c>
      <c r="I114" s="40"/>
    </row>
    <row r="115" spans="1:9" ht="14.25" customHeight="1" x14ac:dyDescent="0.2">
      <c r="A115" s="22">
        <v>95</v>
      </c>
      <c r="B115" s="48">
        <v>299</v>
      </c>
      <c r="C115" s="48">
        <v>62</v>
      </c>
      <c r="D115" s="23">
        <f t="shared" si="68"/>
        <v>1.8537999999999999</v>
      </c>
      <c r="E115" s="27"/>
      <c r="F115" s="28">
        <f t="shared" ref="F115:G115" si="98">B115-5</f>
        <v>294</v>
      </c>
      <c r="G115" s="28">
        <f t="shared" si="98"/>
        <v>57</v>
      </c>
      <c r="H115" s="23">
        <f t="shared" si="70"/>
        <v>1.6758</v>
      </c>
      <c r="I115" s="40"/>
    </row>
    <row r="116" spans="1:9" ht="14.25" customHeight="1" x14ac:dyDescent="0.2">
      <c r="A116" s="26">
        <v>96</v>
      </c>
      <c r="B116" s="48">
        <v>290</v>
      </c>
      <c r="C116" s="48">
        <v>65</v>
      </c>
      <c r="D116" s="23">
        <f t="shared" si="68"/>
        <v>1.885</v>
      </c>
      <c r="E116" s="27"/>
      <c r="F116" s="28">
        <f t="shared" ref="F116:G116" si="99">B116-5</f>
        <v>285</v>
      </c>
      <c r="G116" s="28">
        <f t="shared" si="99"/>
        <v>60</v>
      </c>
      <c r="H116" s="23">
        <f t="shared" si="70"/>
        <v>1.71</v>
      </c>
      <c r="I116" s="40"/>
    </row>
    <row r="117" spans="1:9" ht="14.25" customHeight="1" x14ac:dyDescent="0.2">
      <c r="A117" s="22">
        <v>97</v>
      </c>
      <c r="B117" s="48">
        <v>293</v>
      </c>
      <c r="C117" s="48">
        <v>64</v>
      </c>
      <c r="D117" s="23">
        <f t="shared" si="68"/>
        <v>1.8752</v>
      </c>
      <c r="E117" s="27"/>
      <c r="F117" s="28">
        <f t="shared" ref="F117:G117" si="100">B117-5</f>
        <v>288</v>
      </c>
      <c r="G117" s="28">
        <f t="shared" si="100"/>
        <v>59</v>
      </c>
      <c r="H117" s="23">
        <f t="shared" si="70"/>
        <v>1.6992</v>
      </c>
      <c r="I117" s="40"/>
    </row>
    <row r="118" spans="1:9" ht="14.25" customHeight="1" x14ac:dyDescent="0.2">
      <c r="A118" s="26">
        <v>98</v>
      </c>
      <c r="B118" s="48">
        <v>289</v>
      </c>
      <c r="C118" s="48">
        <v>65</v>
      </c>
      <c r="D118" s="23">
        <f t="shared" si="68"/>
        <v>1.8785000000000001</v>
      </c>
      <c r="E118" s="27"/>
      <c r="F118" s="28">
        <f t="shared" ref="F118:G118" si="101">B118-5</f>
        <v>284</v>
      </c>
      <c r="G118" s="28">
        <f t="shared" si="101"/>
        <v>60</v>
      </c>
      <c r="H118" s="23">
        <f t="shared" si="70"/>
        <v>1.704</v>
      </c>
      <c r="I118" s="40"/>
    </row>
    <row r="119" spans="1:9" ht="14.25" customHeight="1" x14ac:dyDescent="0.2">
      <c r="A119" s="22">
        <v>99</v>
      </c>
      <c r="B119" s="48">
        <v>288</v>
      </c>
      <c r="C119" s="48">
        <v>65</v>
      </c>
      <c r="D119" s="23">
        <f t="shared" si="68"/>
        <v>1.8720000000000001</v>
      </c>
      <c r="E119" s="27"/>
      <c r="F119" s="28">
        <f t="shared" ref="F119:G119" si="102">B119-5</f>
        <v>283</v>
      </c>
      <c r="G119" s="28">
        <f t="shared" si="102"/>
        <v>60</v>
      </c>
      <c r="H119" s="23">
        <f t="shared" si="70"/>
        <v>1.698</v>
      </c>
      <c r="I119" s="40"/>
    </row>
    <row r="120" spans="1:9" ht="14.25" customHeight="1" x14ac:dyDescent="0.2">
      <c r="A120" s="26">
        <v>100</v>
      </c>
      <c r="B120" s="48">
        <v>293</v>
      </c>
      <c r="C120" s="48">
        <v>67</v>
      </c>
      <c r="D120" s="23">
        <f t="shared" si="68"/>
        <v>1.9631000000000001</v>
      </c>
      <c r="E120" s="27"/>
      <c r="F120" s="28">
        <f t="shared" ref="F120:G120" si="103">B120-5</f>
        <v>288</v>
      </c>
      <c r="G120" s="28">
        <f t="shared" si="103"/>
        <v>62</v>
      </c>
      <c r="H120" s="23">
        <f t="shared" si="70"/>
        <v>1.7856000000000001</v>
      </c>
      <c r="I120" s="40"/>
    </row>
    <row r="121" spans="1:9" ht="14.25" customHeight="1" x14ac:dyDescent="0.2">
      <c r="A121" s="22">
        <v>101</v>
      </c>
      <c r="B121" s="48">
        <v>293</v>
      </c>
      <c r="C121" s="48">
        <v>100</v>
      </c>
      <c r="D121" s="23">
        <f t="shared" si="68"/>
        <v>2.93</v>
      </c>
      <c r="E121" s="27"/>
      <c r="F121" s="28">
        <f t="shared" ref="F121:G121" si="104">B121-5</f>
        <v>288</v>
      </c>
      <c r="G121" s="28">
        <f t="shared" si="104"/>
        <v>95</v>
      </c>
      <c r="H121" s="23">
        <f t="shared" si="70"/>
        <v>2.7360000000000002</v>
      </c>
    </row>
    <row r="122" spans="1:9" ht="14.25" customHeight="1" x14ac:dyDescent="0.2">
      <c r="A122" s="26">
        <v>102</v>
      </c>
      <c r="B122" s="48">
        <v>288</v>
      </c>
      <c r="C122" s="48">
        <v>85</v>
      </c>
      <c r="D122" s="23">
        <f t="shared" si="68"/>
        <v>2.448</v>
      </c>
      <c r="E122" s="27"/>
      <c r="F122" s="28">
        <f t="shared" ref="F122:G122" si="105">B122-5</f>
        <v>283</v>
      </c>
      <c r="G122" s="28">
        <f t="shared" si="105"/>
        <v>80</v>
      </c>
      <c r="H122" s="23">
        <f t="shared" si="70"/>
        <v>2.2639999999999998</v>
      </c>
    </row>
    <row r="123" spans="1:9" ht="14.25" customHeight="1" x14ac:dyDescent="0.2">
      <c r="A123" s="22">
        <v>103</v>
      </c>
      <c r="B123" s="48">
        <v>233</v>
      </c>
      <c r="C123" s="48">
        <v>67</v>
      </c>
      <c r="D123" s="23">
        <f t="shared" si="68"/>
        <v>1.5610999999999999</v>
      </c>
      <c r="E123" s="27"/>
      <c r="F123" s="28">
        <f t="shared" ref="F123:G123" si="106">B123-5</f>
        <v>228</v>
      </c>
      <c r="G123" s="28">
        <f t="shared" si="106"/>
        <v>62</v>
      </c>
      <c r="H123" s="23">
        <f t="shared" si="70"/>
        <v>1.4136</v>
      </c>
    </row>
    <row r="124" spans="1:9" ht="14.25" customHeight="1" x14ac:dyDescent="0.2">
      <c r="A124" s="26">
        <v>104</v>
      </c>
      <c r="B124" s="48">
        <v>277</v>
      </c>
      <c r="C124" s="48">
        <v>68</v>
      </c>
      <c r="D124" s="23">
        <f t="shared" si="68"/>
        <v>1.8835999999999999</v>
      </c>
      <c r="E124" s="27"/>
      <c r="F124" s="28">
        <f t="shared" ref="F124:G124" si="107">B124-5</f>
        <v>272</v>
      </c>
      <c r="G124" s="28">
        <f t="shared" si="107"/>
        <v>63</v>
      </c>
      <c r="H124" s="23">
        <f t="shared" si="70"/>
        <v>1.7136</v>
      </c>
      <c r="I124" s="40"/>
    </row>
    <row r="125" spans="1:9" ht="14.25" customHeight="1" x14ac:dyDescent="0.2">
      <c r="A125" s="22">
        <v>105</v>
      </c>
      <c r="B125" s="48">
        <v>274</v>
      </c>
      <c r="C125" s="48">
        <v>67</v>
      </c>
      <c r="D125" s="23">
        <f t="shared" si="68"/>
        <v>1.8358000000000001</v>
      </c>
      <c r="E125" s="27"/>
      <c r="F125" s="28">
        <f t="shared" ref="F125:G125" si="108">B125-5</f>
        <v>269</v>
      </c>
      <c r="G125" s="28">
        <f t="shared" si="108"/>
        <v>62</v>
      </c>
      <c r="H125" s="23">
        <f t="shared" si="70"/>
        <v>1.6677999999999999</v>
      </c>
      <c r="I125" s="40"/>
    </row>
    <row r="126" spans="1:9" ht="14.25" customHeight="1" x14ac:dyDescent="0.2">
      <c r="A126" s="26">
        <v>106</v>
      </c>
      <c r="B126" s="48">
        <v>233</v>
      </c>
      <c r="C126" s="48">
        <v>67</v>
      </c>
      <c r="D126" s="23">
        <f>B126*C126/10000</f>
        <v>1.5610999999999999</v>
      </c>
      <c r="E126" s="27"/>
      <c r="F126" s="28">
        <f t="shared" ref="F126" si="109">B126-5</f>
        <v>228</v>
      </c>
      <c r="G126" s="28">
        <f>C126-5</f>
        <v>62</v>
      </c>
      <c r="H126" s="23">
        <f t="shared" si="70"/>
        <v>1.4136</v>
      </c>
      <c r="I126" s="40"/>
    </row>
    <row r="127" spans="1:9" ht="14.25" customHeight="1" x14ac:dyDescent="0.2">
      <c r="A127" s="22">
        <v>107</v>
      </c>
      <c r="B127" s="48">
        <v>216</v>
      </c>
      <c r="C127" s="48">
        <v>67</v>
      </c>
      <c r="D127" s="23">
        <f>B127*C127/10000</f>
        <v>1.4472</v>
      </c>
      <c r="E127" s="27"/>
      <c r="F127" s="28">
        <f t="shared" ref="F127" si="110">B127-5</f>
        <v>211</v>
      </c>
      <c r="G127" s="28">
        <f>C127-5</f>
        <v>62</v>
      </c>
      <c r="H127" s="23">
        <f t="shared" si="70"/>
        <v>1.3082</v>
      </c>
    </row>
    <row r="128" spans="1:9" ht="14.25" customHeight="1" x14ac:dyDescent="0.2">
      <c r="A128" s="26">
        <v>108</v>
      </c>
      <c r="B128" s="48">
        <v>232</v>
      </c>
      <c r="C128" s="48">
        <v>67</v>
      </c>
      <c r="D128" s="23">
        <f t="shared" si="68"/>
        <v>1.5544</v>
      </c>
      <c r="E128" s="27"/>
      <c r="F128" s="28">
        <f t="shared" ref="F128:G128" si="111">B128-5</f>
        <v>227</v>
      </c>
      <c r="G128" s="28">
        <f t="shared" si="111"/>
        <v>62</v>
      </c>
      <c r="H128" s="23">
        <f t="shared" si="70"/>
        <v>1.4074</v>
      </c>
      <c r="I128" s="40"/>
    </row>
    <row r="129" spans="1:9" ht="14.25" customHeight="1" x14ac:dyDescent="0.2">
      <c r="A129" s="22">
        <v>109</v>
      </c>
      <c r="B129" s="48">
        <v>204</v>
      </c>
      <c r="C129" s="48">
        <v>67</v>
      </c>
      <c r="D129" s="23">
        <f t="shared" si="68"/>
        <v>1.3668</v>
      </c>
      <c r="E129" s="27"/>
      <c r="F129" s="28">
        <f t="shared" ref="F129:G129" si="112">B129-5</f>
        <v>199</v>
      </c>
      <c r="G129" s="28">
        <f t="shared" si="112"/>
        <v>62</v>
      </c>
      <c r="H129" s="23">
        <f t="shared" si="70"/>
        <v>1.2338</v>
      </c>
      <c r="I129" s="40"/>
    </row>
    <row r="130" spans="1:9" ht="14.25" customHeight="1" x14ac:dyDescent="0.2">
      <c r="A130" s="26">
        <v>110</v>
      </c>
      <c r="B130" s="48">
        <v>219</v>
      </c>
      <c r="C130" s="48">
        <v>67</v>
      </c>
      <c r="D130" s="23">
        <f t="shared" si="68"/>
        <v>1.4673</v>
      </c>
      <c r="E130" s="27"/>
      <c r="F130" s="28">
        <f t="shared" ref="F130:G130" si="113">B130-5</f>
        <v>214</v>
      </c>
      <c r="G130" s="28">
        <f t="shared" si="113"/>
        <v>62</v>
      </c>
      <c r="H130" s="23">
        <f t="shared" si="70"/>
        <v>1.3268</v>
      </c>
    </row>
    <row r="131" spans="1:9" ht="14.25" customHeight="1" x14ac:dyDescent="0.2">
      <c r="A131" s="22">
        <v>111</v>
      </c>
      <c r="B131" s="48">
        <v>196</v>
      </c>
      <c r="C131" s="48">
        <v>66</v>
      </c>
      <c r="D131" s="23">
        <f t="shared" si="68"/>
        <v>1.2936000000000001</v>
      </c>
      <c r="E131" s="27"/>
      <c r="F131" s="28">
        <f t="shared" ref="F131:G131" si="114">B131-5</f>
        <v>191</v>
      </c>
      <c r="G131" s="28">
        <f t="shared" si="114"/>
        <v>61</v>
      </c>
      <c r="H131" s="23">
        <f t="shared" si="70"/>
        <v>1.1651</v>
      </c>
    </row>
    <row r="132" spans="1:9" ht="14.25" customHeight="1" x14ac:dyDescent="0.2">
      <c r="A132" s="26">
        <v>112</v>
      </c>
      <c r="B132" s="48">
        <v>205</v>
      </c>
      <c r="C132" s="48">
        <v>67</v>
      </c>
      <c r="D132" s="23">
        <f t="shared" si="68"/>
        <v>1.3734999999999999</v>
      </c>
      <c r="E132" s="27"/>
      <c r="F132" s="28">
        <f t="shared" ref="F132:G132" si="115">B132-5</f>
        <v>200</v>
      </c>
      <c r="G132" s="28">
        <f t="shared" si="115"/>
        <v>62</v>
      </c>
      <c r="H132" s="23">
        <f t="shared" si="70"/>
        <v>1.24</v>
      </c>
    </row>
    <row r="133" spans="1:9" ht="14.25" customHeight="1" x14ac:dyDescent="0.2">
      <c r="A133" s="22">
        <v>113</v>
      </c>
      <c r="B133" s="48">
        <v>189</v>
      </c>
      <c r="C133" s="48">
        <v>67</v>
      </c>
      <c r="D133" s="23">
        <f t="shared" si="68"/>
        <v>1.2663</v>
      </c>
      <c r="E133" s="27"/>
      <c r="F133" s="28">
        <f t="shared" ref="F133:G133" si="116">B133-5</f>
        <v>184</v>
      </c>
      <c r="G133" s="28">
        <f t="shared" si="116"/>
        <v>62</v>
      </c>
      <c r="H133" s="23">
        <f t="shared" si="70"/>
        <v>1.1408</v>
      </c>
    </row>
    <row r="134" spans="1:9" ht="14.25" customHeight="1" x14ac:dyDescent="0.2">
      <c r="A134" s="26">
        <v>114</v>
      </c>
      <c r="B134" s="48">
        <v>185</v>
      </c>
      <c r="C134" s="48">
        <v>66</v>
      </c>
      <c r="D134" s="23">
        <f t="shared" si="68"/>
        <v>1.2210000000000001</v>
      </c>
      <c r="E134" s="27"/>
      <c r="F134" s="28">
        <f t="shared" ref="F134:G134" si="117">B134-5</f>
        <v>180</v>
      </c>
      <c r="G134" s="28">
        <f t="shared" si="117"/>
        <v>61</v>
      </c>
      <c r="H134" s="23">
        <f t="shared" si="70"/>
        <v>1.0980000000000001</v>
      </c>
      <c r="I134" s="42"/>
    </row>
    <row r="135" spans="1:9" ht="14.25" customHeight="1" x14ac:dyDescent="0.2">
      <c r="A135" s="22">
        <v>115</v>
      </c>
      <c r="B135" s="48">
        <v>198</v>
      </c>
      <c r="C135" s="48">
        <v>68</v>
      </c>
      <c r="D135" s="23">
        <f t="shared" si="68"/>
        <v>1.3464</v>
      </c>
      <c r="E135" s="27"/>
      <c r="F135" s="28">
        <f t="shared" ref="F135:G135" si="118">B135-5</f>
        <v>193</v>
      </c>
      <c r="G135" s="28">
        <f t="shared" si="118"/>
        <v>63</v>
      </c>
      <c r="H135" s="23">
        <f t="shared" si="70"/>
        <v>1.2159</v>
      </c>
      <c r="I135" s="42"/>
    </row>
    <row r="136" spans="1:9" ht="14.25" customHeight="1" x14ac:dyDescent="0.2">
      <c r="A136" s="26">
        <v>116</v>
      </c>
      <c r="B136" s="48">
        <v>190</v>
      </c>
      <c r="C136" s="48">
        <v>71</v>
      </c>
      <c r="D136" s="23">
        <f t="shared" si="68"/>
        <v>1.349</v>
      </c>
      <c r="E136" s="27"/>
      <c r="F136" s="28">
        <f t="shared" ref="F136:G136" si="119">B136-5</f>
        <v>185</v>
      </c>
      <c r="G136" s="28">
        <f t="shared" si="119"/>
        <v>66</v>
      </c>
      <c r="H136" s="23">
        <f t="shared" si="70"/>
        <v>1.2210000000000001</v>
      </c>
      <c r="I136" s="42"/>
    </row>
    <row r="137" spans="1:9" ht="14.25" customHeight="1" x14ac:dyDescent="0.2">
      <c r="A137" s="22">
        <v>117</v>
      </c>
      <c r="B137" s="48">
        <v>193</v>
      </c>
      <c r="C137" s="48">
        <v>71</v>
      </c>
      <c r="D137" s="23">
        <f t="shared" si="68"/>
        <v>1.3703000000000001</v>
      </c>
      <c r="E137" s="27"/>
      <c r="F137" s="28">
        <f t="shared" ref="F137:G137" si="120">B137-5</f>
        <v>188</v>
      </c>
      <c r="G137" s="28">
        <f t="shared" si="120"/>
        <v>66</v>
      </c>
      <c r="H137" s="23">
        <f t="shared" si="70"/>
        <v>1.2407999999999999</v>
      </c>
      <c r="I137" s="42"/>
    </row>
    <row r="138" spans="1:9" ht="14.25" customHeight="1" x14ac:dyDescent="0.2">
      <c r="A138" s="81" t="s">
        <v>18</v>
      </c>
      <c r="B138" s="82"/>
      <c r="C138" s="83"/>
      <c r="D138" s="39">
        <f>SUM(D21:D137)</f>
        <v>235.65760000000009</v>
      </c>
      <c r="E138" s="38"/>
      <c r="F138" s="84" t="s">
        <v>19</v>
      </c>
      <c r="G138" s="85"/>
      <c r="H138" s="39">
        <f>SUM(H21:H137)</f>
        <v>216.43260000000012</v>
      </c>
    </row>
    <row r="139" spans="1:9" ht="15.75" customHeight="1" x14ac:dyDescent="0.2">
      <c r="A139" s="38"/>
      <c r="B139" s="38"/>
      <c r="C139" s="38"/>
      <c r="D139" s="38"/>
      <c r="E139" s="38"/>
      <c r="F139" s="38"/>
      <c r="G139" s="38"/>
      <c r="H139" s="38"/>
    </row>
    <row r="140" spans="1:9" ht="14.25" customHeight="1" x14ac:dyDescent="0.2">
      <c r="A140" s="38"/>
      <c r="B140" s="38"/>
      <c r="C140" s="38"/>
      <c r="D140" s="38"/>
      <c r="E140" s="38"/>
      <c r="F140" s="38"/>
      <c r="G140" s="38"/>
      <c r="H140" s="38"/>
    </row>
    <row r="141" spans="1:9" s="52" customFormat="1" ht="14.25" customHeight="1" x14ac:dyDescent="0.2">
      <c r="A141" s="51"/>
      <c r="B141" s="51"/>
      <c r="C141" s="51"/>
      <c r="D141" s="51"/>
      <c r="E141" s="51"/>
      <c r="F141" s="51"/>
      <c r="G141" s="51"/>
      <c r="H141" s="51"/>
    </row>
    <row r="142" spans="1:9" s="52" customFormat="1" ht="14.25" customHeight="1" x14ac:dyDescent="0.2">
      <c r="A142" s="86"/>
      <c r="B142" s="87"/>
      <c r="C142" s="87"/>
      <c r="D142" s="2"/>
      <c r="E142" s="2"/>
      <c r="F142" s="88" t="s">
        <v>23</v>
      </c>
      <c r="G142" s="88"/>
      <c r="H142" s="88"/>
    </row>
    <row r="143" spans="1:9" s="52" customFormat="1" ht="14.25" customHeight="1" x14ac:dyDescent="0.2">
      <c r="A143" s="87"/>
      <c r="B143" s="87"/>
      <c r="C143" s="87"/>
      <c r="D143" s="2"/>
      <c r="E143" s="2"/>
      <c r="F143" s="88"/>
      <c r="G143" s="88"/>
      <c r="H143" s="88"/>
    </row>
    <row r="144" spans="1:9" s="52" customFormat="1" ht="14.25" customHeight="1" x14ac:dyDescent="0.2">
      <c r="A144" s="5"/>
      <c r="B144" s="6"/>
      <c r="C144" s="6"/>
      <c r="D144" s="6"/>
      <c r="E144" s="6"/>
      <c r="F144" s="6"/>
      <c r="G144" s="6"/>
      <c r="H144" s="6"/>
    </row>
    <row r="145" spans="1:9" s="52" customFormat="1" ht="14.25" customHeight="1" thickBot="1" x14ac:dyDescent="0.25">
      <c r="A145" s="4"/>
      <c r="B145" s="2"/>
      <c r="C145" s="2"/>
      <c r="D145" s="2"/>
      <c r="E145" s="2"/>
      <c r="F145" s="2"/>
      <c r="G145" s="2"/>
      <c r="H145" s="2"/>
    </row>
    <row r="146" spans="1:9" s="52" customFormat="1" ht="14.25" customHeight="1" x14ac:dyDescent="0.2">
      <c r="A146" s="72" t="s">
        <v>7</v>
      </c>
      <c r="B146" s="73"/>
      <c r="C146" s="73"/>
      <c r="D146" s="74"/>
      <c r="E146" s="10"/>
      <c r="F146" s="72" t="s">
        <v>8</v>
      </c>
      <c r="G146" s="73"/>
      <c r="H146" s="74"/>
    </row>
    <row r="147" spans="1:9" s="52" customFormat="1" ht="14.25" customHeight="1" x14ac:dyDescent="0.2">
      <c r="A147" s="75"/>
      <c r="B147" s="76"/>
      <c r="C147" s="76"/>
      <c r="D147" s="77"/>
      <c r="E147" s="11"/>
      <c r="F147" s="78"/>
      <c r="G147" s="76"/>
      <c r="H147" s="77"/>
    </row>
    <row r="148" spans="1:9" s="52" customFormat="1" ht="14.25" customHeight="1" thickBot="1" x14ac:dyDescent="0.25">
      <c r="A148" s="12"/>
      <c r="B148" s="11"/>
      <c r="C148" s="11"/>
      <c r="D148" s="13"/>
      <c r="E148" s="11"/>
      <c r="F148" s="18"/>
      <c r="G148" s="11"/>
      <c r="H148" s="13"/>
    </row>
    <row r="149" spans="1:9" s="52" customFormat="1" ht="14.25" customHeight="1" thickBot="1" x14ac:dyDescent="0.25">
      <c r="A149" s="47" t="s">
        <v>9</v>
      </c>
      <c r="B149" s="19" t="s">
        <v>10</v>
      </c>
      <c r="C149" s="19" t="s">
        <v>11</v>
      </c>
      <c r="D149" s="20" t="s">
        <v>12</v>
      </c>
      <c r="E149" s="17" t="s">
        <v>13</v>
      </c>
      <c r="F149" s="14" t="s">
        <v>10</v>
      </c>
      <c r="G149" s="15" t="s">
        <v>11</v>
      </c>
      <c r="H149" s="16" t="s">
        <v>12</v>
      </c>
      <c r="I149" s="40" t="s">
        <v>21</v>
      </c>
    </row>
    <row r="150" spans="1:9" s="52" customFormat="1" ht="14.25" customHeight="1" x14ac:dyDescent="0.2">
      <c r="A150" s="48">
        <v>121</v>
      </c>
      <c r="B150" s="48">
        <v>110</v>
      </c>
      <c r="C150" s="48">
        <v>90</v>
      </c>
      <c r="D150" s="23">
        <f t="shared" ref="D150" si="121">B150*C150/10000</f>
        <v>0.99</v>
      </c>
      <c r="E150" s="24"/>
      <c r="F150" s="25">
        <f t="shared" ref="F150" si="122">B150-5</f>
        <v>105</v>
      </c>
      <c r="G150" s="25">
        <f t="shared" ref="G150" si="123">C150-5</f>
        <v>85</v>
      </c>
      <c r="H150" s="23">
        <f t="shared" ref="H150" si="124">F150*G150/10000</f>
        <v>0.89249999999999996</v>
      </c>
    </row>
    <row r="151" spans="1:9" s="52" customFormat="1" ht="14.25" customHeight="1" x14ac:dyDescent="0.2">
      <c r="A151" s="48">
        <v>122</v>
      </c>
      <c r="B151" s="48">
        <v>133</v>
      </c>
      <c r="C151" s="48">
        <v>83</v>
      </c>
      <c r="D151" s="23">
        <f t="shared" ref="D151:D209" si="125">B151*C151/10000</f>
        <v>1.1039000000000001</v>
      </c>
      <c r="E151" s="24"/>
      <c r="F151" s="25">
        <f t="shared" ref="F151:F209" si="126">B151-5</f>
        <v>128</v>
      </c>
      <c r="G151" s="25">
        <f t="shared" ref="G151:G209" si="127">C151-5</f>
        <v>78</v>
      </c>
      <c r="H151" s="23">
        <f t="shared" ref="H151:H209" si="128">F151*G151/10000</f>
        <v>0.99839999999999995</v>
      </c>
    </row>
    <row r="152" spans="1:9" s="52" customFormat="1" ht="14.25" customHeight="1" x14ac:dyDescent="0.2">
      <c r="A152" s="48">
        <v>123</v>
      </c>
      <c r="B152" s="48">
        <v>116</v>
      </c>
      <c r="C152" s="48">
        <v>90</v>
      </c>
      <c r="D152" s="23">
        <f t="shared" si="125"/>
        <v>1.044</v>
      </c>
      <c r="E152" s="24"/>
      <c r="F152" s="25">
        <f t="shared" si="126"/>
        <v>111</v>
      </c>
      <c r="G152" s="25">
        <f t="shared" si="127"/>
        <v>85</v>
      </c>
      <c r="H152" s="23">
        <f t="shared" si="128"/>
        <v>0.94350000000000001</v>
      </c>
    </row>
    <row r="153" spans="1:9" s="52" customFormat="1" ht="14.25" customHeight="1" x14ac:dyDescent="0.2">
      <c r="A153" s="48">
        <v>124</v>
      </c>
      <c r="B153" s="48">
        <v>106</v>
      </c>
      <c r="C153" s="48">
        <v>90</v>
      </c>
      <c r="D153" s="23">
        <f t="shared" si="125"/>
        <v>0.95399999999999996</v>
      </c>
      <c r="E153" s="24"/>
      <c r="F153" s="25">
        <f t="shared" si="126"/>
        <v>101</v>
      </c>
      <c r="G153" s="25">
        <f t="shared" si="127"/>
        <v>85</v>
      </c>
      <c r="H153" s="23">
        <f t="shared" si="128"/>
        <v>0.85850000000000004</v>
      </c>
    </row>
    <row r="154" spans="1:9" s="52" customFormat="1" ht="14.25" customHeight="1" x14ac:dyDescent="0.2">
      <c r="A154" s="48">
        <v>125</v>
      </c>
      <c r="B154" s="48">
        <v>134</v>
      </c>
      <c r="C154" s="48">
        <v>87</v>
      </c>
      <c r="D154" s="23">
        <f t="shared" si="125"/>
        <v>1.1657999999999999</v>
      </c>
      <c r="E154" s="24"/>
      <c r="F154" s="25">
        <f t="shared" si="126"/>
        <v>129</v>
      </c>
      <c r="G154" s="25">
        <f t="shared" si="127"/>
        <v>82</v>
      </c>
      <c r="H154" s="23">
        <f t="shared" si="128"/>
        <v>1.0578000000000001</v>
      </c>
    </row>
    <row r="155" spans="1:9" s="52" customFormat="1" ht="14.25" customHeight="1" x14ac:dyDescent="0.2">
      <c r="A155" s="48">
        <v>126</v>
      </c>
      <c r="B155" s="48">
        <v>140</v>
      </c>
      <c r="C155" s="48">
        <v>87</v>
      </c>
      <c r="D155" s="23">
        <f t="shared" si="125"/>
        <v>1.218</v>
      </c>
      <c r="E155" s="24"/>
      <c r="F155" s="25">
        <f t="shared" si="126"/>
        <v>135</v>
      </c>
      <c r="G155" s="25">
        <f t="shared" si="127"/>
        <v>82</v>
      </c>
      <c r="H155" s="23">
        <f t="shared" si="128"/>
        <v>1.107</v>
      </c>
    </row>
    <row r="156" spans="1:9" s="52" customFormat="1" ht="14.25" customHeight="1" x14ac:dyDescent="0.2">
      <c r="A156" s="48">
        <v>127</v>
      </c>
      <c r="B156" s="48">
        <v>140</v>
      </c>
      <c r="C156" s="48">
        <v>80</v>
      </c>
      <c r="D156" s="23">
        <f t="shared" si="125"/>
        <v>1.1200000000000001</v>
      </c>
      <c r="E156" s="24"/>
      <c r="F156" s="25">
        <f t="shared" si="126"/>
        <v>135</v>
      </c>
      <c r="G156" s="25">
        <f t="shared" si="127"/>
        <v>75</v>
      </c>
      <c r="H156" s="23">
        <f t="shared" si="128"/>
        <v>1.0125</v>
      </c>
    </row>
    <row r="157" spans="1:9" s="52" customFormat="1" ht="14.25" customHeight="1" x14ac:dyDescent="0.2">
      <c r="A157" s="48">
        <v>128</v>
      </c>
      <c r="B157" s="48">
        <v>134</v>
      </c>
      <c r="C157" s="48">
        <v>81</v>
      </c>
      <c r="D157" s="23">
        <f t="shared" si="125"/>
        <v>1.0853999999999999</v>
      </c>
      <c r="E157" s="24"/>
      <c r="F157" s="25">
        <f t="shared" si="126"/>
        <v>129</v>
      </c>
      <c r="G157" s="25">
        <f t="shared" si="127"/>
        <v>76</v>
      </c>
      <c r="H157" s="23">
        <f t="shared" si="128"/>
        <v>0.98040000000000005</v>
      </c>
    </row>
    <row r="158" spans="1:9" s="52" customFormat="1" ht="14.25" customHeight="1" x14ac:dyDescent="0.2">
      <c r="A158" s="48">
        <v>129</v>
      </c>
      <c r="B158" s="48">
        <v>128</v>
      </c>
      <c r="C158" s="48">
        <v>80</v>
      </c>
      <c r="D158" s="23">
        <f t="shared" si="125"/>
        <v>1.024</v>
      </c>
      <c r="E158" s="24"/>
      <c r="F158" s="25">
        <f t="shared" si="126"/>
        <v>123</v>
      </c>
      <c r="G158" s="25">
        <f t="shared" si="127"/>
        <v>75</v>
      </c>
      <c r="H158" s="23">
        <f t="shared" si="128"/>
        <v>0.92249999999999999</v>
      </c>
    </row>
    <row r="159" spans="1:9" s="52" customFormat="1" ht="14.25" customHeight="1" x14ac:dyDescent="0.2">
      <c r="A159" s="48">
        <v>130</v>
      </c>
      <c r="B159" s="48">
        <v>130</v>
      </c>
      <c r="C159" s="48">
        <v>82</v>
      </c>
      <c r="D159" s="23">
        <f t="shared" si="125"/>
        <v>1.0660000000000001</v>
      </c>
      <c r="E159" s="24"/>
      <c r="F159" s="25">
        <f t="shared" si="126"/>
        <v>125</v>
      </c>
      <c r="G159" s="25">
        <f t="shared" si="127"/>
        <v>77</v>
      </c>
      <c r="H159" s="23">
        <f t="shared" si="128"/>
        <v>0.96250000000000002</v>
      </c>
    </row>
    <row r="160" spans="1:9" s="52" customFormat="1" ht="14.25" customHeight="1" x14ac:dyDescent="0.2">
      <c r="A160" s="48">
        <v>131</v>
      </c>
      <c r="B160" s="48">
        <v>125</v>
      </c>
      <c r="C160" s="48">
        <v>85</v>
      </c>
      <c r="D160" s="23">
        <f t="shared" si="125"/>
        <v>1.0625</v>
      </c>
      <c r="E160" s="24"/>
      <c r="F160" s="25">
        <f t="shared" si="126"/>
        <v>120</v>
      </c>
      <c r="G160" s="25">
        <f t="shared" si="127"/>
        <v>80</v>
      </c>
      <c r="H160" s="23">
        <f t="shared" si="128"/>
        <v>0.96</v>
      </c>
    </row>
    <row r="161" spans="1:8" s="52" customFormat="1" ht="14.25" customHeight="1" x14ac:dyDescent="0.2">
      <c r="A161" s="48">
        <v>132</v>
      </c>
      <c r="B161" s="48">
        <v>122</v>
      </c>
      <c r="C161" s="48">
        <v>85</v>
      </c>
      <c r="D161" s="23">
        <f t="shared" si="125"/>
        <v>1.0369999999999999</v>
      </c>
      <c r="E161" s="24"/>
      <c r="F161" s="25">
        <f t="shared" si="126"/>
        <v>117</v>
      </c>
      <c r="G161" s="25">
        <f t="shared" si="127"/>
        <v>80</v>
      </c>
      <c r="H161" s="23">
        <f t="shared" si="128"/>
        <v>0.93600000000000005</v>
      </c>
    </row>
    <row r="162" spans="1:8" s="52" customFormat="1" ht="14.25" customHeight="1" x14ac:dyDescent="0.2">
      <c r="A162" s="48">
        <v>133</v>
      </c>
      <c r="B162" s="48">
        <v>120</v>
      </c>
      <c r="C162" s="48">
        <v>84</v>
      </c>
      <c r="D162" s="23">
        <f t="shared" si="125"/>
        <v>1.008</v>
      </c>
      <c r="E162" s="24"/>
      <c r="F162" s="25">
        <f t="shared" si="126"/>
        <v>115</v>
      </c>
      <c r="G162" s="25">
        <f t="shared" si="127"/>
        <v>79</v>
      </c>
      <c r="H162" s="23">
        <f t="shared" si="128"/>
        <v>0.90849999999999997</v>
      </c>
    </row>
    <row r="163" spans="1:8" s="52" customFormat="1" ht="14.25" customHeight="1" x14ac:dyDescent="0.2">
      <c r="A163" s="48">
        <v>134</v>
      </c>
      <c r="B163" s="48">
        <v>123</v>
      </c>
      <c r="C163" s="48">
        <v>85</v>
      </c>
      <c r="D163" s="23">
        <f t="shared" si="125"/>
        <v>1.0455000000000001</v>
      </c>
      <c r="E163" s="24"/>
      <c r="F163" s="25">
        <f t="shared" si="126"/>
        <v>118</v>
      </c>
      <c r="G163" s="25">
        <f t="shared" si="127"/>
        <v>80</v>
      </c>
      <c r="H163" s="23">
        <f t="shared" si="128"/>
        <v>0.94399999999999995</v>
      </c>
    </row>
    <row r="164" spans="1:8" s="52" customFormat="1" ht="14.25" customHeight="1" x14ac:dyDescent="0.2">
      <c r="A164" s="48">
        <v>135</v>
      </c>
      <c r="B164" s="48">
        <v>123</v>
      </c>
      <c r="C164" s="48">
        <v>85</v>
      </c>
      <c r="D164" s="23">
        <f t="shared" si="125"/>
        <v>1.0455000000000001</v>
      </c>
      <c r="E164" s="24"/>
      <c r="F164" s="25">
        <f t="shared" si="126"/>
        <v>118</v>
      </c>
      <c r="G164" s="25">
        <f t="shared" si="127"/>
        <v>80</v>
      </c>
      <c r="H164" s="23">
        <f t="shared" si="128"/>
        <v>0.94399999999999995</v>
      </c>
    </row>
    <row r="165" spans="1:8" s="52" customFormat="1" ht="14.25" customHeight="1" x14ac:dyDescent="0.2">
      <c r="A165" s="48">
        <v>136</v>
      </c>
      <c r="B165" s="48">
        <v>128</v>
      </c>
      <c r="C165" s="48">
        <v>85</v>
      </c>
      <c r="D165" s="23">
        <f t="shared" si="125"/>
        <v>1.0880000000000001</v>
      </c>
      <c r="E165" s="24"/>
      <c r="F165" s="25">
        <f t="shared" si="126"/>
        <v>123</v>
      </c>
      <c r="G165" s="25">
        <f t="shared" si="127"/>
        <v>80</v>
      </c>
      <c r="H165" s="23">
        <f t="shared" si="128"/>
        <v>0.98399999999999999</v>
      </c>
    </row>
    <row r="166" spans="1:8" s="52" customFormat="1" ht="14.25" customHeight="1" x14ac:dyDescent="0.2">
      <c r="A166" s="48">
        <v>137</v>
      </c>
      <c r="B166" s="48">
        <v>124</v>
      </c>
      <c r="C166" s="48">
        <v>85</v>
      </c>
      <c r="D166" s="23">
        <f t="shared" si="125"/>
        <v>1.054</v>
      </c>
      <c r="E166" s="24"/>
      <c r="F166" s="25">
        <f t="shared" si="126"/>
        <v>119</v>
      </c>
      <c r="G166" s="25">
        <f t="shared" si="127"/>
        <v>80</v>
      </c>
      <c r="H166" s="23">
        <f t="shared" si="128"/>
        <v>0.95199999999999996</v>
      </c>
    </row>
    <row r="167" spans="1:8" s="52" customFormat="1" ht="14.25" customHeight="1" x14ac:dyDescent="0.2">
      <c r="A167" s="48">
        <v>138</v>
      </c>
      <c r="B167" s="48">
        <v>101</v>
      </c>
      <c r="C167" s="48">
        <v>87</v>
      </c>
      <c r="D167" s="23">
        <f t="shared" si="125"/>
        <v>0.87870000000000004</v>
      </c>
      <c r="E167" s="24"/>
      <c r="F167" s="25">
        <f t="shared" si="126"/>
        <v>96</v>
      </c>
      <c r="G167" s="25">
        <f t="shared" si="127"/>
        <v>82</v>
      </c>
      <c r="H167" s="23">
        <f t="shared" si="128"/>
        <v>0.78720000000000001</v>
      </c>
    </row>
    <row r="168" spans="1:8" s="52" customFormat="1" ht="14.25" customHeight="1" x14ac:dyDescent="0.2">
      <c r="A168" s="48">
        <v>139</v>
      </c>
      <c r="B168" s="48">
        <v>130</v>
      </c>
      <c r="C168" s="48">
        <v>87</v>
      </c>
      <c r="D168" s="23">
        <f t="shared" si="125"/>
        <v>1.131</v>
      </c>
      <c r="E168" s="24"/>
      <c r="F168" s="25">
        <f t="shared" si="126"/>
        <v>125</v>
      </c>
      <c r="G168" s="25">
        <f t="shared" si="127"/>
        <v>82</v>
      </c>
      <c r="H168" s="23">
        <f t="shared" si="128"/>
        <v>1.0249999999999999</v>
      </c>
    </row>
    <row r="169" spans="1:8" s="52" customFormat="1" ht="14.25" customHeight="1" x14ac:dyDescent="0.2">
      <c r="A169" s="48">
        <v>140</v>
      </c>
      <c r="B169" s="48">
        <v>133</v>
      </c>
      <c r="C169" s="48">
        <v>87</v>
      </c>
      <c r="D169" s="23">
        <f t="shared" si="125"/>
        <v>1.1571</v>
      </c>
      <c r="E169" s="24"/>
      <c r="F169" s="25">
        <f t="shared" si="126"/>
        <v>128</v>
      </c>
      <c r="G169" s="25">
        <f t="shared" si="127"/>
        <v>82</v>
      </c>
      <c r="H169" s="23">
        <f t="shared" si="128"/>
        <v>1.0496000000000001</v>
      </c>
    </row>
    <row r="170" spans="1:8" s="52" customFormat="1" ht="14.25" customHeight="1" x14ac:dyDescent="0.2">
      <c r="A170" s="48">
        <v>141</v>
      </c>
      <c r="B170" s="48">
        <v>147</v>
      </c>
      <c r="C170" s="48">
        <v>88</v>
      </c>
      <c r="D170" s="23">
        <f t="shared" si="125"/>
        <v>1.2936000000000001</v>
      </c>
      <c r="E170" s="24"/>
      <c r="F170" s="25">
        <f t="shared" si="126"/>
        <v>142</v>
      </c>
      <c r="G170" s="25">
        <f t="shared" si="127"/>
        <v>83</v>
      </c>
      <c r="H170" s="23">
        <f t="shared" si="128"/>
        <v>1.1786000000000001</v>
      </c>
    </row>
    <row r="171" spans="1:8" s="52" customFormat="1" ht="14.25" customHeight="1" x14ac:dyDescent="0.2">
      <c r="A171" s="48">
        <v>142</v>
      </c>
      <c r="B171" s="48">
        <v>127</v>
      </c>
      <c r="C171" s="48">
        <v>84</v>
      </c>
      <c r="D171" s="23">
        <f t="shared" si="125"/>
        <v>1.0668</v>
      </c>
      <c r="E171" s="24"/>
      <c r="F171" s="25">
        <f t="shared" si="126"/>
        <v>122</v>
      </c>
      <c r="G171" s="25">
        <f t="shared" si="127"/>
        <v>79</v>
      </c>
      <c r="H171" s="23">
        <f t="shared" si="128"/>
        <v>0.96379999999999999</v>
      </c>
    </row>
    <row r="172" spans="1:8" s="52" customFormat="1" ht="14.25" customHeight="1" x14ac:dyDescent="0.2">
      <c r="A172" s="48">
        <v>143</v>
      </c>
      <c r="B172" s="48">
        <v>132</v>
      </c>
      <c r="C172" s="48">
        <v>85</v>
      </c>
      <c r="D172" s="23">
        <f t="shared" si="125"/>
        <v>1.1220000000000001</v>
      </c>
      <c r="E172" s="24"/>
      <c r="F172" s="25">
        <f t="shared" si="126"/>
        <v>127</v>
      </c>
      <c r="G172" s="25">
        <f t="shared" si="127"/>
        <v>80</v>
      </c>
      <c r="H172" s="23">
        <f t="shared" si="128"/>
        <v>1.016</v>
      </c>
    </row>
    <row r="173" spans="1:8" s="52" customFormat="1" ht="14.25" customHeight="1" x14ac:dyDescent="0.2">
      <c r="A173" s="48">
        <v>144</v>
      </c>
      <c r="B173" s="48">
        <v>123</v>
      </c>
      <c r="C173" s="48">
        <v>85</v>
      </c>
      <c r="D173" s="23">
        <f t="shared" si="125"/>
        <v>1.0455000000000001</v>
      </c>
      <c r="E173" s="24"/>
      <c r="F173" s="25">
        <f t="shared" si="126"/>
        <v>118</v>
      </c>
      <c r="G173" s="25">
        <f t="shared" si="127"/>
        <v>80</v>
      </c>
      <c r="H173" s="23">
        <f t="shared" si="128"/>
        <v>0.94399999999999995</v>
      </c>
    </row>
    <row r="174" spans="1:8" s="52" customFormat="1" ht="14.25" customHeight="1" x14ac:dyDescent="0.2">
      <c r="A174" s="48">
        <v>145</v>
      </c>
      <c r="B174" s="48">
        <v>132</v>
      </c>
      <c r="C174" s="48">
        <v>84</v>
      </c>
      <c r="D174" s="23">
        <f t="shared" si="125"/>
        <v>1.1088</v>
      </c>
      <c r="E174" s="24"/>
      <c r="F174" s="25">
        <f t="shared" si="126"/>
        <v>127</v>
      </c>
      <c r="G174" s="25">
        <f t="shared" si="127"/>
        <v>79</v>
      </c>
      <c r="H174" s="23">
        <f t="shared" si="128"/>
        <v>1.0033000000000001</v>
      </c>
    </row>
    <row r="175" spans="1:8" s="52" customFormat="1" ht="14.25" customHeight="1" x14ac:dyDescent="0.2">
      <c r="A175" s="48">
        <v>146</v>
      </c>
      <c r="B175" s="48">
        <v>122</v>
      </c>
      <c r="C175" s="48">
        <v>85</v>
      </c>
      <c r="D175" s="23">
        <f t="shared" si="125"/>
        <v>1.0369999999999999</v>
      </c>
      <c r="E175" s="24"/>
      <c r="F175" s="25">
        <f t="shared" si="126"/>
        <v>117</v>
      </c>
      <c r="G175" s="25">
        <f t="shared" si="127"/>
        <v>80</v>
      </c>
      <c r="H175" s="23">
        <f t="shared" si="128"/>
        <v>0.93600000000000005</v>
      </c>
    </row>
    <row r="176" spans="1:8" s="52" customFormat="1" ht="14.25" customHeight="1" x14ac:dyDescent="0.2">
      <c r="A176" s="48">
        <v>147</v>
      </c>
      <c r="B176" s="48">
        <v>126</v>
      </c>
      <c r="C176" s="48">
        <v>85</v>
      </c>
      <c r="D176" s="23">
        <f t="shared" si="125"/>
        <v>1.071</v>
      </c>
      <c r="E176" s="24"/>
      <c r="F176" s="25">
        <f t="shared" si="126"/>
        <v>121</v>
      </c>
      <c r="G176" s="25">
        <f t="shared" si="127"/>
        <v>80</v>
      </c>
      <c r="H176" s="23">
        <f t="shared" si="128"/>
        <v>0.96799999999999997</v>
      </c>
    </row>
    <row r="177" spans="1:8" s="52" customFormat="1" ht="14.25" customHeight="1" x14ac:dyDescent="0.2">
      <c r="A177" s="48">
        <v>148</v>
      </c>
      <c r="B177" s="48">
        <v>122</v>
      </c>
      <c r="C177" s="48">
        <v>85</v>
      </c>
      <c r="D177" s="23">
        <f t="shared" si="125"/>
        <v>1.0369999999999999</v>
      </c>
      <c r="E177" s="24"/>
      <c r="F177" s="25">
        <f t="shared" si="126"/>
        <v>117</v>
      </c>
      <c r="G177" s="25">
        <f t="shared" si="127"/>
        <v>80</v>
      </c>
      <c r="H177" s="23">
        <f t="shared" si="128"/>
        <v>0.93600000000000005</v>
      </c>
    </row>
    <row r="178" spans="1:8" s="52" customFormat="1" ht="14.25" customHeight="1" x14ac:dyDescent="0.2">
      <c r="A178" s="48">
        <v>149</v>
      </c>
      <c r="B178" s="48">
        <v>120</v>
      </c>
      <c r="C178" s="48">
        <v>80</v>
      </c>
      <c r="D178" s="23">
        <f t="shared" si="125"/>
        <v>0.96</v>
      </c>
      <c r="E178" s="24"/>
      <c r="F178" s="25">
        <f t="shared" si="126"/>
        <v>115</v>
      </c>
      <c r="G178" s="25">
        <f t="shared" si="127"/>
        <v>75</v>
      </c>
      <c r="H178" s="23">
        <f t="shared" si="128"/>
        <v>0.86250000000000004</v>
      </c>
    </row>
    <row r="179" spans="1:8" s="52" customFormat="1" ht="14.25" customHeight="1" x14ac:dyDescent="0.2">
      <c r="A179" s="48">
        <v>150</v>
      </c>
      <c r="B179" s="48">
        <v>122</v>
      </c>
      <c r="C179" s="48">
        <v>84</v>
      </c>
      <c r="D179" s="23">
        <f t="shared" si="125"/>
        <v>1.0247999999999999</v>
      </c>
      <c r="E179" s="24"/>
      <c r="F179" s="25">
        <f t="shared" si="126"/>
        <v>117</v>
      </c>
      <c r="G179" s="25">
        <f t="shared" si="127"/>
        <v>79</v>
      </c>
      <c r="H179" s="23">
        <f t="shared" si="128"/>
        <v>0.92430000000000001</v>
      </c>
    </row>
    <row r="180" spans="1:8" s="52" customFormat="1" ht="14.25" customHeight="1" x14ac:dyDescent="0.2">
      <c r="A180" s="48">
        <v>151</v>
      </c>
      <c r="B180" s="48">
        <v>122</v>
      </c>
      <c r="C180" s="48">
        <v>85</v>
      </c>
      <c r="D180" s="23">
        <f t="shared" si="125"/>
        <v>1.0369999999999999</v>
      </c>
      <c r="E180" s="24"/>
      <c r="F180" s="25">
        <f t="shared" si="126"/>
        <v>117</v>
      </c>
      <c r="G180" s="25">
        <f t="shared" si="127"/>
        <v>80</v>
      </c>
      <c r="H180" s="23">
        <f t="shared" si="128"/>
        <v>0.93600000000000005</v>
      </c>
    </row>
    <row r="181" spans="1:8" s="52" customFormat="1" ht="14.25" customHeight="1" x14ac:dyDescent="0.2">
      <c r="A181" s="48">
        <v>152</v>
      </c>
      <c r="B181" s="48">
        <v>130</v>
      </c>
      <c r="C181" s="48">
        <v>84</v>
      </c>
      <c r="D181" s="23">
        <f t="shared" si="125"/>
        <v>1.0920000000000001</v>
      </c>
      <c r="E181" s="24"/>
      <c r="F181" s="25">
        <f t="shared" si="126"/>
        <v>125</v>
      </c>
      <c r="G181" s="25">
        <f t="shared" si="127"/>
        <v>79</v>
      </c>
      <c r="H181" s="23">
        <f t="shared" si="128"/>
        <v>0.98750000000000004</v>
      </c>
    </row>
    <row r="182" spans="1:8" s="52" customFormat="1" ht="14.25" customHeight="1" x14ac:dyDescent="0.2">
      <c r="A182" s="48">
        <v>153</v>
      </c>
      <c r="B182" s="48">
        <v>123</v>
      </c>
      <c r="C182" s="48">
        <v>84</v>
      </c>
      <c r="D182" s="23">
        <f t="shared" si="125"/>
        <v>1.0331999999999999</v>
      </c>
      <c r="E182" s="24"/>
      <c r="F182" s="25">
        <f t="shared" si="126"/>
        <v>118</v>
      </c>
      <c r="G182" s="25">
        <f t="shared" si="127"/>
        <v>79</v>
      </c>
      <c r="H182" s="23">
        <f t="shared" si="128"/>
        <v>0.93220000000000003</v>
      </c>
    </row>
    <row r="183" spans="1:8" s="52" customFormat="1" ht="14.25" customHeight="1" x14ac:dyDescent="0.2">
      <c r="A183" s="48">
        <v>154</v>
      </c>
      <c r="B183" s="48">
        <v>124</v>
      </c>
      <c r="C183" s="48">
        <v>84</v>
      </c>
      <c r="D183" s="23">
        <f t="shared" si="125"/>
        <v>1.0416000000000001</v>
      </c>
      <c r="E183" s="24"/>
      <c r="F183" s="25">
        <f t="shared" si="126"/>
        <v>119</v>
      </c>
      <c r="G183" s="25">
        <f t="shared" si="127"/>
        <v>79</v>
      </c>
      <c r="H183" s="23">
        <f t="shared" si="128"/>
        <v>0.94010000000000005</v>
      </c>
    </row>
    <row r="184" spans="1:8" s="52" customFormat="1" ht="14.25" customHeight="1" x14ac:dyDescent="0.2">
      <c r="A184" s="48">
        <v>155</v>
      </c>
      <c r="B184" s="48">
        <v>130</v>
      </c>
      <c r="C184" s="48">
        <v>82</v>
      </c>
      <c r="D184" s="23">
        <f t="shared" si="125"/>
        <v>1.0660000000000001</v>
      </c>
      <c r="E184" s="24"/>
      <c r="F184" s="25">
        <f t="shared" si="126"/>
        <v>125</v>
      </c>
      <c r="G184" s="25">
        <f t="shared" si="127"/>
        <v>77</v>
      </c>
      <c r="H184" s="23">
        <f t="shared" si="128"/>
        <v>0.96250000000000002</v>
      </c>
    </row>
    <row r="185" spans="1:8" s="52" customFormat="1" ht="14.25" customHeight="1" x14ac:dyDescent="0.2">
      <c r="A185" s="48">
        <v>156</v>
      </c>
      <c r="B185" s="48">
        <v>135</v>
      </c>
      <c r="C185" s="48">
        <v>83</v>
      </c>
      <c r="D185" s="23">
        <f t="shared" si="125"/>
        <v>1.1205000000000001</v>
      </c>
      <c r="E185" s="24"/>
      <c r="F185" s="25">
        <f t="shared" si="126"/>
        <v>130</v>
      </c>
      <c r="G185" s="25">
        <f t="shared" si="127"/>
        <v>78</v>
      </c>
      <c r="H185" s="23">
        <f t="shared" si="128"/>
        <v>1.014</v>
      </c>
    </row>
    <row r="186" spans="1:8" s="52" customFormat="1" ht="14.25" customHeight="1" x14ac:dyDescent="0.2">
      <c r="A186" s="48">
        <v>157</v>
      </c>
      <c r="B186" s="48">
        <v>130</v>
      </c>
      <c r="C186" s="48">
        <v>83</v>
      </c>
      <c r="D186" s="23">
        <f t="shared" si="125"/>
        <v>1.079</v>
      </c>
      <c r="E186" s="24"/>
      <c r="F186" s="25">
        <f t="shared" si="126"/>
        <v>125</v>
      </c>
      <c r="G186" s="25">
        <f t="shared" si="127"/>
        <v>78</v>
      </c>
      <c r="H186" s="23">
        <f t="shared" si="128"/>
        <v>0.97499999999999998</v>
      </c>
    </row>
    <row r="187" spans="1:8" s="52" customFormat="1" ht="14.25" customHeight="1" x14ac:dyDescent="0.2">
      <c r="A187" s="48">
        <v>158</v>
      </c>
      <c r="B187" s="48">
        <v>128</v>
      </c>
      <c r="C187" s="48">
        <v>82</v>
      </c>
      <c r="D187" s="23">
        <f t="shared" si="125"/>
        <v>1.0496000000000001</v>
      </c>
      <c r="E187" s="24"/>
      <c r="F187" s="25">
        <f t="shared" si="126"/>
        <v>123</v>
      </c>
      <c r="G187" s="25">
        <f t="shared" si="127"/>
        <v>77</v>
      </c>
      <c r="H187" s="23">
        <f t="shared" si="128"/>
        <v>0.94710000000000005</v>
      </c>
    </row>
    <row r="188" spans="1:8" s="52" customFormat="1" ht="14.25" customHeight="1" x14ac:dyDescent="0.2">
      <c r="A188" s="48">
        <v>159</v>
      </c>
      <c r="B188" s="48">
        <v>133</v>
      </c>
      <c r="C188" s="48">
        <v>84</v>
      </c>
      <c r="D188" s="23">
        <f t="shared" si="125"/>
        <v>1.1172</v>
      </c>
      <c r="E188" s="24"/>
      <c r="F188" s="25">
        <f t="shared" si="126"/>
        <v>128</v>
      </c>
      <c r="G188" s="25">
        <f t="shared" si="127"/>
        <v>79</v>
      </c>
      <c r="H188" s="23">
        <f t="shared" si="128"/>
        <v>1.0112000000000001</v>
      </c>
    </row>
    <row r="189" spans="1:8" s="52" customFormat="1" ht="14.25" customHeight="1" x14ac:dyDescent="0.2">
      <c r="A189" s="48">
        <v>160</v>
      </c>
      <c r="B189" s="48">
        <v>104</v>
      </c>
      <c r="C189" s="48">
        <v>76</v>
      </c>
      <c r="D189" s="23">
        <f t="shared" si="125"/>
        <v>0.79039999999999999</v>
      </c>
      <c r="E189" s="24"/>
      <c r="F189" s="25">
        <f t="shared" si="126"/>
        <v>99</v>
      </c>
      <c r="G189" s="25">
        <f t="shared" si="127"/>
        <v>71</v>
      </c>
      <c r="H189" s="23">
        <f t="shared" si="128"/>
        <v>0.70289999999999997</v>
      </c>
    </row>
    <row r="190" spans="1:8" s="52" customFormat="1" ht="14.25" customHeight="1" x14ac:dyDescent="0.2">
      <c r="A190" s="48">
        <v>161</v>
      </c>
      <c r="B190" s="48">
        <v>95</v>
      </c>
      <c r="C190" s="48">
        <v>80</v>
      </c>
      <c r="D190" s="23">
        <f t="shared" si="125"/>
        <v>0.76</v>
      </c>
      <c r="E190" s="24"/>
      <c r="F190" s="25">
        <f t="shared" si="126"/>
        <v>90</v>
      </c>
      <c r="G190" s="25">
        <f t="shared" si="127"/>
        <v>75</v>
      </c>
      <c r="H190" s="23">
        <f t="shared" si="128"/>
        <v>0.67500000000000004</v>
      </c>
    </row>
    <row r="191" spans="1:8" s="52" customFormat="1" ht="14.25" customHeight="1" x14ac:dyDescent="0.2">
      <c r="A191" s="48">
        <v>162</v>
      </c>
      <c r="B191" s="48">
        <v>108</v>
      </c>
      <c r="C191" s="48">
        <v>76</v>
      </c>
      <c r="D191" s="23">
        <f t="shared" si="125"/>
        <v>0.82079999999999997</v>
      </c>
      <c r="E191" s="24"/>
      <c r="F191" s="25">
        <f t="shared" si="126"/>
        <v>103</v>
      </c>
      <c r="G191" s="25">
        <f t="shared" si="127"/>
        <v>71</v>
      </c>
      <c r="H191" s="23">
        <f t="shared" si="128"/>
        <v>0.73129999999999995</v>
      </c>
    </row>
    <row r="192" spans="1:8" s="52" customFormat="1" ht="14.25" customHeight="1" x14ac:dyDescent="0.2">
      <c r="A192" s="48">
        <v>163</v>
      </c>
      <c r="B192" s="48">
        <v>132</v>
      </c>
      <c r="C192" s="48">
        <v>71</v>
      </c>
      <c r="D192" s="23">
        <f t="shared" si="125"/>
        <v>0.93720000000000003</v>
      </c>
      <c r="E192" s="24"/>
      <c r="F192" s="25">
        <f t="shared" si="126"/>
        <v>127</v>
      </c>
      <c r="G192" s="25">
        <f t="shared" si="127"/>
        <v>66</v>
      </c>
      <c r="H192" s="23">
        <f t="shared" si="128"/>
        <v>0.83819999999999995</v>
      </c>
    </row>
    <row r="193" spans="1:8" s="52" customFormat="1" ht="14.25" customHeight="1" x14ac:dyDescent="0.2">
      <c r="A193" s="48">
        <v>164</v>
      </c>
      <c r="B193" s="48">
        <v>116</v>
      </c>
      <c r="C193" s="48">
        <v>72</v>
      </c>
      <c r="D193" s="23">
        <f t="shared" si="125"/>
        <v>0.83520000000000005</v>
      </c>
      <c r="E193" s="24"/>
      <c r="F193" s="25">
        <f t="shared" si="126"/>
        <v>111</v>
      </c>
      <c r="G193" s="25">
        <f t="shared" si="127"/>
        <v>67</v>
      </c>
      <c r="H193" s="23">
        <f t="shared" si="128"/>
        <v>0.74370000000000003</v>
      </c>
    </row>
    <row r="194" spans="1:8" s="52" customFormat="1" ht="14.25" customHeight="1" x14ac:dyDescent="0.2">
      <c r="A194" s="48">
        <v>165</v>
      </c>
      <c r="B194" s="48">
        <v>113</v>
      </c>
      <c r="C194" s="48">
        <v>68</v>
      </c>
      <c r="D194" s="23">
        <f t="shared" si="125"/>
        <v>0.76839999999999997</v>
      </c>
      <c r="E194" s="24"/>
      <c r="F194" s="25">
        <f t="shared" si="126"/>
        <v>108</v>
      </c>
      <c r="G194" s="25">
        <f t="shared" si="127"/>
        <v>63</v>
      </c>
      <c r="H194" s="23">
        <f t="shared" si="128"/>
        <v>0.6804</v>
      </c>
    </row>
    <row r="195" spans="1:8" s="52" customFormat="1" ht="14.25" customHeight="1" x14ac:dyDescent="0.2">
      <c r="A195" s="48">
        <v>166</v>
      </c>
      <c r="B195" s="48">
        <v>120</v>
      </c>
      <c r="C195" s="48">
        <v>71</v>
      </c>
      <c r="D195" s="23">
        <f t="shared" si="125"/>
        <v>0.85199999999999998</v>
      </c>
      <c r="E195" s="24"/>
      <c r="F195" s="25">
        <f t="shared" si="126"/>
        <v>115</v>
      </c>
      <c r="G195" s="25">
        <f t="shared" si="127"/>
        <v>66</v>
      </c>
      <c r="H195" s="23">
        <f t="shared" si="128"/>
        <v>0.75900000000000001</v>
      </c>
    </row>
    <row r="196" spans="1:8" s="52" customFormat="1" ht="14.25" customHeight="1" x14ac:dyDescent="0.2">
      <c r="A196" s="48">
        <v>167</v>
      </c>
      <c r="B196" s="48">
        <v>131</v>
      </c>
      <c r="C196" s="48">
        <v>76</v>
      </c>
      <c r="D196" s="23">
        <f t="shared" si="125"/>
        <v>0.99560000000000004</v>
      </c>
      <c r="E196" s="24"/>
      <c r="F196" s="25">
        <f t="shared" si="126"/>
        <v>126</v>
      </c>
      <c r="G196" s="25">
        <f t="shared" si="127"/>
        <v>71</v>
      </c>
      <c r="H196" s="23">
        <f t="shared" si="128"/>
        <v>0.89459999999999995</v>
      </c>
    </row>
    <row r="197" spans="1:8" s="52" customFormat="1" ht="14.25" customHeight="1" x14ac:dyDescent="0.2">
      <c r="A197" s="48">
        <v>168</v>
      </c>
      <c r="B197" s="48">
        <v>105</v>
      </c>
      <c r="C197" s="48">
        <v>72</v>
      </c>
      <c r="D197" s="23">
        <f t="shared" si="125"/>
        <v>0.75600000000000001</v>
      </c>
      <c r="E197" s="24"/>
      <c r="F197" s="25">
        <f t="shared" si="126"/>
        <v>100</v>
      </c>
      <c r="G197" s="25">
        <f t="shared" si="127"/>
        <v>67</v>
      </c>
      <c r="H197" s="23">
        <f t="shared" si="128"/>
        <v>0.67</v>
      </c>
    </row>
    <row r="198" spans="1:8" s="52" customFormat="1" ht="14.25" customHeight="1" x14ac:dyDescent="0.2">
      <c r="A198" s="48">
        <v>169</v>
      </c>
      <c r="B198" s="48">
        <v>130</v>
      </c>
      <c r="C198" s="48">
        <v>65</v>
      </c>
      <c r="D198" s="23">
        <f t="shared" si="125"/>
        <v>0.84499999999999997</v>
      </c>
      <c r="E198" s="24"/>
      <c r="F198" s="25">
        <f t="shared" si="126"/>
        <v>125</v>
      </c>
      <c r="G198" s="25">
        <f t="shared" si="127"/>
        <v>60</v>
      </c>
      <c r="H198" s="23">
        <f t="shared" si="128"/>
        <v>0.75</v>
      </c>
    </row>
    <row r="199" spans="1:8" s="52" customFormat="1" ht="14.25" customHeight="1" x14ac:dyDescent="0.2">
      <c r="A199" s="48">
        <v>170</v>
      </c>
      <c r="B199" s="48">
        <v>135</v>
      </c>
      <c r="C199" s="48">
        <v>66</v>
      </c>
      <c r="D199" s="23">
        <f t="shared" si="125"/>
        <v>0.89100000000000001</v>
      </c>
      <c r="E199" s="24"/>
      <c r="F199" s="25">
        <f t="shared" si="126"/>
        <v>130</v>
      </c>
      <c r="G199" s="25">
        <f t="shared" si="127"/>
        <v>61</v>
      </c>
      <c r="H199" s="23">
        <f t="shared" si="128"/>
        <v>0.79300000000000004</v>
      </c>
    </row>
    <row r="200" spans="1:8" s="52" customFormat="1" ht="14.25" customHeight="1" x14ac:dyDescent="0.2">
      <c r="A200" s="48">
        <v>171</v>
      </c>
      <c r="B200" s="48">
        <v>174</v>
      </c>
      <c r="C200" s="48">
        <v>90</v>
      </c>
      <c r="D200" s="23">
        <f t="shared" si="125"/>
        <v>1.5660000000000001</v>
      </c>
      <c r="E200" s="24"/>
      <c r="F200" s="25">
        <f t="shared" si="126"/>
        <v>169</v>
      </c>
      <c r="G200" s="25">
        <f t="shared" si="127"/>
        <v>85</v>
      </c>
      <c r="H200" s="23">
        <f t="shared" si="128"/>
        <v>1.4365000000000001</v>
      </c>
    </row>
    <row r="201" spans="1:8" s="52" customFormat="1" ht="14.25" customHeight="1" x14ac:dyDescent="0.2">
      <c r="A201" s="48">
        <v>172</v>
      </c>
      <c r="B201" s="48">
        <v>167</v>
      </c>
      <c r="C201" s="48">
        <v>90</v>
      </c>
      <c r="D201" s="23">
        <f t="shared" si="125"/>
        <v>1.5029999999999999</v>
      </c>
      <c r="E201" s="24"/>
      <c r="F201" s="25">
        <f t="shared" si="126"/>
        <v>162</v>
      </c>
      <c r="G201" s="25">
        <f t="shared" si="127"/>
        <v>85</v>
      </c>
      <c r="H201" s="23">
        <f t="shared" si="128"/>
        <v>1.377</v>
      </c>
    </row>
    <row r="202" spans="1:8" s="52" customFormat="1" ht="14.25" customHeight="1" x14ac:dyDescent="0.2">
      <c r="A202" s="48">
        <v>173</v>
      </c>
      <c r="B202" s="48">
        <v>109</v>
      </c>
      <c r="C202" s="48">
        <v>64</v>
      </c>
      <c r="D202" s="23">
        <f t="shared" si="125"/>
        <v>0.6976</v>
      </c>
      <c r="E202" s="24"/>
      <c r="F202" s="25">
        <f t="shared" si="126"/>
        <v>104</v>
      </c>
      <c r="G202" s="25">
        <f t="shared" si="127"/>
        <v>59</v>
      </c>
      <c r="H202" s="23">
        <f t="shared" si="128"/>
        <v>0.61360000000000003</v>
      </c>
    </row>
    <row r="203" spans="1:8" s="52" customFormat="1" ht="14.25" customHeight="1" x14ac:dyDescent="0.2">
      <c r="A203" s="48">
        <v>174</v>
      </c>
      <c r="B203" s="48">
        <v>123</v>
      </c>
      <c r="C203" s="48">
        <v>66</v>
      </c>
      <c r="D203" s="23">
        <f t="shared" si="125"/>
        <v>0.81179999999999997</v>
      </c>
      <c r="E203" s="24"/>
      <c r="F203" s="25">
        <f t="shared" si="126"/>
        <v>118</v>
      </c>
      <c r="G203" s="25">
        <f t="shared" si="127"/>
        <v>61</v>
      </c>
      <c r="H203" s="23">
        <f t="shared" si="128"/>
        <v>0.7198</v>
      </c>
    </row>
    <row r="204" spans="1:8" s="52" customFormat="1" ht="14.25" customHeight="1" x14ac:dyDescent="0.2">
      <c r="A204" s="48">
        <v>175</v>
      </c>
      <c r="B204" s="48">
        <v>105</v>
      </c>
      <c r="C204" s="48">
        <v>65</v>
      </c>
      <c r="D204" s="23">
        <f t="shared" si="125"/>
        <v>0.6825</v>
      </c>
      <c r="E204" s="24"/>
      <c r="F204" s="25">
        <f t="shared" si="126"/>
        <v>100</v>
      </c>
      <c r="G204" s="25">
        <f t="shared" si="127"/>
        <v>60</v>
      </c>
      <c r="H204" s="23">
        <f t="shared" si="128"/>
        <v>0.6</v>
      </c>
    </row>
    <row r="205" spans="1:8" s="52" customFormat="1" ht="14.25" customHeight="1" x14ac:dyDescent="0.2">
      <c r="A205" s="48">
        <v>176</v>
      </c>
      <c r="B205" s="48">
        <v>115</v>
      </c>
      <c r="C205" s="48">
        <v>65</v>
      </c>
      <c r="D205" s="23">
        <f t="shared" si="125"/>
        <v>0.74750000000000005</v>
      </c>
      <c r="E205" s="24"/>
      <c r="F205" s="25">
        <f t="shared" si="126"/>
        <v>110</v>
      </c>
      <c r="G205" s="25">
        <f t="shared" si="127"/>
        <v>60</v>
      </c>
      <c r="H205" s="23">
        <f t="shared" si="128"/>
        <v>0.66</v>
      </c>
    </row>
    <row r="206" spans="1:8" s="52" customFormat="1" ht="14.25" customHeight="1" x14ac:dyDescent="0.2">
      <c r="A206" s="48">
        <v>177</v>
      </c>
      <c r="B206" s="48">
        <v>108</v>
      </c>
      <c r="C206" s="48">
        <v>68</v>
      </c>
      <c r="D206" s="23">
        <f t="shared" si="125"/>
        <v>0.73440000000000005</v>
      </c>
      <c r="E206" s="24"/>
      <c r="F206" s="25">
        <f t="shared" si="126"/>
        <v>103</v>
      </c>
      <c r="G206" s="25">
        <f t="shared" si="127"/>
        <v>63</v>
      </c>
      <c r="H206" s="23">
        <f t="shared" si="128"/>
        <v>0.64890000000000003</v>
      </c>
    </row>
    <row r="207" spans="1:8" s="52" customFormat="1" ht="14.25" customHeight="1" x14ac:dyDescent="0.2">
      <c r="A207" s="48">
        <v>178</v>
      </c>
      <c r="B207" s="48">
        <v>113</v>
      </c>
      <c r="C207" s="48">
        <v>68</v>
      </c>
      <c r="D207" s="23">
        <f t="shared" si="125"/>
        <v>0.76839999999999997</v>
      </c>
      <c r="E207" s="24"/>
      <c r="F207" s="25">
        <f t="shared" si="126"/>
        <v>108</v>
      </c>
      <c r="G207" s="25">
        <f t="shared" si="127"/>
        <v>63</v>
      </c>
      <c r="H207" s="23">
        <f t="shared" si="128"/>
        <v>0.6804</v>
      </c>
    </row>
    <row r="208" spans="1:8" s="52" customFormat="1" ht="14.25" customHeight="1" x14ac:dyDescent="0.2">
      <c r="A208" s="48">
        <v>179</v>
      </c>
      <c r="B208" s="48">
        <v>101</v>
      </c>
      <c r="C208" s="48">
        <v>65</v>
      </c>
      <c r="D208" s="23">
        <f t="shared" si="125"/>
        <v>0.65649999999999997</v>
      </c>
      <c r="E208" s="24"/>
      <c r="F208" s="25">
        <f t="shared" si="126"/>
        <v>96</v>
      </c>
      <c r="G208" s="25">
        <f t="shared" si="127"/>
        <v>60</v>
      </c>
      <c r="H208" s="23">
        <f t="shared" si="128"/>
        <v>0.57599999999999996</v>
      </c>
    </row>
    <row r="209" spans="1:8" s="52" customFormat="1" ht="14.25" customHeight="1" x14ac:dyDescent="0.2">
      <c r="A209" s="48">
        <v>180</v>
      </c>
      <c r="B209" s="48">
        <v>106</v>
      </c>
      <c r="C209" s="48">
        <v>67</v>
      </c>
      <c r="D209" s="23">
        <f t="shared" si="125"/>
        <v>0.71020000000000005</v>
      </c>
      <c r="E209" s="24"/>
      <c r="F209" s="25">
        <f t="shared" si="126"/>
        <v>101</v>
      </c>
      <c r="G209" s="25">
        <f t="shared" si="127"/>
        <v>62</v>
      </c>
      <c r="H209" s="23">
        <f t="shared" si="128"/>
        <v>0.62619999999999998</v>
      </c>
    </row>
    <row r="210" spans="1:8" s="52" customFormat="1" ht="14.25" customHeight="1" x14ac:dyDescent="0.2">
      <c r="A210" s="48">
        <v>181</v>
      </c>
      <c r="B210" s="48">
        <v>115</v>
      </c>
      <c r="C210" s="48">
        <v>70</v>
      </c>
      <c r="D210" s="23">
        <f t="shared" ref="D210:D273" si="129">B210*C210/10000</f>
        <v>0.80500000000000005</v>
      </c>
      <c r="E210" s="24"/>
      <c r="F210" s="25">
        <f t="shared" ref="F210:F273" si="130">B210-5</f>
        <v>110</v>
      </c>
      <c r="G210" s="25">
        <f t="shared" ref="G210:G273" si="131">C210-5</f>
        <v>65</v>
      </c>
      <c r="H210" s="23">
        <f t="shared" ref="H210:H273" si="132">F210*G210/10000</f>
        <v>0.71499999999999997</v>
      </c>
    </row>
    <row r="211" spans="1:8" s="52" customFormat="1" ht="14.25" customHeight="1" x14ac:dyDescent="0.2">
      <c r="A211" s="48">
        <v>182</v>
      </c>
      <c r="B211" s="48">
        <v>105</v>
      </c>
      <c r="C211" s="48">
        <v>69</v>
      </c>
      <c r="D211" s="23">
        <f t="shared" si="129"/>
        <v>0.72450000000000003</v>
      </c>
      <c r="E211" s="24"/>
      <c r="F211" s="25">
        <f t="shared" si="130"/>
        <v>100</v>
      </c>
      <c r="G211" s="25">
        <f t="shared" si="131"/>
        <v>64</v>
      </c>
      <c r="H211" s="23">
        <f t="shared" si="132"/>
        <v>0.64</v>
      </c>
    </row>
    <row r="212" spans="1:8" s="52" customFormat="1" ht="14.25" customHeight="1" x14ac:dyDescent="0.2">
      <c r="A212" s="48">
        <v>183</v>
      </c>
      <c r="B212" s="48">
        <v>95</v>
      </c>
      <c r="C212" s="48">
        <v>65</v>
      </c>
      <c r="D212" s="23">
        <f t="shared" si="129"/>
        <v>0.61750000000000005</v>
      </c>
      <c r="E212" s="24"/>
      <c r="F212" s="25">
        <f t="shared" si="130"/>
        <v>90</v>
      </c>
      <c r="G212" s="25">
        <f t="shared" si="131"/>
        <v>60</v>
      </c>
      <c r="H212" s="23">
        <f t="shared" si="132"/>
        <v>0.54</v>
      </c>
    </row>
    <row r="213" spans="1:8" s="52" customFormat="1" ht="14.25" customHeight="1" x14ac:dyDescent="0.2">
      <c r="A213" s="48">
        <v>184</v>
      </c>
      <c r="B213" s="48">
        <v>98</v>
      </c>
      <c r="C213" s="48">
        <v>69</v>
      </c>
      <c r="D213" s="23">
        <f t="shared" si="129"/>
        <v>0.67620000000000002</v>
      </c>
      <c r="E213" s="24"/>
      <c r="F213" s="25">
        <f t="shared" si="130"/>
        <v>93</v>
      </c>
      <c r="G213" s="25">
        <f t="shared" si="131"/>
        <v>64</v>
      </c>
      <c r="H213" s="23">
        <f t="shared" si="132"/>
        <v>0.59519999999999995</v>
      </c>
    </row>
    <row r="214" spans="1:8" s="52" customFormat="1" ht="14.25" customHeight="1" x14ac:dyDescent="0.2">
      <c r="A214" s="48">
        <v>185</v>
      </c>
      <c r="B214" s="48">
        <v>99</v>
      </c>
      <c r="C214" s="48">
        <v>69</v>
      </c>
      <c r="D214" s="23">
        <f t="shared" si="129"/>
        <v>0.68310000000000004</v>
      </c>
      <c r="E214" s="24"/>
      <c r="F214" s="25">
        <f t="shared" si="130"/>
        <v>94</v>
      </c>
      <c r="G214" s="25">
        <f t="shared" si="131"/>
        <v>64</v>
      </c>
      <c r="H214" s="23">
        <f t="shared" si="132"/>
        <v>0.60160000000000002</v>
      </c>
    </row>
    <row r="215" spans="1:8" s="52" customFormat="1" ht="14.25" customHeight="1" x14ac:dyDescent="0.2">
      <c r="A215" s="48">
        <v>186</v>
      </c>
      <c r="B215" s="48">
        <v>90</v>
      </c>
      <c r="C215" s="48">
        <v>69</v>
      </c>
      <c r="D215" s="23">
        <f t="shared" si="129"/>
        <v>0.621</v>
      </c>
      <c r="E215" s="24"/>
      <c r="F215" s="25">
        <f t="shared" si="130"/>
        <v>85</v>
      </c>
      <c r="G215" s="25">
        <f t="shared" si="131"/>
        <v>64</v>
      </c>
      <c r="H215" s="23">
        <f t="shared" si="132"/>
        <v>0.54400000000000004</v>
      </c>
    </row>
    <row r="216" spans="1:8" s="52" customFormat="1" ht="14.25" customHeight="1" x14ac:dyDescent="0.2">
      <c r="A216" s="48">
        <v>187</v>
      </c>
      <c r="B216" s="48">
        <v>101</v>
      </c>
      <c r="C216" s="48">
        <v>69</v>
      </c>
      <c r="D216" s="23">
        <f t="shared" si="129"/>
        <v>0.69689999999999996</v>
      </c>
      <c r="E216" s="24"/>
      <c r="F216" s="25">
        <f t="shared" si="130"/>
        <v>96</v>
      </c>
      <c r="G216" s="25">
        <f t="shared" si="131"/>
        <v>64</v>
      </c>
      <c r="H216" s="23">
        <f t="shared" si="132"/>
        <v>0.61439999999999995</v>
      </c>
    </row>
    <row r="217" spans="1:8" s="52" customFormat="1" ht="14.25" customHeight="1" x14ac:dyDescent="0.2">
      <c r="A217" s="48">
        <v>188</v>
      </c>
      <c r="B217" s="48">
        <v>113</v>
      </c>
      <c r="C217" s="48">
        <v>63</v>
      </c>
      <c r="D217" s="23">
        <f t="shared" si="129"/>
        <v>0.71189999999999998</v>
      </c>
      <c r="E217" s="24"/>
      <c r="F217" s="25">
        <f t="shared" si="130"/>
        <v>108</v>
      </c>
      <c r="G217" s="25">
        <f t="shared" si="131"/>
        <v>58</v>
      </c>
      <c r="H217" s="23">
        <f t="shared" si="132"/>
        <v>0.62639999999999996</v>
      </c>
    </row>
    <row r="218" spans="1:8" s="52" customFormat="1" ht="14.25" customHeight="1" x14ac:dyDescent="0.2">
      <c r="A218" s="48">
        <v>189</v>
      </c>
      <c r="B218" s="48">
        <v>100</v>
      </c>
      <c r="C218" s="48">
        <v>65</v>
      </c>
      <c r="D218" s="23">
        <f t="shared" si="129"/>
        <v>0.65</v>
      </c>
      <c r="E218" s="24"/>
      <c r="F218" s="25">
        <f t="shared" si="130"/>
        <v>95</v>
      </c>
      <c r="G218" s="25">
        <f t="shared" si="131"/>
        <v>60</v>
      </c>
      <c r="H218" s="23">
        <f t="shared" si="132"/>
        <v>0.56999999999999995</v>
      </c>
    </row>
    <row r="219" spans="1:8" s="52" customFormat="1" ht="14.25" customHeight="1" x14ac:dyDescent="0.2">
      <c r="A219" s="48">
        <v>190</v>
      </c>
      <c r="B219" s="48">
        <v>138</v>
      </c>
      <c r="C219" s="48">
        <v>70</v>
      </c>
      <c r="D219" s="23">
        <f t="shared" si="129"/>
        <v>0.96599999999999997</v>
      </c>
      <c r="E219" s="24"/>
      <c r="F219" s="25">
        <f t="shared" si="130"/>
        <v>133</v>
      </c>
      <c r="G219" s="25">
        <f t="shared" si="131"/>
        <v>65</v>
      </c>
      <c r="H219" s="23">
        <f t="shared" si="132"/>
        <v>0.86450000000000005</v>
      </c>
    </row>
    <row r="220" spans="1:8" s="52" customFormat="1" ht="14.25" customHeight="1" x14ac:dyDescent="0.2">
      <c r="A220" s="48">
        <v>191</v>
      </c>
      <c r="B220" s="48">
        <v>108</v>
      </c>
      <c r="C220" s="48">
        <v>71</v>
      </c>
      <c r="D220" s="23">
        <f t="shared" si="129"/>
        <v>0.76680000000000004</v>
      </c>
      <c r="E220" s="24"/>
      <c r="F220" s="25">
        <f t="shared" si="130"/>
        <v>103</v>
      </c>
      <c r="G220" s="25">
        <f t="shared" si="131"/>
        <v>66</v>
      </c>
      <c r="H220" s="23">
        <f t="shared" si="132"/>
        <v>0.67979999999999996</v>
      </c>
    </row>
    <row r="221" spans="1:8" s="52" customFormat="1" ht="14.25" customHeight="1" x14ac:dyDescent="0.2">
      <c r="A221" s="48">
        <v>192</v>
      </c>
      <c r="B221" s="48">
        <v>98</v>
      </c>
      <c r="C221" s="48">
        <v>69</v>
      </c>
      <c r="D221" s="23">
        <f t="shared" si="129"/>
        <v>0.67620000000000002</v>
      </c>
      <c r="E221" s="24"/>
      <c r="F221" s="25">
        <f t="shared" si="130"/>
        <v>93</v>
      </c>
      <c r="G221" s="25">
        <f t="shared" si="131"/>
        <v>64</v>
      </c>
      <c r="H221" s="23">
        <f t="shared" si="132"/>
        <v>0.59519999999999995</v>
      </c>
    </row>
    <row r="222" spans="1:8" s="52" customFormat="1" ht="14.25" customHeight="1" x14ac:dyDescent="0.2">
      <c r="A222" s="48">
        <v>193</v>
      </c>
      <c r="B222" s="48">
        <v>111</v>
      </c>
      <c r="C222" s="48">
        <v>60</v>
      </c>
      <c r="D222" s="23">
        <f t="shared" si="129"/>
        <v>0.66600000000000004</v>
      </c>
      <c r="E222" s="24"/>
      <c r="F222" s="25">
        <f t="shared" si="130"/>
        <v>106</v>
      </c>
      <c r="G222" s="25">
        <f t="shared" si="131"/>
        <v>55</v>
      </c>
      <c r="H222" s="23">
        <f t="shared" si="132"/>
        <v>0.58299999999999996</v>
      </c>
    </row>
    <row r="223" spans="1:8" s="52" customFormat="1" ht="14.25" customHeight="1" x14ac:dyDescent="0.2">
      <c r="A223" s="48">
        <v>194</v>
      </c>
      <c r="B223" s="48">
        <v>143</v>
      </c>
      <c r="C223" s="48">
        <v>68</v>
      </c>
      <c r="D223" s="23">
        <f t="shared" si="129"/>
        <v>0.97240000000000004</v>
      </c>
      <c r="E223" s="24"/>
      <c r="F223" s="25">
        <f t="shared" si="130"/>
        <v>138</v>
      </c>
      <c r="G223" s="25">
        <f t="shared" si="131"/>
        <v>63</v>
      </c>
      <c r="H223" s="23">
        <f t="shared" si="132"/>
        <v>0.86939999999999995</v>
      </c>
    </row>
    <row r="224" spans="1:8" s="52" customFormat="1" ht="14.25" customHeight="1" x14ac:dyDescent="0.2">
      <c r="A224" s="48">
        <v>195</v>
      </c>
      <c r="B224" s="48">
        <v>119</v>
      </c>
      <c r="C224" s="48">
        <v>68</v>
      </c>
      <c r="D224" s="23">
        <f t="shared" si="129"/>
        <v>0.80920000000000003</v>
      </c>
      <c r="E224" s="24"/>
      <c r="F224" s="25">
        <f t="shared" si="130"/>
        <v>114</v>
      </c>
      <c r="G224" s="25">
        <f t="shared" si="131"/>
        <v>63</v>
      </c>
      <c r="H224" s="23">
        <f t="shared" si="132"/>
        <v>0.71819999999999995</v>
      </c>
    </row>
    <row r="225" spans="1:8" s="52" customFormat="1" ht="14.25" customHeight="1" x14ac:dyDescent="0.2">
      <c r="A225" s="48">
        <v>196</v>
      </c>
      <c r="B225" s="48">
        <v>121</v>
      </c>
      <c r="C225" s="48">
        <v>71</v>
      </c>
      <c r="D225" s="23">
        <f t="shared" si="129"/>
        <v>0.85909999999999997</v>
      </c>
      <c r="E225" s="24"/>
      <c r="F225" s="25">
        <f t="shared" si="130"/>
        <v>116</v>
      </c>
      <c r="G225" s="25">
        <f t="shared" si="131"/>
        <v>66</v>
      </c>
      <c r="H225" s="23">
        <f t="shared" si="132"/>
        <v>0.76559999999999995</v>
      </c>
    </row>
    <row r="226" spans="1:8" s="52" customFormat="1" ht="14.25" customHeight="1" x14ac:dyDescent="0.2">
      <c r="A226" s="48">
        <v>197</v>
      </c>
      <c r="B226" s="48">
        <v>151</v>
      </c>
      <c r="C226" s="48">
        <v>98</v>
      </c>
      <c r="D226" s="23">
        <f t="shared" si="129"/>
        <v>1.4798</v>
      </c>
      <c r="E226" s="24"/>
      <c r="F226" s="25">
        <f t="shared" si="130"/>
        <v>146</v>
      </c>
      <c r="G226" s="25">
        <f t="shared" si="131"/>
        <v>93</v>
      </c>
      <c r="H226" s="23">
        <f t="shared" si="132"/>
        <v>1.3577999999999999</v>
      </c>
    </row>
    <row r="227" spans="1:8" s="52" customFormat="1" ht="14.25" customHeight="1" x14ac:dyDescent="0.2">
      <c r="A227" s="48">
        <v>198</v>
      </c>
      <c r="B227" s="48">
        <v>152</v>
      </c>
      <c r="C227" s="48">
        <v>104</v>
      </c>
      <c r="D227" s="23">
        <f t="shared" si="129"/>
        <v>1.5808</v>
      </c>
      <c r="E227" s="24"/>
      <c r="F227" s="25">
        <f t="shared" si="130"/>
        <v>147</v>
      </c>
      <c r="G227" s="25">
        <f t="shared" si="131"/>
        <v>99</v>
      </c>
      <c r="H227" s="23">
        <f t="shared" si="132"/>
        <v>1.4553</v>
      </c>
    </row>
    <row r="228" spans="1:8" s="52" customFormat="1" ht="14.25" customHeight="1" x14ac:dyDescent="0.2">
      <c r="A228" s="48">
        <v>199</v>
      </c>
      <c r="B228" s="48">
        <v>170</v>
      </c>
      <c r="C228" s="48">
        <v>105</v>
      </c>
      <c r="D228" s="23">
        <f t="shared" si="129"/>
        <v>1.7849999999999999</v>
      </c>
      <c r="E228" s="24"/>
      <c r="F228" s="25">
        <f t="shared" si="130"/>
        <v>165</v>
      </c>
      <c r="G228" s="25">
        <f t="shared" si="131"/>
        <v>100</v>
      </c>
      <c r="H228" s="23">
        <f t="shared" si="132"/>
        <v>1.65</v>
      </c>
    </row>
    <row r="229" spans="1:8" s="52" customFormat="1" ht="14.25" customHeight="1" x14ac:dyDescent="0.2">
      <c r="A229" s="48">
        <v>200</v>
      </c>
      <c r="B229" s="48">
        <v>172</v>
      </c>
      <c r="C229" s="48">
        <v>105</v>
      </c>
      <c r="D229" s="23">
        <f t="shared" si="129"/>
        <v>1.806</v>
      </c>
      <c r="E229" s="24"/>
      <c r="F229" s="25">
        <f t="shared" si="130"/>
        <v>167</v>
      </c>
      <c r="G229" s="25">
        <f t="shared" si="131"/>
        <v>100</v>
      </c>
      <c r="H229" s="23">
        <f t="shared" si="132"/>
        <v>1.67</v>
      </c>
    </row>
    <row r="230" spans="1:8" s="52" customFormat="1" ht="14.25" customHeight="1" x14ac:dyDescent="0.2">
      <c r="A230" s="48">
        <v>201</v>
      </c>
      <c r="B230" s="48">
        <v>163</v>
      </c>
      <c r="C230" s="48">
        <v>105</v>
      </c>
      <c r="D230" s="23">
        <f t="shared" si="129"/>
        <v>1.7115</v>
      </c>
      <c r="E230" s="24"/>
      <c r="F230" s="25">
        <f t="shared" si="130"/>
        <v>158</v>
      </c>
      <c r="G230" s="25">
        <f t="shared" si="131"/>
        <v>100</v>
      </c>
      <c r="H230" s="23">
        <f t="shared" si="132"/>
        <v>1.58</v>
      </c>
    </row>
    <row r="231" spans="1:8" s="52" customFormat="1" ht="14.25" customHeight="1" x14ac:dyDescent="0.2">
      <c r="A231" s="48">
        <v>202</v>
      </c>
      <c r="B231" s="48">
        <v>98</v>
      </c>
      <c r="C231" s="48">
        <v>82</v>
      </c>
      <c r="D231" s="23">
        <f t="shared" si="129"/>
        <v>0.80359999999999998</v>
      </c>
      <c r="E231" s="24"/>
      <c r="F231" s="25">
        <f t="shared" si="130"/>
        <v>93</v>
      </c>
      <c r="G231" s="25">
        <f t="shared" si="131"/>
        <v>77</v>
      </c>
      <c r="H231" s="23">
        <f t="shared" si="132"/>
        <v>0.71609999999999996</v>
      </c>
    </row>
    <row r="232" spans="1:8" s="52" customFormat="1" ht="14.25" customHeight="1" x14ac:dyDescent="0.2">
      <c r="A232" s="48">
        <v>203</v>
      </c>
      <c r="B232" s="48">
        <v>106</v>
      </c>
      <c r="C232" s="48">
        <v>101</v>
      </c>
      <c r="D232" s="23">
        <f t="shared" si="129"/>
        <v>1.0706</v>
      </c>
      <c r="E232" s="24"/>
      <c r="F232" s="25">
        <f t="shared" si="130"/>
        <v>101</v>
      </c>
      <c r="G232" s="25">
        <f t="shared" si="131"/>
        <v>96</v>
      </c>
      <c r="H232" s="23">
        <f t="shared" si="132"/>
        <v>0.96960000000000002</v>
      </c>
    </row>
    <row r="233" spans="1:8" s="52" customFormat="1" ht="14.25" customHeight="1" x14ac:dyDescent="0.2">
      <c r="A233" s="48">
        <v>204</v>
      </c>
      <c r="B233" s="48">
        <v>100</v>
      </c>
      <c r="C233" s="48">
        <v>91</v>
      </c>
      <c r="D233" s="23">
        <f t="shared" si="129"/>
        <v>0.91</v>
      </c>
      <c r="E233" s="24"/>
      <c r="F233" s="25">
        <f t="shared" si="130"/>
        <v>95</v>
      </c>
      <c r="G233" s="25">
        <f t="shared" si="131"/>
        <v>86</v>
      </c>
      <c r="H233" s="23">
        <f t="shared" si="132"/>
        <v>0.81699999999999995</v>
      </c>
    </row>
    <row r="234" spans="1:8" s="52" customFormat="1" ht="14.25" customHeight="1" x14ac:dyDescent="0.2">
      <c r="A234" s="48">
        <v>205</v>
      </c>
      <c r="B234" s="48">
        <v>100</v>
      </c>
      <c r="C234" s="48">
        <v>100</v>
      </c>
      <c r="D234" s="23">
        <f t="shared" si="129"/>
        <v>1</v>
      </c>
      <c r="E234" s="24"/>
      <c r="F234" s="25">
        <f t="shared" si="130"/>
        <v>95</v>
      </c>
      <c r="G234" s="25">
        <f t="shared" si="131"/>
        <v>95</v>
      </c>
      <c r="H234" s="23">
        <f t="shared" si="132"/>
        <v>0.90249999999999997</v>
      </c>
    </row>
    <row r="235" spans="1:8" s="52" customFormat="1" ht="14.25" customHeight="1" x14ac:dyDescent="0.2">
      <c r="A235" s="48">
        <v>206</v>
      </c>
      <c r="B235" s="48">
        <v>154</v>
      </c>
      <c r="C235" s="48">
        <v>98</v>
      </c>
      <c r="D235" s="23">
        <f t="shared" si="129"/>
        <v>1.5092000000000001</v>
      </c>
      <c r="E235" s="24"/>
      <c r="F235" s="25">
        <f t="shared" si="130"/>
        <v>149</v>
      </c>
      <c r="G235" s="25">
        <f t="shared" si="131"/>
        <v>93</v>
      </c>
      <c r="H235" s="23">
        <f t="shared" si="132"/>
        <v>1.3856999999999999</v>
      </c>
    </row>
    <row r="236" spans="1:8" s="52" customFormat="1" ht="14.25" customHeight="1" x14ac:dyDescent="0.2">
      <c r="A236" s="48">
        <v>207</v>
      </c>
      <c r="B236" s="48">
        <v>136</v>
      </c>
      <c r="C236" s="48">
        <v>101</v>
      </c>
      <c r="D236" s="23">
        <f t="shared" si="129"/>
        <v>1.3735999999999999</v>
      </c>
      <c r="E236" s="24"/>
      <c r="F236" s="25">
        <f t="shared" si="130"/>
        <v>131</v>
      </c>
      <c r="G236" s="25">
        <f t="shared" si="131"/>
        <v>96</v>
      </c>
      <c r="H236" s="23">
        <f t="shared" si="132"/>
        <v>1.2576000000000001</v>
      </c>
    </row>
    <row r="237" spans="1:8" s="52" customFormat="1" ht="14.25" customHeight="1" x14ac:dyDescent="0.2">
      <c r="A237" s="48">
        <v>208</v>
      </c>
      <c r="B237" s="48">
        <v>161</v>
      </c>
      <c r="C237" s="48">
        <v>98</v>
      </c>
      <c r="D237" s="23">
        <f t="shared" si="129"/>
        <v>1.5778000000000001</v>
      </c>
      <c r="E237" s="24"/>
      <c r="F237" s="25">
        <f t="shared" si="130"/>
        <v>156</v>
      </c>
      <c r="G237" s="25">
        <f t="shared" si="131"/>
        <v>93</v>
      </c>
      <c r="H237" s="23">
        <f t="shared" si="132"/>
        <v>1.4508000000000001</v>
      </c>
    </row>
    <row r="238" spans="1:8" s="52" customFormat="1" ht="14.25" customHeight="1" x14ac:dyDescent="0.2">
      <c r="A238" s="48">
        <v>209</v>
      </c>
      <c r="B238" s="48">
        <v>123</v>
      </c>
      <c r="C238" s="48">
        <v>101</v>
      </c>
      <c r="D238" s="23">
        <f t="shared" si="129"/>
        <v>1.2423</v>
      </c>
      <c r="E238" s="24"/>
      <c r="F238" s="25">
        <f t="shared" si="130"/>
        <v>118</v>
      </c>
      <c r="G238" s="25">
        <f t="shared" si="131"/>
        <v>96</v>
      </c>
      <c r="H238" s="23">
        <f t="shared" si="132"/>
        <v>1.1328</v>
      </c>
    </row>
    <row r="239" spans="1:8" s="52" customFormat="1" ht="14.25" customHeight="1" x14ac:dyDescent="0.2">
      <c r="A239" s="48">
        <v>210</v>
      </c>
      <c r="B239" s="48">
        <v>148</v>
      </c>
      <c r="C239" s="48">
        <v>101</v>
      </c>
      <c r="D239" s="23">
        <f t="shared" si="129"/>
        <v>1.4947999999999999</v>
      </c>
      <c r="E239" s="24"/>
      <c r="F239" s="25">
        <f t="shared" si="130"/>
        <v>143</v>
      </c>
      <c r="G239" s="25">
        <f t="shared" si="131"/>
        <v>96</v>
      </c>
      <c r="H239" s="23">
        <f t="shared" si="132"/>
        <v>1.3728</v>
      </c>
    </row>
    <row r="240" spans="1:8" s="52" customFormat="1" ht="14.25" customHeight="1" x14ac:dyDescent="0.2">
      <c r="A240" s="48">
        <v>211</v>
      </c>
      <c r="B240" s="48">
        <v>125</v>
      </c>
      <c r="C240" s="48">
        <v>100</v>
      </c>
      <c r="D240" s="23">
        <f t="shared" si="129"/>
        <v>1.25</v>
      </c>
      <c r="E240" s="24"/>
      <c r="F240" s="25">
        <f t="shared" si="130"/>
        <v>120</v>
      </c>
      <c r="G240" s="25">
        <f t="shared" si="131"/>
        <v>95</v>
      </c>
      <c r="H240" s="23">
        <f t="shared" si="132"/>
        <v>1.1399999999999999</v>
      </c>
    </row>
    <row r="241" spans="1:8" s="52" customFormat="1" ht="14.25" customHeight="1" x14ac:dyDescent="0.2">
      <c r="A241" s="48">
        <v>212</v>
      </c>
      <c r="B241" s="48">
        <v>152</v>
      </c>
      <c r="C241" s="48">
        <v>101</v>
      </c>
      <c r="D241" s="23">
        <f t="shared" si="129"/>
        <v>1.5351999999999999</v>
      </c>
      <c r="E241" s="24"/>
      <c r="F241" s="25">
        <f t="shared" si="130"/>
        <v>147</v>
      </c>
      <c r="G241" s="25">
        <f t="shared" si="131"/>
        <v>96</v>
      </c>
      <c r="H241" s="23">
        <f t="shared" si="132"/>
        <v>1.4112</v>
      </c>
    </row>
    <row r="242" spans="1:8" s="52" customFormat="1" ht="14.25" customHeight="1" x14ac:dyDescent="0.2">
      <c r="A242" s="48">
        <v>213</v>
      </c>
      <c r="B242" s="48">
        <v>152</v>
      </c>
      <c r="C242" s="48">
        <v>101</v>
      </c>
      <c r="D242" s="23">
        <f t="shared" si="129"/>
        <v>1.5351999999999999</v>
      </c>
      <c r="E242" s="24"/>
      <c r="F242" s="25">
        <f t="shared" si="130"/>
        <v>147</v>
      </c>
      <c r="G242" s="25">
        <f t="shared" si="131"/>
        <v>96</v>
      </c>
      <c r="H242" s="23">
        <f t="shared" si="132"/>
        <v>1.4112</v>
      </c>
    </row>
    <row r="243" spans="1:8" s="52" customFormat="1" ht="14.25" customHeight="1" x14ac:dyDescent="0.2">
      <c r="A243" s="48">
        <v>214</v>
      </c>
      <c r="B243" s="48">
        <v>153</v>
      </c>
      <c r="C243" s="48">
        <v>101</v>
      </c>
      <c r="D243" s="23">
        <f t="shared" si="129"/>
        <v>1.5452999999999999</v>
      </c>
      <c r="E243" s="24"/>
      <c r="F243" s="25">
        <f t="shared" si="130"/>
        <v>148</v>
      </c>
      <c r="G243" s="25">
        <f t="shared" si="131"/>
        <v>96</v>
      </c>
      <c r="H243" s="23">
        <f t="shared" si="132"/>
        <v>1.4208000000000001</v>
      </c>
    </row>
    <row r="244" spans="1:8" s="52" customFormat="1" ht="14.25" customHeight="1" x14ac:dyDescent="0.2">
      <c r="A244" s="48">
        <v>215</v>
      </c>
      <c r="B244" s="48">
        <v>160</v>
      </c>
      <c r="C244" s="48">
        <v>90</v>
      </c>
      <c r="D244" s="23">
        <f t="shared" si="129"/>
        <v>1.44</v>
      </c>
      <c r="E244" s="24"/>
      <c r="F244" s="25">
        <f t="shared" si="130"/>
        <v>155</v>
      </c>
      <c r="G244" s="25">
        <f t="shared" si="131"/>
        <v>85</v>
      </c>
      <c r="H244" s="23">
        <f t="shared" si="132"/>
        <v>1.3174999999999999</v>
      </c>
    </row>
    <row r="245" spans="1:8" s="52" customFormat="1" ht="14.25" customHeight="1" x14ac:dyDescent="0.2">
      <c r="A245" s="48">
        <v>216</v>
      </c>
      <c r="B245" s="48">
        <v>163</v>
      </c>
      <c r="C245" s="48">
        <v>90</v>
      </c>
      <c r="D245" s="23">
        <f t="shared" si="129"/>
        <v>1.4670000000000001</v>
      </c>
      <c r="E245" s="24"/>
      <c r="F245" s="25">
        <f t="shared" si="130"/>
        <v>158</v>
      </c>
      <c r="G245" s="25">
        <f t="shared" si="131"/>
        <v>85</v>
      </c>
      <c r="H245" s="23">
        <f t="shared" si="132"/>
        <v>1.343</v>
      </c>
    </row>
    <row r="246" spans="1:8" s="52" customFormat="1" ht="14.25" customHeight="1" x14ac:dyDescent="0.2">
      <c r="A246" s="48">
        <v>217</v>
      </c>
      <c r="B246" s="48">
        <v>176</v>
      </c>
      <c r="C246" s="48">
        <v>90</v>
      </c>
      <c r="D246" s="23">
        <f t="shared" si="129"/>
        <v>1.5840000000000001</v>
      </c>
      <c r="E246" s="24"/>
      <c r="F246" s="25">
        <f t="shared" si="130"/>
        <v>171</v>
      </c>
      <c r="G246" s="25">
        <f t="shared" si="131"/>
        <v>85</v>
      </c>
      <c r="H246" s="23">
        <f t="shared" si="132"/>
        <v>1.4535</v>
      </c>
    </row>
    <row r="247" spans="1:8" s="52" customFormat="1" ht="14.25" customHeight="1" x14ac:dyDescent="0.2">
      <c r="A247" s="48">
        <v>218</v>
      </c>
      <c r="B247" s="48">
        <v>173</v>
      </c>
      <c r="C247" s="48">
        <v>90</v>
      </c>
      <c r="D247" s="23">
        <f t="shared" si="129"/>
        <v>1.5569999999999999</v>
      </c>
      <c r="E247" s="24"/>
      <c r="F247" s="25">
        <f t="shared" si="130"/>
        <v>168</v>
      </c>
      <c r="G247" s="25">
        <f t="shared" si="131"/>
        <v>85</v>
      </c>
      <c r="H247" s="23">
        <f t="shared" si="132"/>
        <v>1.4279999999999999</v>
      </c>
    </row>
    <row r="248" spans="1:8" s="52" customFormat="1" ht="14.25" customHeight="1" x14ac:dyDescent="0.2">
      <c r="A248" s="48">
        <v>219</v>
      </c>
      <c r="B248" s="48">
        <v>128</v>
      </c>
      <c r="C248" s="48">
        <v>92</v>
      </c>
      <c r="D248" s="23">
        <f t="shared" si="129"/>
        <v>1.1776</v>
      </c>
      <c r="E248" s="24"/>
      <c r="F248" s="25">
        <f t="shared" si="130"/>
        <v>123</v>
      </c>
      <c r="G248" s="25">
        <f t="shared" si="131"/>
        <v>87</v>
      </c>
      <c r="H248" s="23">
        <f t="shared" si="132"/>
        <v>1.0701000000000001</v>
      </c>
    </row>
    <row r="249" spans="1:8" s="52" customFormat="1" ht="14.25" customHeight="1" x14ac:dyDescent="0.2">
      <c r="A249" s="48">
        <v>220</v>
      </c>
      <c r="B249" s="48">
        <v>150</v>
      </c>
      <c r="C249" s="48">
        <v>101</v>
      </c>
      <c r="D249" s="23">
        <f t="shared" si="129"/>
        <v>1.5149999999999999</v>
      </c>
      <c r="E249" s="24"/>
      <c r="F249" s="25">
        <f t="shared" si="130"/>
        <v>145</v>
      </c>
      <c r="G249" s="25">
        <f t="shared" si="131"/>
        <v>96</v>
      </c>
      <c r="H249" s="23">
        <f t="shared" si="132"/>
        <v>1.3919999999999999</v>
      </c>
    </row>
    <row r="250" spans="1:8" s="52" customFormat="1" ht="14.25" customHeight="1" x14ac:dyDescent="0.2">
      <c r="A250" s="48">
        <v>221</v>
      </c>
      <c r="B250" s="48">
        <v>148</v>
      </c>
      <c r="C250" s="48">
        <v>101</v>
      </c>
      <c r="D250" s="23">
        <f t="shared" si="129"/>
        <v>1.4947999999999999</v>
      </c>
      <c r="E250" s="24"/>
      <c r="F250" s="25">
        <f t="shared" si="130"/>
        <v>143</v>
      </c>
      <c r="G250" s="25">
        <f t="shared" si="131"/>
        <v>96</v>
      </c>
      <c r="H250" s="23">
        <f t="shared" si="132"/>
        <v>1.3728</v>
      </c>
    </row>
    <row r="251" spans="1:8" s="52" customFormat="1" ht="14.25" customHeight="1" x14ac:dyDescent="0.2">
      <c r="A251" s="48">
        <v>222</v>
      </c>
      <c r="B251" s="48">
        <v>142</v>
      </c>
      <c r="C251" s="48">
        <v>101</v>
      </c>
      <c r="D251" s="23">
        <f t="shared" si="129"/>
        <v>1.4341999999999999</v>
      </c>
      <c r="E251" s="24"/>
      <c r="F251" s="25">
        <f t="shared" si="130"/>
        <v>137</v>
      </c>
      <c r="G251" s="25">
        <f t="shared" si="131"/>
        <v>96</v>
      </c>
      <c r="H251" s="23">
        <f t="shared" si="132"/>
        <v>1.3151999999999999</v>
      </c>
    </row>
    <row r="252" spans="1:8" s="52" customFormat="1" ht="14.25" customHeight="1" x14ac:dyDescent="0.2">
      <c r="A252" s="48">
        <v>223</v>
      </c>
      <c r="B252" s="48">
        <v>148</v>
      </c>
      <c r="C252" s="48">
        <v>100</v>
      </c>
      <c r="D252" s="23">
        <f t="shared" si="129"/>
        <v>1.48</v>
      </c>
      <c r="E252" s="24"/>
      <c r="F252" s="25">
        <f t="shared" si="130"/>
        <v>143</v>
      </c>
      <c r="G252" s="25">
        <f t="shared" si="131"/>
        <v>95</v>
      </c>
      <c r="H252" s="23">
        <f t="shared" si="132"/>
        <v>1.3585</v>
      </c>
    </row>
    <row r="253" spans="1:8" s="52" customFormat="1" ht="14.25" customHeight="1" x14ac:dyDescent="0.2">
      <c r="A253" s="48">
        <v>224</v>
      </c>
      <c r="B253" s="48">
        <v>143</v>
      </c>
      <c r="C253" s="48">
        <v>101</v>
      </c>
      <c r="D253" s="23">
        <f t="shared" si="129"/>
        <v>1.4442999999999999</v>
      </c>
      <c r="E253" s="24"/>
      <c r="F253" s="25">
        <f t="shared" si="130"/>
        <v>138</v>
      </c>
      <c r="G253" s="25">
        <f t="shared" si="131"/>
        <v>96</v>
      </c>
      <c r="H253" s="23">
        <f t="shared" si="132"/>
        <v>1.3248</v>
      </c>
    </row>
    <row r="254" spans="1:8" s="52" customFormat="1" ht="14.25" customHeight="1" x14ac:dyDescent="0.2">
      <c r="A254" s="48">
        <v>225</v>
      </c>
      <c r="B254" s="48">
        <v>148</v>
      </c>
      <c r="C254" s="48">
        <v>101</v>
      </c>
      <c r="D254" s="23">
        <f t="shared" si="129"/>
        <v>1.4947999999999999</v>
      </c>
      <c r="E254" s="24"/>
      <c r="F254" s="25">
        <f t="shared" si="130"/>
        <v>143</v>
      </c>
      <c r="G254" s="25">
        <f t="shared" si="131"/>
        <v>96</v>
      </c>
      <c r="H254" s="23">
        <f t="shared" si="132"/>
        <v>1.3728</v>
      </c>
    </row>
    <row r="255" spans="1:8" s="52" customFormat="1" ht="14.25" customHeight="1" x14ac:dyDescent="0.2">
      <c r="A255" s="48">
        <v>226</v>
      </c>
      <c r="B255" s="48">
        <v>140</v>
      </c>
      <c r="C255" s="48">
        <v>101</v>
      </c>
      <c r="D255" s="23">
        <f t="shared" si="129"/>
        <v>1.4139999999999999</v>
      </c>
      <c r="E255" s="24"/>
      <c r="F255" s="25">
        <f t="shared" si="130"/>
        <v>135</v>
      </c>
      <c r="G255" s="25">
        <f t="shared" si="131"/>
        <v>96</v>
      </c>
      <c r="H255" s="23">
        <f t="shared" si="132"/>
        <v>1.296</v>
      </c>
    </row>
    <row r="256" spans="1:8" s="52" customFormat="1" ht="14.25" customHeight="1" x14ac:dyDescent="0.2">
      <c r="A256" s="48">
        <v>227</v>
      </c>
      <c r="B256" s="48">
        <v>133</v>
      </c>
      <c r="C256" s="48">
        <v>101</v>
      </c>
      <c r="D256" s="23">
        <f t="shared" si="129"/>
        <v>1.3432999999999999</v>
      </c>
      <c r="E256" s="24"/>
      <c r="F256" s="25">
        <f t="shared" si="130"/>
        <v>128</v>
      </c>
      <c r="G256" s="25">
        <f t="shared" si="131"/>
        <v>96</v>
      </c>
      <c r="H256" s="23">
        <f t="shared" si="132"/>
        <v>1.2287999999999999</v>
      </c>
    </row>
    <row r="257" spans="1:8" s="52" customFormat="1" ht="14.25" customHeight="1" x14ac:dyDescent="0.2">
      <c r="A257" s="48">
        <v>228</v>
      </c>
      <c r="B257" s="48">
        <v>103</v>
      </c>
      <c r="C257" s="48">
        <v>61</v>
      </c>
      <c r="D257" s="23">
        <f t="shared" si="129"/>
        <v>0.62829999999999997</v>
      </c>
      <c r="E257" s="24"/>
      <c r="F257" s="25">
        <f t="shared" si="130"/>
        <v>98</v>
      </c>
      <c r="G257" s="25">
        <f t="shared" si="131"/>
        <v>56</v>
      </c>
      <c r="H257" s="23">
        <f t="shared" si="132"/>
        <v>0.54879999999999995</v>
      </c>
    </row>
    <row r="258" spans="1:8" s="52" customFormat="1" ht="14.25" customHeight="1" x14ac:dyDescent="0.2">
      <c r="A258" s="48">
        <v>229</v>
      </c>
      <c r="B258" s="48">
        <v>121</v>
      </c>
      <c r="C258" s="48">
        <v>60</v>
      </c>
      <c r="D258" s="23">
        <f t="shared" si="129"/>
        <v>0.72599999999999998</v>
      </c>
      <c r="E258" s="24"/>
      <c r="F258" s="25">
        <f t="shared" si="130"/>
        <v>116</v>
      </c>
      <c r="G258" s="25">
        <f t="shared" si="131"/>
        <v>55</v>
      </c>
      <c r="H258" s="23">
        <f t="shared" si="132"/>
        <v>0.63800000000000001</v>
      </c>
    </row>
    <row r="259" spans="1:8" s="52" customFormat="1" ht="14.25" customHeight="1" x14ac:dyDescent="0.2">
      <c r="A259" s="48">
        <v>230</v>
      </c>
      <c r="B259" s="48">
        <v>113</v>
      </c>
      <c r="C259" s="48">
        <v>60</v>
      </c>
      <c r="D259" s="23">
        <f t="shared" si="129"/>
        <v>0.67800000000000005</v>
      </c>
      <c r="E259" s="24"/>
      <c r="F259" s="25">
        <f t="shared" si="130"/>
        <v>108</v>
      </c>
      <c r="G259" s="25">
        <f t="shared" si="131"/>
        <v>55</v>
      </c>
      <c r="H259" s="23">
        <f t="shared" si="132"/>
        <v>0.59399999999999997</v>
      </c>
    </row>
    <row r="260" spans="1:8" s="52" customFormat="1" ht="14.25" customHeight="1" x14ac:dyDescent="0.2">
      <c r="A260" s="48">
        <v>231</v>
      </c>
      <c r="B260" s="48">
        <v>126</v>
      </c>
      <c r="C260" s="48">
        <v>60</v>
      </c>
      <c r="D260" s="23">
        <f t="shared" si="129"/>
        <v>0.75600000000000001</v>
      </c>
      <c r="E260" s="24"/>
      <c r="F260" s="25">
        <f t="shared" si="130"/>
        <v>121</v>
      </c>
      <c r="G260" s="25">
        <f t="shared" si="131"/>
        <v>55</v>
      </c>
      <c r="H260" s="23">
        <f t="shared" si="132"/>
        <v>0.66549999999999998</v>
      </c>
    </row>
    <row r="261" spans="1:8" s="52" customFormat="1" ht="14.25" customHeight="1" x14ac:dyDescent="0.2">
      <c r="A261" s="48">
        <v>232</v>
      </c>
      <c r="B261" s="48">
        <v>120</v>
      </c>
      <c r="C261" s="48">
        <v>60</v>
      </c>
      <c r="D261" s="23">
        <f t="shared" si="129"/>
        <v>0.72</v>
      </c>
      <c r="E261" s="24"/>
      <c r="F261" s="25">
        <f t="shared" si="130"/>
        <v>115</v>
      </c>
      <c r="G261" s="25">
        <f t="shared" si="131"/>
        <v>55</v>
      </c>
      <c r="H261" s="23">
        <f t="shared" si="132"/>
        <v>0.63249999999999995</v>
      </c>
    </row>
    <row r="262" spans="1:8" s="52" customFormat="1" ht="14.25" customHeight="1" x14ac:dyDescent="0.2">
      <c r="A262" s="48">
        <v>233</v>
      </c>
      <c r="B262" s="48">
        <v>116</v>
      </c>
      <c r="C262" s="48">
        <v>61</v>
      </c>
      <c r="D262" s="23">
        <f t="shared" si="129"/>
        <v>0.70760000000000001</v>
      </c>
      <c r="E262" s="24"/>
      <c r="F262" s="25">
        <f t="shared" si="130"/>
        <v>111</v>
      </c>
      <c r="G262" s="25">
        <f t="shared" si="131"/>
        <v>56</v>
      </c>
      <c r="H262" s="23">
        <f t="shared" si="132"/>
        <v>0.62160000000000004</v>
      </c>
    </row>
    <row r="263" spans="1:8" s="52" customFormat="1" ht="14.25" customHeight="1" x14ac:dyDescent="0.2">
      <c r="A263" s="48">
        <v>234</v>
      </c>
      <c r="B263" s="48">
        <v>97</v>
      </c>
      <c r="C263" s="48">
        <v>61</v>
      </c>
      <c r="D263" s="23">
        <f t="shared" si="129"/>
        <v>0.5917</v>
      </c>
      <c r="E263" s="24"/>
      <c r="F263" s="25">
        <f t="shared" si="130"/>
        <v>92</v>
      </c>
      <c r="G263" s="25">
        <f t="shared" si="131"/>
        <v>56</v>
      </c>
      <c r="H263" s="23">
        <f t="shared" si="132"/>
        <v>0.51519999999999999</v>
      </c>
    </row>
    <row r="264" spans="1:8" s="52" customFormat="1" ht="14.25" customHeight="1" x14ac:dyDescent="0.2">
      <c r="A264" s="48">
        <v>235</v>
      </c>
      <c r="B264" s="48">
        <v>132</v>
      </c>
      <c r="C264" s="48">
        <v>66</v>
      </c>
      <c r="D264" s="23">
        <f t="shared" si="129"/>
        <v>0.87119999999999997</v>
      </c>
      <c r="E264" s="24"/>
      <c r="F264" s="25">
        <f t="shared" si="130"/>
        <v>127</v>
      </c>
      <c r="G264" s="25">
        <f t="shared" si="131"/>
        <v>61</v>
      </c>
      <c r="H264" s="23">
        <f t="shared" si="132"/>
        <v>0.77470000000000006</v>
      </c>
    </row>
    <row r="265" spans="1:8" s="52" customFormat="1" ht="14.25" customHeight="1" x14ac:dyDescent="0.2">
      <c r="A265" s="48">
        <v>236</v>
      </c>
      <c r="B265" s="48">
        <v>126</v>
      </c>
      <c r="C265" s="48">
        <v>66</v>
      </c>
      <c r="D265" s="23">
        <f t="shared" si="129"/>
        <v>0.83160000000000001</v>
      </c>
      <c r="E265" s="24"/>
      <c r="F265" s="25">
        <f t="shared" si="130"/>
        <v>121</v>
      </c>
      <c r="G265" s="25">
        <f t="shared" si="131"/>
        <v>61</v>
      </c>
      <c r="H265" s="23">
        <f t="shared" si="132"/>
        <v>0.73809999999999998</v>
      </c>
    </row>
    <row r="266" spans="1:8" s="52" customFormat="1" ht="14.25" customHeight="1" x14ac:dyDescent="0.2">
      <c r="A266" s="48">
        <v>237</v>
      </c>
      <c r="B266" s="48">
        <v>108</v>
      </c>
      <c r="C266" s="48">
        <v>66</v>
      </c>
      <c r="D266" s="23">
        <f t="shared" si="129"/>
        <v>0.71279999999999999</v>
      </c>
      <c r="E266" s="24"/>
      <c r="F266" s="25">
        <f t="shared" si="130"/>
        <v>103</v>
      </c>
      <c r="G266" s="25">
        <f t="shared" si="131"/>
        <v>61</v>
      </c>
      <c r="H266" s="23">
        <f t="shared" si="132"/>
        <v>0.62829999999999997</v>
      </c>
    </row>
    <row r="267" spans="1:8" s="52" customFormat="1" ht="14.25" customHeight="1" x14ac:dyDescent="0.2">
      <c r="A267" s="48">
        <v>238</v>
      </c>
      <c r="B267" s="48">
        <v>150</v>
      </c>
      <c r="C267" s="48">
        <v>67</v>
      </c>
      <c r="D267" s="23">
        <f t="shared" si="129"/>
        <v>1.0049999999999999</v>
      </c>
      <c r="E267" s="24"/>
      <c r="F267" s="25">
        <f t="shared" si="130"/>
        <v>145</v>
      </c>
      <c r="G267" s="25">
        <f t="shared" si="131"/>
        <v>62</v>
      </c>
      <c r="H267" s="23">
        <f t="shared" si="132"/>
        <v>0.89900000000000002</v>
      </c>
    </row>
    <row r="268" spans="1:8" s="52" customFormat="1" ht="14.25" customHeight="1" x14ac:dyDescent="0.2">
      <c r="A268" s="48">
        <v>239</v>
      </c>
      <c r="B268" s="48">
        <v>143</v>
      </c>
      <c r="C268" s="48">
        <v>66</v>
      </c>
      <c r="D268" s="23">
        <f t="shared" si="129"/>
        <v>0.94379999999999997</v>
      </c>
      <c r="E268" s="24"/>
      <c r="F268" s="25">
        <f t="shared" si="130"/>
        <v>138</v>
      </c>
      <c r="G268" s="25">
        <f t="shared" si="131"/>
        <v>61</v>
      </c>
      <c r="H268" s="23">
        <f t="shared" si="132"/>
        <v>0.84179999999999999</v>
      </c>
    </row>
    <row r="269" spans="1:8" s="52" customFormat="1" ht="14.25" customHeight="1" x14ac:dyDescent="0.2">
      <c r="A269" s="48">
        <v>240</v>
      </c>
      <c r="B269" s="48">
        <v>141</v>
      </c>
      <c r="C269" s="48">
        <v>66</v>
      </c>
      <c r="D269" s="23">
        <f t="shared" si="129"/>
        <v>0.93059999999999998</v>
      </c>
      <c r="E269" s="24"/>
      <c r="F269" s="25">
        <f t="shared" si="130"/>
        <v>136</v>
      </c>
      <c r="G269" s="25">
        <f t="shared" si="131"/>
        <v>61</v>
      </c>
      <c r="H269" s="23">
        <f t="shared" si="132"/>
        <v>0.8296</v>
      </c>
    </row>
    <row r="270" spans="1:8" s="52" customFormat="1" ht="14.25" customHeight="1" x14ac:dyDescent="0.2">
      <c r="A270" s="48">
        <v>241</v>
      </c>
      <c r="B270" s="48">
        <v>128</v>
      </c>
      <c r="C270" s="48">
        <v>66</v>
      </c>
      <c r="D270" s="23">
        <f t="shared" si="129"/>
        <v>0.8448</v>
      </c>
      <c r="E270" s="24"/>
      <c r="F270" s="25">
        <f t="shared" si="130"/>
        <v>123</v>
      </c>
      <c r="G270" s="25">
        <f t="shared" si="131"/>
        <v>61</v>
      </c>
      <c r="H270" s="23">
        <f t="shared" si="132"/>
        <v>0.75029999999999997</v>
      </c>
    </row>
    <row r="271" spans="1:8" s="52" customFormat="1" ht="14.25" customHeight="1" x14ac:dyDescent="0.2">
      <c r="A271" s="48">
        <v>242</v>
      </c>
      <c r="B271" s="48">
        <v>111</v>
      </c>
      <c r="C271" s="48">
        <v>65</v>
      </c>
      <c r="D271" s="23">
        <f t="shared" si="129"/>
        <v>0.72150000000000003</v>
      </c>
      <c r="E271" s="24"/>
      <c r="F271" s="25">
        <f t="shared" si="130"/>
        <v>106</v>
      </c>
      <c r="G271" s="25">
        <f t="shared" si="131"/>
        <v>60</v>
      </c>
      <c r="H271" s="23">
        <f t="shared" si="132"/>
        <v>0.63600000000000001</v>
      </c>
    </row>
    <row r="272" spans="1:8" s="52" customFormat="1" ht="14.25" customHeight="1" x14ac:dyDescent="0.2">
      <c r="A272" s="48">
        <v>243</v>
      </c>
      <c r="B272" s="48">
        <v>101</v>
      </c>
      <c r="C272" s="48">
        <v>92</v>
      </c>
      <c r="D272" s="23">
        <f t="shared" si="129"/>
        <v>0.92920000000000003</v>
      </c>
      <c r="E272" s="24"/>
      <c r="F272" s="25">
        <f t="shared" si="130"/>
        <v>96</v>
      </c>
      <c r="G272" s="25">
        <f t="shared" si="131"/>
        <v>87</v>
      </c>
      <c r="H272" s="23">
        <f t="shared" si="132"/>
        <v>0.83520000000000005</v>
      </c>
    </row>
    <row r="273" spans="1:8" s="52" customFormat="1" ht="14.25" customHeight="1" x14ac:dyDescent="0.2">
      <c r="A273" s="48">
        <v>244</v>
      </c>
      <c r="B273" s="48">
        <v>114</v>
      </c>
      <c r="C273" s="48">
        <v>92</v>
      </c>
      <c r="D273" s="23">
        <f t="shared" si="129"/>
        <v>1.0488</v>
      </c>
      <c r="E273" s="24"/>
      <c r="F273" s="25">
        <f t="shared" si="130"/>
        <v>109</v>
      </c>
      <c r="G273" s="25">
        <f t="shared" si="131"/>
        <v>87</v>
      </c>
      <c r="H273" s="23">
        <f t="shared" si="132"/>
        <v>0.94830000000000003</v>
      </c>
    </row>
    <row r="274" spans="1:8" s="52" customFormat="1" ht="14.25" customHeight="1" x14ac:dyDescent="0.2">
      <c r="A274" s="48">
        <v>245</v>
      </c>
      <c r="B274" s="48">
        <v>130</v>
      </c>
      <c r="C274" s="48">
        <v>92</v>
      </c>
      <c r="D274" s="23">
        <f t="shared" ref="D274:D311" si="133">B274*C274/10000</f>
        <v>1.196</v>
      </c>
      <c r="E274" s="24"/>
      <c r="F274" s="25">
        <f t="shared" ref="F274:F311" si="134">B274-5</f>
        <v>125</v>
      </c>
      <c r="G274" s="25">
        <f t="shared" ref="G274:G311" si="135">C274-5</f>
        <v>87</v>
      </c>
      <c r="H274" s="23">
        <f t="shared" ref="H274:H311" si="136">F274*G274/10000</f>
        <v>1.0874999999999999</v>
      </c>
    </row>
    <row r="275" spans="1:8" s="52" customFormat="1" ht="14.25" customHeight="1" x14ac:dyDescent="0.2">
      <c r="A275" s="48">
        <v>246</v>
      </c>
      <c r="B275" s="48">
        <v>118</v>
      </c>
      <c r="C275" s="48">
        <v>80</v>
      </c>
      <c r="D275" s="23">
        <f t="shared" si="133"/>
        <v>0.94399999999999995</v>
      </c>
      <c r="E275" s="24"/>
      <c r="F275" s="25">
        <f t="shared" si="134"/>
        <v>113</v>
      </c>
      <c r="G275" s="25">
        <f t="shared" si="135"/>
        <v>75</v>
      </c>
      <c r="H275" s="23">
        <f t="shared" si="136"/>
        <v>0.84750000000000003</v>
      </c>
    </row>
    <row r="276" spans="1:8" s="52" customFormat="1" ht="14.25" customHeight="1" x14ac:dyDescent="0.2">
      <c r="A276" s="48">
        <v>247</v>
      </c>
      <c r="B276" s="48">
        <v>116</v>
      </c>
      <c r="C276" s="48">
        <v>87</v>
      </c>
      <c r="D276" s="23">
        <f t="shared" si="133"/>
        <v>1.0092000000000001</v>
      </c>
      <c r="E276" s="24"/>
      <c r="F276" s="25">
        <f t="shared" si="134"/>
        <v>111</v>
      </c>
      <c r="G276" s="25">
        <f t="shared" si="135"/>
        <v>82</v>
      </c>
      <c r="H276" s="23">
        <f t="shared" si="136"/>
        <v>0.91020000000000001</v>
      </c>
    </row>
    <row r="277" spans="1:8" s="52" customFormat="1" ht="14.25" customHeight="1" x14ac:dyDescent="0.2">
      <c r="A277" s="48">
        <v>248</v>
      </c>
      <c r="B277" s="48">
        <v>94</v>
      </c>
      <c r="C277" s="48">
        <v>92</v>
      </c>
      <c r="D277" s="23">
        <f t="shared" si="133"/>
        <v>0.86480000000000001</v>
      </c>
      <c r="E277" s="24"/>
      <c r="F277" s="25">
        <f t="shared" si="134"/>
        <v>89</v>
      </c>
      <c r="G277" s="25">
        <f t="shared" si="135"/>
        <v>87</v>
      </c>
      <c r="H277" s="23">
        <f t="shared" si="136"/>
        <v>0.77429999999999999</v>
      </c>
    </row>
    <row r="278" spans="1:8" s="52" customFormat="1" ht="14.25" customHeight="1" x14ac:dyDescent="0.2">
      <c r="A278" s="48">
        <v>249</v>
      </c>
      <c r="B278" s="48">
        <v>108</v>
      </c>
      <c r="C278" s="48">
        <v>92</v>
      </c>
      <c r="D278" s="23">
        <f t="shared" si="133"/>
        <v>0.99360000000000004</v>
      </c>
      <c r="E278" s="24"/>
      <c r="F278" s="25">
        <f t="shared" si="134"/>
        <v>103</v>
      </c>
      <c r="G278" s="25">
        <f t="shared" si="135"/>
        <v>87</v>
      </c>
      <c r="H278" s="23">
        <f t="shared" si="136"/>
        <v>0.89610000000000001</v>
      </c>
    </row>
    <row r="279" spans="1:8" s="52" customFormat="1" ht="14.25" customHeight="1" x14ac:dyDescent="0.2">
      <c r="A279" s="48">
        <v>250</v>
      </c>
      <c r="B279" s="48">
        <v>93</v>
      </c>
      <c r="C279" s="48">
        <v>85</v>
      </c>
      <c r="D279" s="23">
        <f t="shared" si="133"/>
        <v>0.79049999999999998</v>
      </c>
      <c r="E279" s="24"/>
      <c r="F279" s="25">
        <f t="shared" si="134"/>
        <v>88</v>
      </c>
      <c r="G279" s="25">
        <f t="shared" si="135"/>
        <v>80</v>
      </c>
      <c r="H279" s="23">
        <f t="shared" si="136"/>
        <v>0.70399999999999996</v>
      </c>
    </row>
    <row r="280" spans="1:8" s="52" customFormat="1" ht="14.25" customHeight="1" x14ac:dyDescent="0.2">
      <c r="A280" s="48">
        <v>251</v>
      </c>
      <c r="B280" s="48">
        <v>121</v>
      </c>
      <c r="C280" s="48">
        <v>62</v>
      </c>
      <c r="D280" s="23">
        <f t="shared" si="133"/>
        <v>0.75019999999999998</v>
      </c>
      <c r="E280" s="24"/>
      <c r="F280" s="25">
        <f t="shared" si="134"/>
        <v>116</v>
      </c>
      <c r="G280" s="25">
        <f t="shared" si="135"/>
        <v>57</v>
      </c>
      <c r="H280" s="23">
        <f t="shared" si="136"/>
        <v>0.66120000000000001</v>
      </c>
    </row>
    <row r="281" spans="1:8" s="52" customFormat="1" ht="14.25" customHeight="1" x14ac:dyDescent="0.2">
      <c r="A281" s="48">
        <v>252</v>
      </c>
      <c r="B281" s="48">
        <v>143</v>
      </c>
      <c r="C281" s="48">
        <v>101</v>
      </c>
      <c r="D281" s="23">
        <f t="shared" si="133"/>
        <v>1.4442999999999999</v>
      </c>
      <c r="E281" s="24"/>
      <c r="F281" s="25">
        <f t="shared" si="134"/>
        <v>138</v>
      </c>
      <c r="G281" s="25">
        <f t="shared" si="135"/>
        <v>96</v>
      </c>
      <c r="H281" s="23">
        <f t="shared" si="136"/>
        <v>1.3248</v>
      </c>
    </row>
    <row r="282" spans="1:8" s="52" customFormat="1" ht="14.25" customHeight="1" x14ac:dyDescent="0.2">
      <c r="A282" s="48">
        <v>253</v>
      </c>
      <c r="B282" s="48">
        <v>108</v>
      </c>
      <c r="C282" s="48">
        <v>101</v>
      </c>
      <c r="D282" s="23">
        <f t="shared" si="133"/>
        <v>1.0908</v>
      </c>
      <c r="E282" s="24"/>
      <c r="F282" s="25">
        <f t="shared" si="134"/>
        <v>103</v>
      </c>
      <c r="G282" s="25">
        <f t="shared" si="135"/>
        <v>96</v>
      </c>
      <c r="H282" s="23">
        <f t="shared" si="136"/>
        <v>0.98880000000000001</v>
      </c>
    </row>
    <row r="283" spans="1:8" s="52" customFormat="1" ht="14.25" customHeight="1" x14ac:dyDescent="0.2">
      <c r="A283" s="48">
        <v>254</v>
      </c>
      <c r="B283" s="48">
        <v>136</v>
      </c>
      <c r="C283" s="48">
        <v>101</v>
      </c>
      <c r="D283" s="23">
        <f t="shared" si="133"/>
        <v>1.3735999999999999</v>
      </c>
      <c r="E283" s="24"/>
      <c r="F283" s="25">
        <f t="shared" si="134"/>
        <v>131</v>
      </c>
      <c r="G283" s="25">
        <f t="shared" si="135"/>
        <v>96</v>
      </c>
      <c r="H283" s="23">
        <f t="shared" si="136"/>
        <v>1.2576000000000001</v>
      </c>
    </row>
    <row r="284" spans="1:8" s="52" customFormat="1" ht="14.25" customHeight="1" x14ac:dyDescent="0.2">
      <c r="A284" s="48">
        <v>255</v>
      </c>
      <c r="B284" s="48">
        <v>140</v>
      </c>
      <c r="C284" s="48">
        <v>101</v>
      </c>
      <c r="D284" s="23">
        <f t="shared" si="133"/>
        <v>1.4139999999999999</v>
      </c>
      <c r="E284" s="24"/>
      <c r="F284" s="25">
        <f t="shared" si="134"/>
        <v>135</v>
      </c>
      <c r="G284" s="25">
        <f t="shared" si="135"/>
        <v>96</v>
      </c>
      <c r="H284" s="23">
        <f t="shared" si="136"/>
        <v>1.296</v>
      </c>
    </row>
    <row r="285" spans="1:8" s="52" customFormat="1" ht="14.25" customHeight="1" x14ac:dyDescent="0.2">
      <c r="A285" s="48">
        <v>256</v>
      </c>
      <c r="B285" s="48">
        <v>134</v>
      </c>
      <c r="C285" s="48">
        <v>101</v>
      </c>
      <c r="D285" s="23">
        <f t="shared" si="133"/>
        <v>1.3533999999999999</v>
      </c>
      <c r="E285" s="24"/>
      <c r="F285" s="25">
        <f t="shared" si="134"/>
        <v>129</v>
      </c>
      <c r="G285" s="25">
        <f t="shared" si="135"/>
        <v>96</v>
      </c>
      <c r="H285" s="23">
        <f t="shared" si="136"/>
        <v>1.2383999999999999</v>
      </c>
    </row>
    <row r="286" spans="1:8" s="52" customFormat="1" ht="14.25" customHeight="1" x14ac:dyDescent="0.2">
      <c r="A286" s="48">
        <v>257</v>
      </c>
      <c r="B286" s="48">
        <v>164</v>
      </c>
      <c r="C286" s="48">
        <v>90</v>
      </c>
      <c r="D286" s="23">
        <f t="shared" si="133"/>
        <v>1.476</v>
      </c>
      <c r="E286" s="24"/>
      <c r="F286" s="25">
        <f t="shared" si="134"/>
        <v>159</v>
      </c>
      <c r="G286" s="25">
        <f t="shared" si="135"/>
        <v>85</v>
      </c>
      <c r="H286" s="23">
        <f t="shared" si="136"/>
        <v>1.3514999999999999</v>
      </c>
    </row>
    <row r="287" spans="1:8" s="52" customFormat="1" ht="14.25" customHeight="1" x14ac:dyDescent="0.2">
      <c r="A287" s="48">
        <v>258</v>
      </c>
      <c r="B287" s="48">
        <v>170</v>
      </c>
      <c r="C287" s="48">
        <v>90</v>
      </c>
      <c r="D287" s="23">
        <f t="shared" si="133"/>
        <v>1.53</v>
      </c>
      <c r="E287" s="24"/>
      <c r="F287" s="25">
        <f t="shared" si="134"/>
        <v>165</v>
      </c>
      <c r="G287" s="25">
        <f t="shared" si="135"/>
        <v>85</v>
      </c>
      <c r="H287" s="23">
        <f t="shared" si="136"/>
        <v>1.4025000000000001</v>
      </c>
    </row>
    <row r="288" spans="1:8" s="52" customFormat="1" ht="14.25" customHeight="1" x14ac:dyDescent="0.2">
      <c r="A288" s="48">
        <v>259</v>
      </c>
      <c r="B288" s="48">
        <v>153</v>
      </c>
      <c r="C288" s="48">
        <v>90</v>
      </c>
      <c r="D288" s="23">
        <f t="shared" si="133"/>
        <v>1.377</v>
      </c>
      <c r="E288" s="24"/>
      <c r="F288" s="25">
        <f t="shared" si="134"/>
        <v>148</v>
      </c>
      <c r="G288" s="25">
        <f t="shared" si="135"/>
        <v>85</v>
      </c>
      <c r="H288" s="23">
        <f t="shared" si="136"/>
        <v>1.258</v>
      </c>
    </row>
    <row r="289" spans="1:8" s="52" customFormat="1" ht="14.25" customHeight="1" x14ac:dyDescent="0.2">
      <c r="A289" s="48">
        <v>260</v>
      </c>
      <c r="B289" s="48">
        <v>158</v>
      </c>
      <c r="C289" s="48">
        <v>90</v>
      </c>
      <c r="D289" s="23">
        <f t="shared" si="133"/>
        <v>1.4219999999999999</v>
      </c>
      <c r="E289" s="24"/>
      <c r="F289" s="25">
        <f t="shared" si="134"/>
        <v>153</v>
      </c>
      <c r="G289" s="25">
        <f t="shared" si="135"/>
        <v>85</v>
      </c>
      <c r="H289" s="23">
        <f t="shared" si="136"/>
        <v>1.3005</v>
      </c>
    </row>
    <row r="290" spans="1:8" s="52" customFormat="1" ht="14.25" customHeight="1" x14ac:dyDescent="0.2">
      <c r="A290" s="48">
        <v>261</v>
      </c>
      <c r="B290" s="48">
        <v>134</v>
      </c>
      <c r="C290" s="48">
        <v>94</v>
      </c>
      <c r="D290" s="23">
        <f t="shared" si="133"/>
        <v>1.2596000000000001</v>
      </c>
      <c r="E290" s="24"/>
      <c r="F290" s="25">
        <f t="shared" si="134"/>
        <v>129</v>
      </c>
      <c r="G290" s="25">
        <f t="shared" si="135"/>
        <v>89</v>
      </c>
      <c r="H290" s="23">
        <f t="shared" si="136"/>
        <v>1.1480999999999999</v>
      </c>
    </row>
    <row r="291" spans="1:8" s="52" customFormat="1" ht="14.25" customHeight="1" x14ac:dyDescent="0.2">
      <c r="A291" s="48">
        <v>262</v>
      </c>
      <c r="B291" s="48">
        <v>131</v>
      </c>
      <c r="C291" s="48">
        <v>94</v>
      </c>
      <c r="D291" s="23">
        <f t="shared" si="133"/>
        <v>1.2314000000000001</v>
      </c>
      <c r="E291" s="24"/>
      <c r="F291" s="25">
        <f t="shared" si="134"/>
        <v>126</v>
      </c>
      <c r="G291" s="25">
        <f t="shared" si="135"/>
        <v>89</v>
      </c>
      <c r="H291" s="23">
        <f t="shared" si="136"/>
        <v>1.1214</v>
      </c>
    </row>
    <row r="292" spans="1:8" s="52" customFormat="1" ht="14.25" customHeight="1" x14ac:dyDescent="0.2">
      <c r="A292" s="48">
        <v>263</v>
      </c>
      <c r="B292" s="48">
        <v>93</v>
      </c>
      <c r="C292" s="48">
        <v>66</v>
      </c>
      <c r="D292" s="23">
        <f t="shared" si="133"/>
        <v>0.61380000000000001</v>
      </c>
      <c r="E292" s="24"/>
      <c r="F292" s="25">
        <f t="shared" si="134"/>
        <v>88</v>
      </c>
      <c r="G292" s="25">
        <f t="shared" si="135"/>
        <v>61</v>
      </c>
      <c r="H292" s="23">
        <f t="shared" si="136"/>
        <v>0.53680000000000005</v>
      </c>
    </row>
    <row r="293" spans="1:8" s="52" customFormat="1" ht="14.25" customHeight="1" x14ac:dyDescent="0.2">
      <c r="A293" s="48">
        <v>264</v>
      </c>
      <c r="B293" s="48">
        <v>158</v>
      </c>
      <c r="C293" s="48">
        <v>91</v>
      </c>
      <c r="D293" s="23">
        <f t="shared" si="133"/>
        <v>1.4378</v>
      </c>
      <c r="E293" s="24"/>
      <c r="F293" s="25">
        <f t="shared" si="134"/>
        <v>153</v>
      </c>
      <c r="G293" s="25">
        <f t="shared" si="135"/>
        <v>86</v>
      </c>
      <c r="H293" s="23">
        <f t="shared" si="136"/>
        <v>1.3158000000000001</v>
      </c>
    </row>
    <row r="294" spans="1:8" s="52" customFormat="1" ht="14.25" customHeight="1" x14ac:dyDescent="0.2">
      <c r="A294" s="48">
        <v>265</v>
      </c>
      <c r="B294" s="48">
        <v>155</v>
      </c>
      <c r="C294" s="48">
        <v>90</v>
      </c>
      <c r="D294" s="23">
        <f t="shared" si="133"/>
        <v>1.395</v>
      </c>
      <c r="E294" s="24"/>
      <c r="F294" s="25">
        <f t="shared" si="134"/>
        <v>150</v>
      </c>
      <c r="G294" s="25">
        <f t="shared" si="135"/>
        <v>85</v>
      </c>
      <c r="H294" s="23">
        <f t="shared" si="136"/>
        <v>1.2749999999999999</v>
      </c>
    </row>
    <row r="295" spans="1:8" s="52" customFormat="1" ht="14.25" customHeight="1" x14ac:dyDescent="0.2">
      <c r="A295" s="48">
        <v>266</v>
      </c>
      <c r="B295" s="48">
        <v>145</v>
      </c>
      <c r="C295" s="48">
        <v>75</v>
      </c>
      <c r="D295" s="23">
        <f t="shared" si="133"/>
        <v>1.0874999999999999</v>
      </c>
      <c r="E295" s="24"/>
      <c r="F295" s="25">
        <f t="shared" si="134"/>
        <v>140</v>
      </c>
      <c r="G295" s="25">
        <f t="shared" si="135"/>
        <v>70</v>
      </c>
      <c r="H295" s="23">
        <f t="shared" si="136"/>
        <v>0.98</v>
      </c>
    </row>
    <row r="296" spans="1:8" s="52" customFormat="1" ht="14.25" customHeight="1" x14ac:dyDescent="0.2">
      <c r="A296" s="48">
        <v>267</v>
      </c>
      <c r="B296" s="48">
        <v>138</v>
      </c>
      <c r="C296" s="48">
        <v>83</v>
      </c>
      <c r="D296" s="23">
        <f t="shared" si="133"/>
        <v>1.1454</v>
      </c>
      <c r="E296" s="24"/>
      <c r="F296" s="25">
        <f t="shared" si="134"/>
        <v>133</v>
      </c>
      <c r="G296" s="25">
        <f t="shared" si="135"/>
        <v>78</v>
      </c>
      <c r="H296" s="23">
        <f t="shared" si="136"/>
        <v>1.0374000000000001</v>
      </c>
    </row>
    <row r="297" spans="1:8" s="52" customFormat="1" ht="14.25" customHeight="1" x14ac:dyDescent="0.2">
      <c r="A297" s="48">
        <v>268</v>
      </c>
      <c r="B297" s="48">
        <v>143</v>
      </c>
      <c r="C297" s="48">
        <v>78</v>
      </c>
      <c r="D297" s="23">
        <f t="shared" si="133"/>
        <v>1.1153999999999999</v>
      </c>
      <c r="E297" s="24"/>
      <c r="F297" s="25">
        <f t="shared" si="134"/>
        <v>138</v>
      </c>
      <c r="G297" s="25">
        <f t="shared" si="135"/>
        <v>73</v>
      </c>
      <c r="H297" s="23">
        <f t="shared" si="136"/>
        <v>1.0074000000000001</v>
      </c>
    </row>
    <row r="298" spans="1:8" s="52" customFormat="1" ht="14.25" customHeight="1" x14ac:dyDescent="0.2">
      <c r="A298" s="48">
        <v>269</v>
      </c>
      <c r="B298" s="48">
        <v>113</v>
      </c>
      <c r="C298" s="48">
        <v>91</v>
      </c>
      <c r="D298" s="23">
        <f t="shared" si="133"/>
        <v>1.0283</v>
      </c>
      <c r="E298" s="24"/>
      <c r="F298" s="25">
        <f t="shared" si="134"/>
        <v>108</v>
      </c>
      <c r="G298" s="25">
        <f t="shared" si="135"/>
        <v>86</v>
      </c>
      <c r="H298" s="23">
        <f t="shared" si="136"/>
        <v>0.92879999999999996</v>
      </c>
    </row>
    <row r="299" spans="1:8" s="52" customFormat="1" ht="14.25" customHeight="1" x14ac:dyDescent="0.2">
      <c r="A299" s="48">
        <v>270</v>
      </c>
      <c r="B299" s="48">
        <v>114</v>
      </c>
      <c r="C299" s="48">
        <v>92</v>
      </c>
      <c r="D299" s="23">
        <f t="shared" si="133"/>
        <v>1.0488</v>
      </c>
      <c r="E299" s="24"/>
      <c r="F299" s="25">
        <f t="shared" si="134"/>
        <v>109</v>
      </c>
      <c r="G299" s="25">
        <f t="shared" si="135"/>
        <v>87</v>
      </c>
      <c r="H299" s="23">
        <f t="shared" si="136"/>
        <v>0.94830000000000003</v>
      </c>
    </row>
    <row r="300" spans="1:8" s="52" customFormat="1" ht="14.25" customHeight="1" x14ac:dyDescent="0.2">
      <c r="A300" s="48">
        <v>271</v>
      </c>
      <c r="B300" s="48">
        <v>110</v>
      </c>
      <c r="C300" s="48">
        <v>92</v>
      </c>
      <c r="D300" s="23">
        <f t="shared" si="133"/>
        <v>1.012</v>
      </c>
      <c r="E300" s="24"/>
      <c r="F300" s="25">
        <f t="shared" si="134"/>
        <v>105</v>
      </c>
      <c r="G300" s="25">
        <f t="shared" si="135"/>
        <v>87</v>
      </c>
      <c r="H300" s="23">
        <f t="shared" si="136"/>
        <v>0.91349999999999998</v>
      </c>
    </row>
    <row r="301" spans="1:8" s="52" customFormat="1" ht="14.25" customHeight="1" x14ac:dyDescent="0.2">
      <c r="A301" s="48">
        <v>272</v>
      </c>
      <c r="B301" s="48">
        <v>109</v>
      </c>
      <c r="C301" s="48">
        <v>91</v>
      </c>
      <c r="D301" s="23">
        <f t="shared" si="133"/>
        <v>0.9919</v>
      </c>
      <c r="E301" s="24"/>
      <c r="F301" s="25">
        <f t="shared" si="134"/>
        <v>104</v>
      </c>
      <c r="G301" s="25">
        <f t="shared" si="135"/>
        <v>86</v>
      </c>
      <c r="H301" s="23">
        <f t="shared" si="136"/>
        <v>0.89439999999999997</v>
      </c>
    </row>
    <row r="302" spans="1:8" s="52" customFormat="1" ht="14.25" customHeight="1" x14ac:dyDescent="0.2">
      <c r="A302" s="48">
        <v>273</v>
      </c>
      <c r="B302" s="48">
        <v>108</v>
      </c>
      <c r="C302" s="48">
        <v>91</v>
      </c>
      <c r="D302" s="23">
        <f t="shared" si="133"/>
        <v>0.98280000000000001</v>
      </c>
      <c r="E302" s="24"/>
      <c r="F302" s="25">
        <f t="shared" si="134"/>
        <v>103</v>
      </c>
      <c r="G302" s="25">
        <f t="shared" si="135"/>
        <v>86</v>
      </c>
      <c r="H302" s="23">
        <f t="shared" si="136"/>
        <v>0.88580000000000003</v>
      </c>
    </row>
    <row r="303" spans="1:8" s="52" customFormat="1" ht="14.25" customHeight="1" x14ac:dyDescent="0.2">
      <c r="A303" s="48">
        <v>274</v>
      </c>
      <c r="B303" s="48">
        <v>123</v>
      </c>
      <c r="C303" s="48">
        <v>77</v>
      </c>
      <c r="D303" s="23">
        <f t="shared" si="133"/>
        <v>0.94710000000000005</v>
      </c>
      <c r="E303" s="24"/>
      <c r="F303" s="25">
        <f t="shared" si="134"/>
        <v>118</v>
      </c>
      <c r="G303" s="25">
        <f t="shared" si="135"/>
        <v>72</v>
      </c>
      <c r="H303" s="23">
        <f t="shared" si="136"/>
        <v>0.84960000000000002</v>
      </c>
    </row>
    <row r="304" spans="1:8" s="52" customFormat="1" ht="14.25" customHeight="1" x14ac:dyDescent="0.2">
      <c r="A304" s="48">
        <v>275</v>
      </c>
      <c r="B304" s="48">
        <v>118</v>
      </c>
      <c r="C304" s="48">
        <v>91</v>
      </c>
      <c r="D304" s="23">
        <f t="shared" si="133"/>
        <v>1.0738000000000001</v>
      </c>
      <c r="E304" s="24"/>
      <c r="F304" s="25">
        <f t="shared" si="134"/>
        <v>113</v>
      </c>
      <c r="G304" s="25">
        <f t="shared" si="135"/>
        <v>86</v>
      </c>
      <c r="H304" s="23">
        <f t="shared" si="136"/>
        <v>0.9718</v>
      </c>
    </row>
    <row r="305" spans="1:8" s="52" customFormat="1" ht="14.25" customHeight="1" x14ac:dyDescent="0.2">
      <c r="A305" s="48">
        <v>276</v>
      </c>
      <c r="B305" s="48">
        <v>113</v>
      </c>
      <c r="C305" s="48">
        <v>91</v>
      </c>
      <c r="D305" s="23">
        <f t="shared" si="133"/>
        <v>1.0283</v>
      </c>
      <c r="E305" s="24"/>
      <c r="F305" s="25">
        <f t="shared" si="134"/>
        <v>108</v>
      </c>
      <c r="G305" s="25">
        <f t="shared" si="135"/>
        <v>86</v>
      </c>
      <c r="H305" s="23">
        <f t="shared" si="136"/>
        <v>0.92879999999999996</v>
      </c>
    </row>
    <row r="306" spans="1:8" s="52" customFormat="1" ht="14.25" customHeight="1" x14ac:dyDescent="0.2">
      <c r="A306" s="48">
        <v>277</v>
      </c>
      <c r="B306" s="48">
        <v>118</v>
      </c>
      <c r="C306" s="48">
        <v>81</v>
      </c>
      <c r="D306" s="23">
        <f t="shared" si="133"/>
        <v>0.95579999999999998</v>
      </c>
      <c r="E306" s="24"/>
      <c r="F306" s="25">
        <f t="shared" si="134"/>
        <v>113</v>
      </c>
      <c r="G306" s="25">
        <f t="shared" si="135"/>
        <v>76</v>
      </c>
      <c r="H306" s="23">
        <f t="shared" si="136"/>
        <v>0.85880000000000001</v>
      </c>
    </row>
    <row r="307" spans="1:8" s="52" customFormat="1" ht="14.25" customHeight="1" x14ac:dyDescent="0.2">
      <c r="A307" s="48">
        <v>278</v>
      </c>
      <c r="B307" s="48">
        <v>128</v>
      </c>
      <c r="C307" s="48">
        <v>80</v>
      </c>
      <c r="D307" s="23">
        <f t="shared" si="133"/>
        <v>1.024</v>
      </c>
      <c r="E307" s="24"/>
      <c r="F307" s="25">
        <f t="shared" si="134"/>
        <v>123</v>
      </c>
      <c r="G307" s="25">
        <f t="shared" si="135"/>
        <v>75</v>
      </c>
      <c r="H307" s="23">
        <f t="shared" si="136"/>
        <v>0.92249999999999999</v>
      </c>
    </row>
    <row r="308" spans="1:8" s="52" customFormat="1" ht="14.25" customHeight="1" x14ac:dyDescent="0.2">
      <c r="A308" s="48">
        <v>279</v>
      </c>
      <c r="B308" s="48">
        <v>152</v>
      </c>
      <c r="C308" s="48">
        <v>89</v>
      </c>
      <c r="D308" s="23">
        <f t="shared" si="133"/>
        <v>1.3528</v>
      </c>
      <c r="E308" s="24"/>
      <c r="F308" s="25">
        <f t="shared" si="134"/>
        <v>147</v>
      </c>
      <c r="G308" s="25">
        <f t="shared" si="135"/>
        <v>84</v>
      </c>
      <c r="H308" s="23">
        <f t="shared" si="136"/>
        <v>1.2347999999999999</v>
      </c>
    </row>
    <row r="309" spans="1:8" s="52" customFormat="1" ht="14.25" customHeight="1" x14ac:dyDescent="0.2">
      <c r="A309" s="48">
        <v>280</v>
      </c>
      <c r="B309" s="48">
        <v>148</v>
      </c>
      <c r="C309" s="48">
        <v>90</v>
      </c>
      <c r="D309" s="23">
        <f t="shared" si="133"/>
        <v>1.3320000000000001</v>
      </c>
      <c r="E309" s="24"/>
      <c r="F309" s="25">
        <f t="shared" si="134"/>
        <v>143</v>
      </c>
      <c r="G309" s="25">
        <f t="shared" si="135"/>
        <v>85</v>
      </c>
      <c r="H309" s="23">
        <f t="shared" si="136"/>
        <v>1.2155</v>
      </c>
    </row>
    <row r="310" spans="1:8" s="52" customFormat="1" ht="14.25" customHeight="1" x14ac:dyDescent="0.2">
      <c r="A310" s="48">
        <v>281</v>
      </c>
      <c r="B310" s="48">
        <v>108</v>
      </c>
      <c r="C310" s="48">
        <v>84</v>
      </c>
      <c r="D310" s="23">
        <f t="shared" si="133"/>
        <v>0.90720000000000001</v>
      </c>
      <c r="E310" s="24"/>
      <c r="F310" s="25">
        <f t="shared" si="134"/>
        <v>103</v>
      </c>
      <c r="G310" s="25">
        <f t="shared" si="135"/>
        <v>79</v>
      </c>
      <c r="H310" s="23">
        <f t="shared" si="136"/>
        <v>0.81369999999999998</v>
      </c>
    </row>
    <row r="311" spans="1:8" s="52" customFormat="1" ht="14.25" customHeight="1" x14ac:dyDescent="0.2">
      <c r="A311" s="48">
        <v>282</v>
      </c>
      <c r="B311" s="48">
        <v>138</v>
      </c>
      <c r="C311" s="48">
        <v>87</v>
      </c>
      <c r="D311" s="23">
        <f t="shared" si="133"/>
        <v>1.2005999999999999</v>
      </c>
      <c r="E311" s="24"/>
      <c r="F311" s="25">
        <f t="shared" si="134"/>
        <v>133</v>
      </c>
      <c r="G311" s="25">
        <f t="shared" si="135"/>
        <v>82</v>
      </c>
      <c r="H311" s="23">
        <f t="shared" si="136"/>
        <v>1.0906</v>
      </c>
    </row>
    <row r="312" spans="1:8" s="52" customFormat="1" ht="14.25" customHeight="1" x14ac:dyDescent="0.2">
      <c r="A312" s="48">
        <v>283</v>
      </c>
      <c r="B312" s="48">
        <v>140</v>
      </c>
      <c r="C312" s="48">
        <v>87</v>
      </c>
      <c r="D312" s="23">
        <f t="shared" ref="D312:D364" si="137">B312*C312/10000</f>
        <v>1.218</v>
      </c>
      <c r="E312" s="24"/>
      <c r="F312" s="25">
        <f t="shared" ref="F312:F364" si="138">B312-5</f>
        <v>135</v>
      </c>
      <c r="G312" s="25">
        <f t="shared" ref="G312:G364" si="139">C312-5</f>
        <v>82</v>
      </c>
      <c r="H312" s="23">
        <f t="shared" ref="H312:H364" si="140">F312*G312/10000</f>
        <v>1.107</v>
      </c>
    </row>
    <row r="313" spans="1:8" s="52" customFormat="1" ht="14.25" customHeight="1" x14ac:dyDescent="0.2">
      <c r="A313" s="48">
        <v>284</v>
      </c>
      <c r="B313" s="48">
        <v>113</v>
      </c>
      <c r="C313" s="48">
        <v>87</v>
      </c>
      <c r="D313" s="23">
        <f t="shared" si="137"/>
        <v>0.98309999999999997</v>
      </c>
      <c r="E313" s="24"/>
      <c r="F313" s="25">
        <f t="shared" si="138"/>
        <v>108</v>
      </c>
      <c r="G313" s="25">
        <f t="shared" si="139"/>
        <v>82</v>
      </c>
      <c r="H313" s="23">
        <f t="shared" si="140"/>
        <v>0.88560000000000005</v>
      </c>
    </row>
    <row r="314" spans="1:8" s="52" customFormat="1" ht="14.25" customHeight="1" x14ac:dyDescent="0.2">
      <c r="A314" s="48">
        <v>285</v>
      </c>
      <c r="B314" s="48">
        <v>154</v>
      </c>
      <c r="C314" s="48">
        <v>87</v>
      </c>
      <c r="D314" s="23">
        <f t="shared" si="137"/>
        <v>1.3398000000000001</v>
      </c>
      <c r="E314" s="24"/>
      <c r="F314" s="25">
        <f t="shared" si="138"/>
        <v>149</v>
      </c>
      <c r="G314" s="25">
        <f t="shared" si="139"/>
        <v>82</v>
      </c>
      <c r="H314" s="23">
        <f t="shared" si="140"/>
        <v>1.2218</v>
      </c>
    </row>
    <row r="315" spans="1:8" s="52" customFormat="1" ht="14.25" customHeight="1" x14ac:dyDescent="0.2">
      <c r="A315" s="48">
        <v>286</v>
      </c>
      <c r="B315" s="48">
        <v>151</v>
      </c>
      <c r="C315" s="48">
        <v>87</v>
      </c>
      <c r="D315" s="23">
        <f t="shared" si="137"/>
        <v>1.3137000000000001</v>
      </c>
      <c r="E315" s="24"/>
      <c r="F315" s="25">
        <f t="shared" si="138"/>
        <v>146</v>
      </c>
      <c r="G315" s="25">
        <f t="shared" si="139"/>
        <v>82</v>
      </c>
      <c r="H315" s="23">
        <f t="shared" si="140"/>
        <v>1.1972</v>
      </c>
    </row>
    <row r="316" spans="1:8" s="52" customFormat="1" ht="14.25" customHeight="1" x14ac:dyDescent="0.2">
      <c r="A316" s="48">
        <v>287</v>
      </c>
      <c r="B316" s="48">
        <v>128</v>
      </c>
      <c r="C316" s="48">
        <v>87</v>
      </c>
      <c r="D316" s="23">
        <f t="shared" si="137"/>
        <v>1.1135999999999999</v>
      </c>
      <c r="E316" s="24"/>
      <c r="F316" s="25">
        <f t="shared" si="138"/>
        <v>123</v>
      </c>
      <c r="G316" s="25">
        <f t="shared" si="139"/>
        <v>82</v>
      </c>
      <c r="H316" s="23">
        <f t="shared" si="140"/>
        <v>1.0085999999999999</v>
      </c>
    </row>
    <row r="317" spans="1:8" s="52" customFormat="1" ht="14.25" customHeight="1" x14ac:dyDescent="0.2">
      <c r="A317" s="48">
        <v>288</v>
      </c>
      <c r="B317" s="48">
        <v>130</v>
      </c>
      <c r="C317" s="48">
        <v>84</v>
      </c>
      <c r="D317" s="23">
        <f t="shared" si="137"/>
        <v>1.0920000000000001</v>
      </c>
      <c r="E317" s="24"/>
      <c r="F317" s="25">
        <f t="shared" si="138"/>
        <v>125</v>
      </c>
      <c r="G317" s="25">
        <f t="shared" si="139"/>
        <v>79</v>
      </c>
      <c r="H317" s="23">
        <f t="shared" si="140"/>
        <v>0.98750000000000004</v>
      </c>
    </row>
    <row r="318" spans="1:8" s="52" customFormat="1" ht="14.25" customHeight="1" x14ac:dyDescent="0.2">
      <c r="A318" s="48">
        <v>289</v>
      </c>
      <c r="B318" s="48">
        <v>123</v>
      </c>
      <c r="C318" s="48">
        <v>87</v>
      </c>
      <c r="D318" s="23">
        <f t="shared" si="137"/>
        <v>1.0701000000000001</v>
      </c>
      <c r="E318" s="24"/>
      <c r="F318" s="25">
        <f t="shared" si="138"/>
        <v>118</v>
      </c>
      <c r="G318" s="25">
        <f t="shared" si="139"/>
        <v>82</v>
      </c>
      <c r="H318" s="23">
        <f t="shared" si="140"/>
        <v>0.96760000000000002</v>
      </c>
    </row>
    <row r="319" spans="1:8" s="52" customFormat="1" ht="14.25" customHeight="1" x14ac:dyDescent="0.2">
      <c r="A319" s="48">
        <v>290</v>
      </c>
      <c r="B319" s="48">
        <v>125</v>
      </c>
      <c r="C319" s="48">
        <v>87</v>
      </c>
      <c r="D319" s="23">
        <f t="shared" si="137"/>
        <v>1.0874999999999999</v>
      </c>
      <c r="E319" s="24"/>
      <c r="F319" s="25">
        <f t="shared" si="138"/>
        <v>120</v>
      </c>
      <c r="G319" s="25">
        <f t="shared" si="139"/>
        <v>82</v>
      </c>
      <c r="H319" s="23">
        <f t="shared" si="140"/>
        <v>0.98399999999999999</v>
      </c>
    </row>
    <row r="320" spans="1:8" s="52" customFormat="1" ht="14.25" customHeight="1" x14ac:dyDescent="0.2">
      <c r="A320" s="48">
        <v>291</v>
      </c>
      <c r="B320" s="48">
        <v>126</v>
      </c>
      <c r="C320" s="48">
        <v>85</v>
      </c>
      <c r="D320" s="23">
        <f t="shared" si="137"/>
        <v>1.071</v>
      </c>
      <c r="E320" s="24"/>
      <c r="F320" s="25">
        <f t="shared" si="138"/>
        <v>121</v>
      </c>
      <c r="G320" s="25">
        <f t="shared" si="139"/>
        <v>80</v>
      </c>
      <c r="H320" s="23">
        <f t="shared" si="140"/>
        <v>0.96799999999999997</v>
      </c>
    </row>
    <row r="321" spans="1:8" s="52" customFormat="1" ht="14.25" customHeight="1" x14ac:dyDescent="0.2">
      <c r="A321" s="48">
        <v>292</v>
      </c>
      <c r="B321" s="48">
        <v>163</v>
      </c>
      <c r="C321" s="48">
        <v>95</v>
      </c>
      <c r="D321" s="23">
        <f t="shared" si="137"/>
        <v>1.5485</v>
      </c>
      <c r="E321" s="24"/>
      <c r="F321" s="25">
        <f t="shared" si="138"/>
        <v>158</v>
      </c>
      <c r="G321" s="25">
        <f t="shared" si="139"/>
        <v>90</v>
      </c>
      <c r="H321" s="23">
        <f t="shared" si="140"/>
        <v>1.4219999999999999</v>
      </c>
    </row>
    <row r="322" spans="1:8" s="52" customFormat="1" ht="14.25" customHeight="1" x14ac:dyDescent="0.2">
      <c r="A322" s="48">
        <v>293</v>
      </c>
      <c r="B322" s="48">
        <v>158</v>
      </c>
      <c r="C322" s="48">
        <v>87</v>
      </c>
      <c r="D322" s="23">
        <f t="shared" si="137"/>
        <v>1.3746</v>
      </c>
      <c r="E322" s="24"/>
      <c r="F322" s="25">
        <f t="shared" si="138"/>
        <v>153</v>
      </c>
      <c r="G322" s="25">
        <f t="shared" si="139"/>
        <v>82</v>
      </c>
      <c r="H322" s="23">
        <f t="shared" si="140"/>
        <v>1.2545999999999999</v>
      </c>
    </row>
    <row r="323" spans="1:8" s="52" customFormat="1" ht="14.25" customHeight="1" x14ac:dyDescent="0.2">
      <c r="A323" s="48">
        <v>294</v>
      </c>
      <c r="B323" s="48">
        <v>145</v>
      </c>
      <c r="C323" s="48">
        <v>87</v>
      </c>
      <c r="D323" s="23">
        <f t="shared" si="137"/>
        <v>1.2615000000000001</v>
      </c>
      <c r="E323" s="24"/>
      <c r="F323" s="25">
        <f t="shared" si="138"/>
        <v>140</v>
      </c>
      <c r="G323" s="25">
        <f t="shared" si="139"/>
        <v>82</v>
      </c>
      <c r="H323" s="23">
        <f t="shared" si="140"/>
        <v>1.1479999999999999</v>
      </c>
    </row>
    <row r="324" spans="1:8" s="52" customFormat="1" ht="14.25" customHeight="1" x14ac:dyDescent="0.2">
      <c r="A324" s="48">
        <v>295</v>
      </c>
      <c r="B324" s="48">
        <v>148</v>
      </c>
      <c r="C324" s="48">
        <v>87</v>
      </c>
      <c r="D324" s="23">
        <f t="shared" si="137"/>
        <v>1.2876000000000001</v>
      </c>
      <c r="E324" s="24"/>
      <c r="F324" s="25">
        <f t="shared" si="138"/>
        <v>143</v>
      </c>
      <c r="G324" s="25">
        <f t="shared" si="139"/>
        <v>82</v>
      </c>
      <c r="H324" s="23">
        <f t="shared" si="140"/>
        <v>1.1726000000000001</v>
      </c>
    </row>
    <row r="325" spans="1:8" s="52" customFormat="1" ht="14.25" customHeight="1" x14ac:dyDescent="0.2">
      <c r="A325" s="48">
        <v>296</v>
      </c>
      <c r="B325" s="48">
        <v>148</v>
      </c>
      <c r="C325" s="48">
        <v>87</v>
      </c>
      <c r="D325" s="23">
        <f t="shared" si="137"/>
        <v>1.2876000000000001</v>
      </c>
      <c r="E325" s="24"/>
      <c r="F325" s="25">
        <f t="shared" si="138"/>
        <v>143</v>
      </c>
      <c r="G325" s="25">
        <f t="shared" si="139"/>
        <v>82</v>
      </c>
      <c r="H325" s="23">
        <f t="shared" si="140"/>
        <v>1.1726000000000001</v>
      </c>
    </row>
    <row r="326" spans="1:8" s="52" customFormat="1" ht="14.25" customHeight="1" x14ac:dyDescent="0.2">
      <c r="A326" s="48">
        <v>297</v>
      </c>
      <c r="B326" s="48">
        <v>121</v>
      </c>
      <c r="C326" s="48">
        <v>87</v>
      </c>
      <c r="D326" s="23">
        <f t="shared" si="137"/>
        <v>1.0527</v>
      </c>
      <c r="E326" s="24"/>
      <c r="F326" s="25">
        <f t="shared" si="138"/>
        <v>116</v>
      </c>
      <c r="G326" s="25">
        <f t="shared" si="139"/>
        <v>82</v>
      </c>
      <c r="H326" s="23">
        <f t="shared" si="140"/>
        <v>0.95120000000000005</v>
      </c>
    </row>
    <row r="327" spans="1:8" s="52" customFormat="1" ht="14.25" customHeight="1" x14ac:dyDescent="0.2">
      <c r="A327" s="48">
        <v>298</v>
      </c>
      <c r="B327" s="48">
        <v>126</v>
      </c>
      <c r="C327" s="48">
        <v>87</v>
      </c>
      <c r="D327" s="23">
        <f t="shared" si="137"/>
        <v>1.0962000000000001</v>
      </c>
      <c r="E327" s="24"/>
      <c r="F327" s="25">
        <f t="shared" si="138"/>
        <v>121</v>
      </c>
      <c r="G327" s="25">
        <f t="shared" si="139"/>
        <v>82</v>
      </c>
      <c r="H327" s="23">
        <f t="shared" si="140"/>
        <v>0.99219999999999997</v>
      </c>
    </row>
    <row r="328" spans="1:8" s="52" customFormat="1" ht="14.25" customHeight="1" x14ac:dyDescent="0.2">
      <c r="A328" s="48">
        <v>299</v>
      </c>
      <c r="B328" s="48">
        <v>158</v>
      </c>
      <c r="C328" s="48">
        <v>87</v>
      </c>
      <c r="D328" s="23">
        <f t="shared" si="137"/>
        <v>1.3746</v>
      </c>
      <c r="E328" s="24"/>
      <c r="F328" s="25">
        <f t="shared" si="138"/>
        <v>153</v>
      </c>
      <c r="G328" s="25">
        <f t="shared" si="139"/>
        <v>82</v>
      </c>
      <c r="H328" s="23">
        <f t="shared" si="140"/>
        <v>1.2545999999999999</v>
      </c>
    </row>
    <row r="329" spans="1:8" s="52" customFormat="1" ht="14.25" customHeight="1" x14ac:dyDescent="0.2">
      <c r="A329" s="48">
        <v>300</v>
      </c>
      <c r="B329" s="48">
        <v>157</v>
      </c>
      <c r="C329" s="48">
        <v>87</v>
      </c>
      <c r="D329" s="23">
        <f t="shared" si="137"/>
        <v>1.3658999999999999</v>
      </c>
      <c r="E329" s="24"/>
      <c r="F329" s="25">
        <f t="shared" si="138"/>
        <v>152</v>
      </c>
      <c r="G329" s="25">
        <f t="shared" si="139"/>
        <v>82</v>
      </c>
      <c r="H329" s="23">
        <f t="shared" si="140"/>
        <v>1.2464</v>
      </c>
    </row>
    <row r="330" spans="1:8" s="52" customFormat="1" ht="14.25" customHeight="1" x14ac:dyDescent="0.2">
      <c r="A330" s="48">
        <v>301</v>
      </c>
      <c r="B330" s="48">
        <v>145</v>
      </c>
      <c r="C330" s="48">
        <v>87</v>
      </c>
      <c r="D330" s="23">
        <f t="shared" si="137"/>
        <v>1.2615000000000001</v>
      </c>
      <c r="E330" s="24"/>
      <c r="F330" s="25">
        <f t="shared" si="138"/>
        <v>140</v>
      </c>
      <c r="G330" s="25">
        <f t="shared" si="139"/>
        <v>82</v>
      </c>
      <c r="H330" s="23">
        <f t="shared" si="140"/>
        <v>1.1479999999999999</v>
      </c>
    </row>
    <row r="331" spans="1:8" s="52" customFormat="1" ht="14.25" customHeight="1" x14ac:dyDescent="0.2">
      <c r="A331" s="48">
        <v>302</v>
      </c>
      <c r="B331" s="48">
        <v>127</v>
      </c>
      <c r="C331" s="48">
        <v>87</v>
      </c>
      <c r="D331" s="23">
        <f t="shared" si="137"/>
        <v>1.1049</v>
      </c>
      <c r="E331" s="24"/>
      <c r="F331" s="25">
        <f t="shared" si="138"/>
        <v>122</v>
      </c>
      <c r="G331" s="25">
        <f t="shared" si="139"/>
        <v>82</v>
      </c>
      <c r="H331" s="23">
        <f t="shared" si="140"/>
        <v>1.0004</v>
      </c>
    </row>
    <row r="332" spans="1:8" s="52" customFormat="1" ht="14.25" customHeight="1" x14ac:dyDescent="0.2">
      <c r="A332" s="48">
        <v>303</v>
      </c>
      <c r="B332" s="48">
        <v>148</v>
      </c>
      <c r="C332" s="48">
        <v>87</v>
      </c>
      <c r="D332" s="23">
        <f t="shared" si="137"/>
        <v>1.2876000000000001</v>
      </c>
      <c r="E332" s="24"/>
      <c r="F332" s="25">
        <f t="shared" si="138"/>
        <v>143</v>
      </c>
      <c r="G332" s="25">
        <f t="shared" si="139"/>
        <v>82</v>
      </c>
      <c r="H332" s="23">
        <f t="shared" si="140"/>
        <v>1.1726000000000001</v>
      </c>
    </row>
    <row r="333" spans="1:8" s="52" customFormat="1" ht="14.25" customHeight="1" x14ac:dyDescent="0.2">
      <c r="A333" s="48">
        <v>304</v>
      </c>
      <c r="B333" s="48">
        <v>141</v>
      </c>
      <c r="C333" s="48">
        <v>87</v>
      </c>
      <c r="D333" s="23">
        <f t="shared" si="137"/>
        <v>1.2266999999999999</v>
      </c>
      <c r="E333" s="24"/>
      <c r="F333" s="25">
        <f t="shared" si="138"/>
        <v>136</v>
      </c>
      <c r="G333" s="25">
        <f t="shared" si="139"/>
        <v>82</v>
      </c>
      <c r="H333" s="23">
        <f t="shared" si="140"/>
        <v>1.1152</v>
      </c>
    </row>
    <row r="334" spans="1:8" s="52" customFormat="1" ht="14.25" customHeight="1" x14ac:dyDescent="0.2">
      <c r="A334" s="48">
        <v>305</v>
      </c>
      <c r="B334" s="48">
        <v>150</v>
      </c>
      <c r="C334" s="48">
        <v>87</v>
      </c>
      <c r="D334" s="23">
        <f t="shared" si="137"/>
        <v>1.3049999999999999</v>
      </c>
      <c r="E334" s="24"/>
      <c r="F334" s="25">
        <f t="shared" si="138"/>
        <v>145</v>
      </c>
      <c r="G334" s="25">
        <f t="shared" si="139"/>
        <v>82</v>
      </c>
      <c r="H334" s="23">
        <f t="shared" si="140"/>
        <v>1.1890000000000001</v>
      </c>
    </row>
    <row r="335" spans="1:8" s="52" customFormat="1" ht="14.25" customHeight="1" x14ac:dyDescent="0.2">
      <c r="A335" s="48">
        <v>306</v>
      </c>
      <c r="B335" s="48">
        <v>144</v>
      </c>
      <c r="C335" s="48">
        <v>87</v>
      </c>
      <c r="D335" s="23">
        <f t="shared" si="137"/>
        <v>1.2527999999999999</v>
      </c>
      <c r="E335" s="24"/>
      <c r="F335" s="25">
        <f t="shared" si="138"/>
        <v>139</v>
      </c>
      <c r="G335" s="25">
        <f t="shared" si="139"/>
        <v>82</v>
      </c>
      <c r="H335" s="23">
        <f t="shared" si="140"/>
        <v>1.1397999999999999</v>
      </c>
    </row>
    <row r="336" spans="1:8" s="52" customFormat="1" ht="14.25" customHeight="1" x14ac:dyDescent="0.2">
      <c r="A336" s="48">
        <v>307</v>
      </c>
      <c r="B336" s="48">
        <v>143</v>
      </c>
      <c r="C336" s="48">
        <v>87</v>
      </c>
      <c r="D336" s="23">
        <f t="shared" si="137"/>
        <v>1.2441</v>
      </c>
      <c r="E336" s="24"/>
      <c r="F336" s="25">
        <f t="shared" si="138"/>
        <v>138</v>
      </c>
      <c r="G336" s="25">
        <f t="shared" si="139"/>
        <v>82</v>
      </c>
      <c r="H336" s="23">
        <f t="shared" si="140"/>
        <v>1.1315999999999999</v>
      </c>
    </row>
    <row r="337" spans="1:8" s="52" customFormat="1" ht="14.25" customHeight="1" x14ac:dyDescent="0.2">
      <c r="A337" s="48">
        <v>308</v>
      </c>
      <c r="B337" s="48">
        <v>149</v>
      </c>
      <c r="C337" s="48">
        <v>87</v>
      </c>
      <c r="D337" s="23">
        <f t="shared" si="137"/>
        <v>1.2963</v>
      </c>
      <c r="E337" s="24"/>
      <c r="F337" s="25">
        <f t="shared" si="138"/>
        <v>144</v>
      </c>
      <c r="G337" s="25">
        <f t="shared" si="139"/>
        <v>82</v>
      </c>
      <c r="H337" s="23">
        <f t="shared" si="140"/>
        <v>1.1808000000000001</v>
      </c>
    </row>
    <row r="338" spans="1:8" s="52" customFormat="1" ht="14.25" customHeight="1" x14ac:dyDescent="0.2">
      <c r="A338" s="48">
        <v>309</v>
      </c>
      <c r="B338" s="48">
        <v>146</v>
      </c>
      <c r="C338" s="48">
        <v>87</v>
      </c>
      <c r="D338" s="23">
        <f t="shared" si="137"/>
        <v>1.2702</v>
      </c>
      <c r="E338" s="24"/>
      <c r="F338" s="25">
        <f t="shared" si="138"/>
        <v>141</v>
      </c>
      <c r="G338" s="25">
        <f t="shared" si="139"/>
        <v>82</v>
      </c>
      <c r="H338" s="23">
        <f t="shared" si="140"/>
        <v>1.1561999999999999</v>
      </c>
    </row>
    <row r="339" spans="1:8" s="52" customFormat="1" ht="14.25" customHeight="1" x14ac:dyDescent="0.2">
      <c r="A339" s="48">
        <v>310</v>
      </c>
      <c r="B339" s="48">
        <v>145</v>
      </c>
      <c r="C339" s="48">
        <v>87</v>
      </c>
      <c r="D339" s="23">
        <f t="shared" si="137"/>
        <v>1.2615000000000001</v>
      </c>
      <c r="E339" s="24"/>
      <c r="F339" s="25">
        <f t="shared" si="138"/>
        <v>140</v>
      </c>
      <c r="G339" s="25">
        <f t="shared" si="139"/>
        <v>82</v>
      </c>
      <c r="H339" s="23">
        <f t="shared" si="140"/>
        <v>1.1479999999999999</v>
      </c>
    </row>
    <row r="340" spans="1:8" s="52" customFormat="1" ht="14.25" customHeight="1" x14ac:dyDescent="0.2">
      <c r="A340" s="48">
        <v>311</v>
      </c>
      <c r="B340" s="48">
        <v>145</v>
      </c>
      <c r="C340" s="48">
        <v>80</v>
      </c>
      <c r="D340" s="23">
        <f t="shared" si="137"/>
        <v>1.1599999999999999</v>
      </c>
      <c r="E340" s="24"/>
      <c r="F340" s="25">
        <f t="shared" si="138"/>
        <v>140</v>
      </c>
      <c r="G340" s="25">
        <f t="shared" si="139"/>
        <v>75</v>
      </c>
      <c r="H340" s="23">
        <f t="shared" si="140"/>
        <v>1.05</v>
      </c>
    </row>
    <row r="341" spans="1:8" s="52" customFormat="1" ht="14.25" customHeight="1" x14ac:dyDescent="0.2">
      <c r="A341" s="48">
        <v>312</v>
      </c>
      <c r="B341" s="48">
        <v>148</v>
      </c>
      <c r="C341" s="48">
        <v>73</v>
      </c>
      <c r="D341" s="23">
        <f t="shared" si="137"/>
        <v>1.0804</v>
      </c>
      <c r="E341" s="24"/>
      <c r="F341" s="25">
        <f t="shared" si="138"/>
        <v>143</v>
      </c>
      <c r="G341" s="25">
        <f t="shared" si="139"/>
        <v>68</v>
      </c>
      <c r="H341" s="23">
        <f t="shared" si="140"/>
        <v>0.97240000000000004</v>
      </c>
    </row>
    <row r="342" spans="1:8" s="52" customFormat="1" ht="14.25" customHeight="1" x14ac:dyDescent="0.2">
      <c r="A342" s="48">
        <v>313</v>
      </c>
      <c r="B342" s="48">
        <v>146</v>
      </c>
      <c r="C342" s="48">
        <v>81</v>
      </c>
      <c r="D342" s="23">
        <f t="shared" si="137"/>
        <v>1.1826000000000001</v>
      </c>
      <c r="E342" s="24"/>
      <c r="F342" s="25">
        <f t="shared" si="138"/>
        <v>141</v>
      </c>
      <c r="G342" s="25">
        <f t="shared" si="139"/>
        <v>76</v>
      </c>
      <c r="H342" s="23">
        <f t="shared" si="140"/>
        <v>1.0716000000000001</v>
      </c>
    </row>
    <row r="343" spans="1:8" s="52" customFormat="1" ht="14.25" customHeight="1" x14ac:dyDescent="0.2">
      <c r="A343" s="48">
        <v>314</v>
      </c>
      <c r="B343" s="48">
        <v>149</v>
      </c>
      <c r="C343" s="48">
        <v>60</v>
      </c>
      <c r="D343" s="23">
        <f t="shared" si="137"/>
        <v>0.89400000000000002</v>
      </c>
      <c r="E343" s="24"/>
      <c r="F343" s="25">
        <f t="shared" si="138"/>
        <v>144</v>
      </c>
      <c r="G343" s="25">
        <f t="shared" si="139"/>
        <v>55</v>
      </c>
      <c r="H343" s="23">
        <f t="shared" si="140"/>
        <v>0.79200000000000004</v>
      </c>
    </row>
    <row r="344" spans="1:8" s="52" customFormat="1" ht="14.25" customHeight="1" x14ac:dyDescent="0.2">
      <c r="A344" s="48">
        <v>315</v>
      </c>
      <c r="B344" s="48">
        <v>148</v>
      </c>
      <c r="C344" s="48">
        <v>83</v>
      </c>
      <c r="D344" s="23">
        <f t="shared" si="137"/>
        <v>1.2283999999999999</v>
      </c>
      <c r="E344" s="24"/>
      <c r="F344" s="25">
        <f t="shared" si="138"/>
        <v>143</v>
      </c>
      <c r="G344" s="25">
        <f t="shared" si="139"/>
        <v>78</v>
      </c>
      <c r="H344" s="23">
        <f t="shared" si="140"/>
        <v>1.1153999999999999</v>
      </c>
    </row>
    <row r="345" spans="1:8" s="52" customFormat="1" ht="14.25" customHeight="1" x14ac:dyDescent="0.2">
      <c r="A345" s="48">
        <v>316</v>
      </c>
      <c r="B345" s="48">
        <v>148</v>
      </c>
      <c r="C345" s="48">
        <v>82</v>
      </c>
      <c r="D345" s="23">
        <f t="shared" si="137"/>
        <v>1.2136</v>
      </c>
      <c r="E345" s="24"/>
      <c r="F345" s="25">
        <f t="shared" si="138"/>
        <v>143</v>
      </c>
      <c r="G345" s="25">
        <f t="shared" si="139"/>
        <v>77</v>
      </c>
      <c r="H345" s="23">
        <f t="shared" si="140"/>
        <v>1.1011</v>
      </c>
    </row>
    <row r="346" spans="1:8" s="52" customFormat="1" ht="14.25" customHeight="1" x14ac:dyDescent="0.2">
      <c r="A346" s="48">
        <v>317</v>
      </c>
      <c r="B346" s="48">
        <v>144</v>
      </c>
      <c r="C346" s="48">
        <v>82</v>
      </c>
      <c r="D346" s="23">
        <f t="shared" si="137"/>
        <v>1.1808000000000001</v>
      </c>
      <c r="E346" s="24"/>
      <c r="F346" s="25">
        <f t="shared" si="138"/>
        <v>139</v>
      </c>
      <c r="G346" s="25">
        <f t="shared" si="139"/>
        <v>77</v>
      </c>
      <c r="H346" s="23">
        <f t="shared" si="140"/>
        <v>1.0703</v>
      </c>
    </row>
    <row r="347" spans="1:8" s="52" customFormat="1" ht="14.25" customHeight="1" x14ac:dyDescent="0.2">
      <c r="A347" s="48">
        <v>318</v>
      </c>
      <c r="B347" s="48">
        <v>145</v>
      </c>
      <c r="C347" s="48">
        <v>82</v>
      </c>
      <c r="D347" s="23">
        <f t="shared" si="137"/>
        <v>1.1890000000000001</v>
      </c>
      <c r="E347" s="24"/>
      <c r="F347" s="25">
        <f t="shared" si="138"/>
        <v>140</v>
      </c>
      <c r="G347" s="25">
        <f t="shared" si="139"/>
        <v>77</v>
      </c>
      <c r="H347" s="23">
        <f t="shared" si="140"/>
        <v>1.0780000000000001</v>
      </c>
    </row>
    <row r="348" spans="1:8" s="52" customFormat="1" ht="14.25" customHeight="1" x14ac:dyDescent="0.2">
      <c r="A348" s="48">
        <v>319</v>
      </c>
      <c r="B348" s="48">
        <v>144</v>
      </c>
      <c r="C348" s="48">
        <v>82</v>
      </c>
      <c r="D348" s="23">
        <f t="shared" si="137"/>
        <v>1.1808000000000001</v>
      </c>
      <c r="E348" s="24"/>
      <c r="F348" s="25">
        <f t="shared" si="138"/>
        <v>139</v>
      </c>
      <c r="G348" s="25">
        <f t="shared" si="139"/>
        <v>77</v>
      </c>
      <c r="H348" s="23">
        <f t="shared" si="140"/>
        <v>1.0703</v>
      </c>
    </row>
    <row r="349" spans="1:8" s="52" customFormat="1" ht="14.25" customHeight="1" x14ac:dyDescent="0.2">
      <c r="A349" s="48">
        <v>320</v>
      </c>
      <c r="B349" s="48">
        <v>145</v>
      </c>
      <c r="C349" s="48">
        <v>74</v>
      </c>
      <c r="D349" s="23">
        <f t="shared" si="137"/>
        <v>1.073</v>
      </c>
      <c r="E349" s="24"/>
      <c r="F349" s="25">
        <f t="shared" si="138"/>
        <v>140</v>
      </c>
      <c r="G349" s="25">
        <f t="shared" si="139"/>
        <v>69</v>
      </c>
      <c r="H349" s="23">
        <f t="shared" si="140"/>
        <v>0.96599999999999997</v>
      </c>
    </row>
    <row r="350" spans="1:8" s="52" customFormat="1" ht="14.25" customHeight="1" x14ac:dyDescent="0.2">
      <c r="A350" s="48">
        <v>321</v>
      </c>
      <c r="B350" s="48">
        <v>154</v>
      </c>
      <c r="C350" s="48">
        <v>68</v>
      </c>
      <c r="D350" s="23">
        <f t="shared" si="137"/>
        <v>1.0471999999999999</v>
      </c>
      <c r="E350" s="24"/>
      <c r="F350" s="25">
        <f t="shared" si="138"/>
        <v>149</v>
      </c>
      <c r="G350" s="25">
        <f t="shared" si="139"/>
        <v>63</v>
      </c>
      <c r="H350" s="23">
        <f t="shared" si="140"/>
        <v>0.93869999999999998</v>
      </c>
    </row>
    <row r="351" spans="1:8" s="52" customFormat="1" ht="14.25" customHeight="1" x14ac:dyDescent="0.2">
      <c r="A351" s="48">
        <v>322</v>
      </c>
      <c r="B351" s="48">
        <v>121</v>
      </c>
      <c r="C351" s="48">
        <v>61</v>
      </c>
      <c r="D351" s="23">
        <f t="shared" si="137"/>
        <v>0.73809999999999998</v>
      </c>
      <c r="E351" s="24"/>
      <c r="F351" s="25">
        <f t="shared" si="138"/>
        <v>116</v>
      </c>
      <c r="G351" s="25">
        <f t="shared" si="139"/>
        <v>56</v>
      </c>
      <c r="H351" s="23">
        <f t="shared" si="140"/>
        <v>0.64959999999999996</v>
      </c>
    </row>
    <row r="352" spans="1:8" s="52" customFormat="1" ht="14.25" customHeight="1" x14ac:dyDescent="0.2">
      <c r="A352" s="48">
        <v>323</v>
      </c>
      <c r="B352" s="48">
        <v>138</v>
      </c>
      <c r="C352" s="48">
        <v>68</v>
      </c>
      <c r="D352" s="23">
        <f t="shared" si="137"/>
        <v>0.93840000000000001</v>
      </c>
      <c r="E352" s="24"/>
      <c r="F352" s="25">
        <f t="shared" si="138"/>
        <v>133</v>
      </c>
      <c r="G352" s="25">
        <f t="shared" si="139"/>
        <v>63</v>
      </c>
      <c r="H352" s="23">
        <f t="shared" si="140"/>
        <v>0.83789999999999998</v>
      </c>
    </row>
    <row r="353" spans="1:8" s="52" customFormat="1" ht="14.25" customHeight="1" x14ac:dyDescent="0.2">
      <c r="A353" s="48">
        <v>324</v>
      </c>
      <c r="B353" s="48">
        <v>169</v>
      </c>
      <c r="C353" s="48">
        <v>65</v>
      </c>
      <c r="D353" s="23">
        <f t="shared" si="137"/>
        <v>1.0985</v>
      </c>
      <c r="E353" s="24"/>
      <c r="F353" s="25">
        <f t="shared" si="138"/>
        <v>164</v>
      </c>
      <c r="G353" s="25">
        <f t="shared" si="139"/>
        <v>60</v>
      </c>
      <c r="H353" s="23">
        <f t="shared" si="140"/>
        <v>0.98399999999999999</v>
      </c>
    </row>
    <row r="354" spans="1:8" s="52" customFormat="1" ht="14.25" customHeight="1" x14ac:dyDescent="0.2">
      <c r="A354" s="48">
        <v>325</v>
      </c>
      <c r="B354" s="48">
        <v>174</v>
      </c>
      <c r="C354" s="48">
        <v>65</v>
      </c>
      <c r="D354" s="23">
        <f t="shared" si="137"/>
        <v>1.131</v>
      </c>
      <c r="E354" s="24"/>
      <c r="F354" s="25">
        <f t="shared" si="138"/>
        <v>169</v>
      </c>
      <c r="G354" s="25">
        <f t="shared" si="139"/>
        <v>60</v>
      </c>
      <c r="H354" s="23">
        <f t="shared" si="140"/>
        <v>1.014</v>
      </c>
    </row>
    <row r="355" spans="1:8" s="52" customFormat="1" ht="14.25" customHeight="1" x14ac:dyDescent="0.2">
      <c r="A355" s="48">
        <v>326</v>
      </c>
      <c r="B355" s="48">
        <v>158</v>
      </c>
      <c r="C355" s="48">
        <v>65</v>
      </c>
      <c r="D355" s="23">
        <f t="shared" si="137"/>
        <v>1.0269999999999999</v>
      </c>
      <c r="E355" s="24"/>
      <c r="F355" s="25">
        <f t="shared" si="138"/>
        <v>153</v>
      </c>
      <c r="G355" s="25">
        <f t="shared" si="139"/>
        <v>60</v>
      </c>
      <c r="H355" s="23">
        <f t="shared" si="140"/>
        <v>0.91800000000000004</v>
      </c>
    </row>
    <row r="356" spans="1:8" s="52" customFormat="1" ht="14.25" customHeight="1" x14ac:dyDescent="0.2">
      <c r="A356" s="48">
        <v>327</v>
      </c>
      <c r="B356" s="48">
        <v>154</v>
      </c>
      <c r="C356" s="48">
        <v>64</v>
      </c>
      <c r="D356" s="23">
        <f t="shared" si="137"/>
        <v>0.98560000000000003</v>
      </c>
      <c r="E356" s="24"/>
      <c r="F356" s="25">
        <f t="shared" si="138"/>
        <v>149</v>
      </c>
      <c r="G356" s="25">
        <f t="shared" si="139"/>
        <v>59</v>
      </c>
      <c r="H356" s="23">
        <f t="shared" si="140"/>
        <v>0.87909999999999999</v>
      </c>
    </row>
    <row r="357" spans="1:8" s="52" customFormat="1" ht="14.25" customHeight="1" x14ac:dyDescent="0.2">
      <c r="A357" s="48">
        <v>328</v>
      </c>
      <c r="B357" s="48">
        <v>154</v>
      </c>
      <c r="C357" s="48">
        <v>66</v>
      </c>
      <c r="D357" s="23">
        <f t="shared" si="137"/>
        <v>1.0164</v>
      </c>
      <c r="E357" s="24"/>
      <c r="F357" s="25">
        <f t="shared" si="138"/>
        <v>149</v>
      </c>
      <c r="G357" s="25">
        <f t="shared" si="139"/>
        <v>61</v>
      </c>
      <c r="H357" s="23">
        <f t="shared" si="140"/>
        <v>0.90890000000000004</v>
      </c>
    </row>
    <row r="358" spans="1:8" s="52" customFormat="1" ht="14.25" customHeight="1" x14ac:dyDescent="0.2">
      <c r="A358" s="48">
        <v>329</v>
      </c>
      <c r="B358" s="48">
        <v>146</v>
      </c>
      <c r="C358" s="48">
        <v>60</v>
      </c>
      <c r="D358" s="23">
        <f t="shared" si="137"/>
        <v>0.876</v>
      </c>
      <c r="E358" s="24"/>
      <c r="F358" s="25">
        <f t="shared" si="138"/>
        <v>141</v>
      </c>
      <c r="G358" s="25">
        <f t="shared" si="139"/>
        <v>55</v>
      </c>
      <c r="H358" s="23">
        <f t="shared" si="140"/>
        <v>0.77549999999999997</v>
      </c>
    </row>
    <row r="359" spans="1:8" s="52" customFormat="1" ht="14.25" customHeight="1" x14ac:dyDescent="0.2">
      <c r="A359" s="48">
        <v>330</v>
      </c>
      <c r="B359" s="48">
        <v>123</v>
      </c>
      <c r="C359" s="48">
        <v>61</v>
      </c>
      <c r="D359" s="23">
        <f t="shared" si="137"/>
        <v>0.75029999999999997</v>
      </c>
      <c r="E359" s="24"/>
      <c r="F359" s="25">
        <f t="shared" si="138"/>
        <v>118</v>
      </c>
      <c r="G359" s="25">
        <f t="shared" si="139"/>
        <v>56</v>
      </c>
      <c r="H359" s="23">
        <f t="shared" si="140"/>
        <v>0.66080000000000005</v>
      </c>
    </row>
    <row r="360" spans="1:8" s="52" customFormat="1" ht="14.25" customHeight="1" x14ac:dyDescent="0.2">
      <c r="A360" s="48">
        <v>331</v>
      </c>
      <c r="B360" s="48">
        <v>154</v>
      </c>
      <c r="C360" s="48">
        <v>67</v>
      </c>
      <c r="D360" s="23">
        <f t="shared" si="137"/>
        <v>1.0318000000000001</v>
      </c>
      <c r="E360" s="24"/>
      <c r="F360" s="25">
        <f t="shared" si="138"/>
        <v>149</v>
      </c>
      <c r="G360" s="25">
        <f t="shared" si="139"/>
        <v>62</v>
      </c>
      <c r="H360" s="23">
        <f t="shared" si="140"/>
        <v>0.92379999999999995</v>
      </c>
    </row>
    <row r="361" spans="1:8" s="52" customFormat="1" ht="14.25" customHeight="1" x14ac:dyDescent="0.2">
      <c r="A361" s="48">
        <v>332</v>
      </c>
      <c r="B361" s="48">
        <v>156</v>
      </c>
      <c r="C361" s="48">
        <v>66</v>
      </c>
      <c r="D361" s="23">
        <f t="shared" si="137"/>
        <v>1.0296000000000001</v>
      </c>
      <c r="E361" s="24"/>
      <c r="F361" s="25">
        <f t="shared" si="138"/>
        <v>151</v>
      </c>
      <c r="G361" s="25">
        <f t="shared" si="139"/>
        <v>61</v>
      </c>
      <c r="H361" s="23">
        <f t="shared" si="140"/>
        <v>0.92110000000000003</v>
      </c>
    </row>
    <row r="362" spans="1:8" s="52" customFormat="1" ht="14.25" customHeight="1" x14ac:dyDescent="0.2">
      <c r="A362" s="48">
        <v>333</v>
      </c>
      <c r="B362" s="48">
        <v>158</v>
      </c>
      <c r="C362" s="48">
        <v>67</v>
      </c>
      <c r="D362" s="23">
        <f t="shared" si="137"/>
        <v>1.0586</v>
      </c>
      <c r="E362" s="24"/>
      <c r="F362" s="25">
        <f t="shared" si="138"/>
        <v>153</v>
      </c>
      <c r="G362" s="25">
        <f t="shared" si="139"/>
        <v>62</v>
      </c>
      <c r="H362" s="23">
        <f t="shared" si="140"/>
        <v>0.9486</v>
      </c>
    </row>
    <row r="363" spans="1:8" s="52" customFormat="1" ht="14.25" customHeight="1" x14ac:dyDescent="0.2">
      <c r="A363" s="48">
        <v>334</v>
      </c>
      <c r="B363" s="48">
        <v>148</v>
      </c>
      <c r="C363" s="48">
        <v>66</v>
      </c>
      <c r="D363" s="23">
        <f t="shared" si="137"/>
        <v>0.9768</v>
      </c>
      <c r="E363" s="24"/>
      <c r="F363" s="25">
        <f t="shared" si="138"/>
        <v>143</v>
      </c>
      <c r="G363" s="25">
        <f t="shared" si="139"/>
        <v>61</v>
      </c>
      <c r="H363" s="23">
        <f t="shared" si="140"/>
        <v>0.87229999999999996</v>
      </c>
    </row>
    <row r="364" spans="1:8" s="52" customFormat="1" ht="14.25" customHeight="1" x14ac:dyDescent="0.2">
      <c r="A364" s="54">
        <v>335</v>
      </c>
      <c r="B364" s="54">
        <v>140</v>
      </c>
      <c r="C364" s="54">
        <v>67</v>
      </c>
      <c r="D364" s="55">
        <f t="shared" si="137"/>
        <v>0.93799999999999994</v>
      </c>
      <c r="E364" s="24"/>
      <c r="F364" s="57">
        <f t="shared" si="138"/>
        <v>135</v>
      </c>
      <c r="G364" s="57">
        <f t="shared" si="139"/>
        <v>62</v>
      </c>
      <c r="H364" s="55">
        <f t="shared" si="140"/>
        <v>0.83699999999999997</v>
      </c>
    </row>
    <row r="365" spans="1:8" s="52" customFormat="1" ht="14.25" customHeight="1" x14ac:dyDescent="0.2">
      <c r="A365" s="64" t="s">
        <v>25</v>
      </c>
      <c r="B365" s="64"/>
      <c r="C365" s="64"/>
      <c r="D365" s="56">
        <f>SUM(D150:D364)</f>
        <v>233.09110000000004</v>
      </c>
      <c r="E365" s="24"/>
      <c r="F365" s="65" t="s">
        <v>26</v>
      </c>
      <c r="G365" s="65"/>
      <c r="H365" s="56">
        <f>SUM(H150:H364)</f>
        <v>210.69109999999989</v>
      </c>
    </row>
    <row r="366" spans="1:8" s="52" customFormat="1" ht="14.25" customHeight="1" x14ac:dyDescent="0.2">
      <c r="A366" s="51"/>
      <c r="B366" s="51"/>
      <c r="C366" s="51"/>
      <c r="D366" s="53"/>
      <c r="E366" s="24"/>
      <c r="F366" s="50"/>
      <c r="G366" s="50"/>
      <c r="H366" s="53"/>
    </row>
    <row r="367" spans="1:8" s="52" customFormat="1" ht="14.25" customHeight="1" x14ac:dyDescent="0.2">
      <c r="A367" s="51"/>
      <c r="B367" s="51"/>
      <c r="C367" s="51"/>
      <c r="D367" s="53"/>
      <c r="E367" s="24"/>
      <c r="F367" s="50"/>
      <c r="G367" s="50"/>
      <c r="H367" s="53"/>
    </row>
    <row r="368" spans="1:8" s="52" customFormat="1" ht="14.25" customHeight="1" x14ac:dyDescent="0.2">
      <c r="A368" s="51"/>
      <c r="B368" s="51"/>
      <c r="C368" s="51"/>
      <c r="D368" s="51"/>
      <c r="E368" s="51"/>
      <c r="F368" s="51"/>
      <c r="G368" s="51"/>
      <c r="H368" s="51"/>
    </row>
    <row r="369" spans="1:10" s="52" customFormat="1" ht="14.25" customHeight="1" x14ac:dyDescent="0.2">
      <c r="A369" s="51"/>
      <c r="B369" s="51"/>
      <c r="C369" s="51"/>
      <c r="D369" s="51"/>
      <c r="E369" s="51"/>
      <c r="F369" s="51"/>
      <c r="G369" s="51"/>
      <c r="H369" s="51"/>
    </row>
    <row r="370" spans="1:10" ht="13.5" customHeight="1" x14ac:dyDescent="0.2">
      <c r="A370" s="38"/>
      <c r="B370" s="38"/>
      <c r="C370" s="38"/>
      <c r="D370" s="38"/>
      <c r="E370" s="38"/>
      <c r="F370" s="38"/>
      <c r="G370" s="38"/>
      <c r="H370" s="38"/>
      <c r="J370" s="42"/>
    </row>
    <row r="371" spans="1:10" ht="14.25" hidden="1" customHeight="1" x14ac:dyDescent="0.2">
      <c r="A371" s="38"/>
      <c r="B371" s="38"/>
      <c r="C371" s="49"/>
      <c r="D371" s="49"/>
      <c r="E371" s="49"/>
      <c r="F371" s="49"/>
      <c r="G371" s="38"/>
      <c r="H371" s="38"/>
      <c r="J371" s="42"/>
    </row>
    <row r="372" spans="1:10" ht="14.25" hidden="1" customHeight="1" x14ac:dyDescent="0.2">
      <c r="A372" s="38"/>
      <c r="B372" s="38"/>
      <c r="C372" s="49"/>
      <c r="D372" s="49"/>
      <c r="E372" s="49"/>
      <c r="F372" s="49"/>
      <c r="G372" s="38"/>
      <c r="H372" s="38"/>
      <c r="I372" s="40"/>
      <c r="J372" s="42"/>
    </row>
    <row r="373" spans="1:10" ht="14.25" hidden="1" customHeight="1" x14ac:dyDescent="0.2">
      <c r="A373" s="38"/>
      <c r="B373" s="38"/>
      <c r="C373" s="49"/>
      <c r="D373" s="49"/>
      <c r="E373" s="49"/>
      <c r="F373" s="49"/>
      <c r="G373" s="38"/>
      <c r="H373" s="38"/>
      <c r="I373" s="40"/>
      <c r="J373" s="42"/>
    </row>
    <row r="374" spans="1:10" ht="14.25" hidden="1" customHeight="1" x14ac:dyDescent="0.2">
      <c r="A374" s="38"/>
      <c r="B374" s="38"/>
      <c r="C374" s="49"/>
      <c r="D374" s="49"/>
      <c r="E374" s="49"/>
      <c r="F374" s="49"/>
      <c r="G374" s="38"/>
      <c r="H374" s="38"/>
      <c r="J374" s="42"/>
    </row>
    <row r="375" spans="1:10" ht="14.25" hidden="1" customHeight="1" x14ac:dyDescent="0.2">
      <c r="A375" s="38"/>
      <c r="B375" s="38"/>
      <c r="C375" s="49"/>
      <c r="D375" s="49"/>
      <c r="E375" s="49"/>
      <c r="F375" s="49"/>
      <c r="G375" s="38"/>
      <c r="H375" s="38"/>
      <c r="J375" s="42"/>
    </row>
    <row r="376" spans="1:10" ht="14.25" hidden="1" customHeight="1" x14ac:dyDescent="0.2">
      <c r="A376" s="38"/>
      <c r="B376" s="38"/>
      <c r="C376" s="49"/>
      <c r="D376" s="49"/>
      <c r="E376" s="49"/>
      <c r="F376" s="49"/>
      <c r="G376" s="38"/>
      <c r="H376" s="38"/>
    </row>
    <row r="377" spans="1:10" s="41" customFormat="1" ht="14.25" hidden="1" customHeight="1" x14ac:dyDescent="0.2">
      <c r="A377" s="38"/>
      <c r="B377" s="38"/>
      <c r="C377" s="49"/>
      <c r="D377" s="49"/>
      <c r="E377" s="49"/>
      <c r="F377" s="49"/>
      <c r="G377" s="38"/>
      <c r="H377" s="38"/>
    </row>
    <row r="378" spans="1:10" s="41" customFormat="1" ht="14.25" hidden="1" customHeight="1" x14ac:dyDescent="0.2">
      <c r="A378" s="38"/>
      <c r="B378" s="38"/>
      <c r="C378" s="38"/>
      <c r="D378" s="38"/>
      <c r="E378" s="38"/>
      <c r="F378" s="38"/>
      <c r="G378" s="38"/>
      <c r="H378" s="38"/>
    </row>
    <row r="379" spans="1:10" s="41" customFormat="1" ht="14.25" hidden="1" customHeight="1" x14ac:dyDescent="0.2">
      <c r="A379" s="38"/>
      <c r="B379" s="38"/>
      <c r="C379" s="38"/>
      <c r="D379" s="38"/>
      <c r="E379" s="38"/>
      <c r="F379" s="38"/>
      <c r="G379" s="38"/>
      <c r="H379" s="38"/>
    </row>
    <row r="380" spans="1:10" s="41" customFormat="1" ht="14.25" hidden="1" customHeight="1" x14ac:dyDescent="0.2">
      <c r="A380" s="38"/>
      <c r="B380" s="38"/>
      <c r="C380" s="38"/>
      <c r="D380" s="38"/>
      <c r="E380" s="38"/>
      <c r="F380" s="38"/>
      <c r="G380" s="38"/>
      <c r="H380" s="38"/>
    </row>
    <row r="381" spans="1:10" s="41" customFormat="1" ht="6.75" hidden="1" customHeight="1" x14ac:dyDescent="0.2">
      <c r="A381" s="38"/>
      <c r="B381" s="38"/>
      <c r="C381" s="38"/>
      <c r="D381" s="38"/>
      <c r="E381" s="38"/>
      <c r="F381" s="38"/>
      <c r="G381" s="38"/>
      <c r="H381" s="38"/>
    </row>
    <row r="382" spans="1:10" s="41" customFormat="1" ht="14.25" hidden="1" customHeight="1" x14ac:dyDescent="0.2">
      <c r="A382" s="38"/>
      <c r="B382" s="38"/>
      <c r="C382" s="38"/>
      <c r="D382" s="38"/>
      <c r="E382" s="38"/>
      <c r="F382" s="38"/>
      <c r="G382" s="38"/>
      <c r="H382" s="38"/>
    </row>
    <row r="383" spans="1:10" s="41" customFormat="1" ht="14.25" hidden="1" customHeight="1" x14ac:dyDescent="0.2">
      <c r="A383" s="38"/>
      <c r="B383" s="38"/>
      <c r="C383" s="38"/>
      <c r="D383" s="38"/>
      <c r="E383" s="38"/>
      <c r="F383" s="38"/>
      <c r="G383" s="38"/>
      <c r="H383" s="38"/>
    </row>
    <row r="384" spans="1:10" s="41" customFormat="1" ht="14.25" hidden="1" customHeight="1" x14ac:dyDescent="0.2">
      <c r="A384" s="38"/>
      <c r="B384" s="38"/>
      <c r="C384" s="38"/>
      <c r="D384" s="38"/>
      <c r="E384" s="38"/>
      <c r="F384" s="38"/>
      <c r="G384" s="38"/>
      <c r="H384" s="38"/>
    </row>
    <row r="385" spans="1:9" s="41" customFormat="1" ht="14.25" hidden="1" customHeight="1" x14ac:dyDescent="0.2">
      <c r="A385" s="38"/>
      <c r="B385" s="38"/>
      <c r="C385" s="38"/>
      <c r="D385" s="38"/>
      <c r="E385" s="38"/>
      <c r="F385" s="38"/>
      <c r="G385" s="38"/>
      <c r="H385" s="38"/>
    </row>
    <row r="386" spans="1:9" s="41" customFormat="1" ht="14.25" hidden="1" customHeight="1" x14ac:dyDescent="0.2">
      <c r="A386" s="38"/>
      <c r="B386" s="38"/>
      <c r="C386" s="38"/>
      <c r="D386" s="38"/>
      <c r="E386" s="38"/>
      <c r="F386" s="38"/>
      <c r="G386" s="38"/>
      <c r="H386" s="38"/>
    </row>
    <row r="387" spans="1:9" s="41" customFormat="1" ht="14.25" hidden="1" customHeight="1" x14ac:dyDescent="0.2">
      <c r="A387" s="38"/>
      <c r="B387" s="38"/>
      <c r="C387" s="38"/>
      <c r="D387" s="38"/>
      <c r="E387" s="38"/>
      <c r="F387" s="38"/>
      <c r="G387" s="38"/>
      <c r="H387" s="38"/>
    </row>
    <row r="388" spans="1:9" s="41" customFormat="1" ht="14.25" hidden="1" customHeight="1" x14ac:dyDescent="0.2">
      <c r="A388" s="38"/>
      <c r="B388" s="38"/>
      <c r="C388" s="38"/>
      <c r="D388" s="38"/>
      <c r="E388" s="38"/>
      <c r="F388" s="38"/>
      <c r="G388" s="38"/>
      <c r="H388" s="38"/>
    </row>
    <row r="389" spans="1:9" s="41" customFormat="1" ht="14.25" hidden="1" customHeight="1" x14ac:dyDescent="0.2">
      <c r="A389" s="38"/>
      <c r="B389" s="38"/>
      <c r="C389" s="38"/>
      <c r="D389" s="38"/>
      <c r="E389" s="38"/>
      <c r="F389" s="38"/>
      <c r="G389" s="38"/>
      <c r="H389" s="38"/>
      <c r="I389" s="40"/>
    </row>
    <row r="390" spans="1:9" s="41" customFormat="1" ht="14.25" hidden="1" customHeight="1" x14ac:dyDescent="0.2">
      <c r="A390" s="38"/>
      <c r="B390" s="38"/>
      <c r="C390" s="38"/>
      <c r="D390" s="38"/>
      <c r="E390" s="38"/>
      <c r="F390" s="38"/>
      <c r="G390" s="38"/>
      <c r="H390" s="38"/>
      <c r="I390" s="40"/>
    </row>
    <row r="391" spans="1:9" s="41" customFormat="1" ht="14.25" hidden="1" customHeight="1" x14ac:dyDescent="0.2">
      <c r="A391" s="38"/>
      <c r="B391" s="38"/>
      <c r="C391" s="38"/>
      <c r="D391" s="38"/>
      <c r="E391" s="38"/>
      <c r="F391" s="38"/>
      <c r="G391" s="38"/>
      <c r="H391" s="38"/>
    </row>
    <row r="392" spans="1:9" s="41" customFormat="1" ht="14.25" hidden="1" customHeight="1" x14ac:dyDescent="0.2">
      <c r="A392" s="38"/>
      <c r="B392" s="38"/>
      <c r="C392" s="38"/>
      <c r="D392" s="38"/>
      <c r="E392" s="38"/>
      <c r="F392" s="38"/>
      <c r="G392" s="38"/>
      <c r="H392" s="38"/>
      <c r="I392" s="40"/>
    </row>
    <row r="393" spans="1:9" s="44" customFormat="1" ht="14.25" hidden="1" customHeight="1" x14ac:dyDescent="0.2">
      <c r="A393" s="38"/>
      <c r="B393" s="38"/>
      <c r="C393" s="38"/>
      <c r="D393" s="38"/>
      <c r="E393" s="38"/>
      <c r="F393" s="38"/>
      <c r="G393" s="38"/>
      <c r="H393" s="38"/>
      <c r="I393" s="40"/>
    </row>
    <row r="394" spans="1:9" s="44" customFormat="1" ht="14.25" hidden="1" customHeight="1" x14ac:dyDescent="0.2">
      <c r="A394" s="38"/>
      <c r="B394" s="38"/>
      <c r="C394" s="38"/>
      <c r="D394" s="38"/>
      <c r="E394" s="38"/>
      <c r="F394" s="38"/>
      <c r="G394" s="38"/>
      <c r="H394" s="38"/>
      <c r="I394" s="40"/>
    </row>
    <row r="395" spans="1:9" s="44" customFormat="1" ht="14.25" hidden="1" customHeight="1" x14ac:dyDescent="0.2">
      <c r="A395" s="38"/>
      <c r="B395" s="38"/>
      <c r="C395" s="38"/>
      <c r="D395" s="38"/>
      <c r="E395" s="38"/>
      <c r="F395" s="38"/>
      <c r="G395" s="38"/>
      <c r="H395" s="38"/>
      <c r="I395" s="40"/>
    </row>
    <row r="396" spans="1:9" s="44" customFormat="1" ht="14.25" hidden="1" customHeight="1" x14ac:dyDescent="0.2">
      <c r="A396" s="38"/>
      <c r="B396" s="38"/>
      <c r="C396" s="38"/>
      <c r="D396" s="38"/>
      <c r="E396" s="38"/>
      <c r="F396" s="38"/>
      <c r="G396" s="38"/>
      <c r="H396" s="38"/>
      <c r="I396" s="40"/>
    </row>
    <row r="397" spans="1:9" s="44" customFormat="1" ht="14.25" hidden="1" customHeight="1" x14ac:dyDescent="0.2">
      <c r="A397" s="38"/>
      <c r="B397" s="38"/>
      <c r="C397" s="38"/>
      <c r="D397" s="38"/>
      <c r="E397" s="38"/>
      <c r="F397" s="38"/>
      <c r="G397" s="38"/>
      <c r="H397" s="38"/>
      <c r="I397" s="40"/>
    </row>
    <row r="398" spans="1:9" s="44" customFormat="1" ht="14.25" hidden="1" customHeight="1" x14ac:dyDescent="0.2">
      <c r="A398" s="38"/>
      <c r="B398" s="38"/>
      <c r="C398" s="38"/>
      <c r="D398" s="38"/>
      <c r="E398" s="38"/>
      <c r="F398" s="38"/>
      <c r="G398" s="38"/>
      <c r="H398" s="38"/>
      <c r="I398" s="40"/>
    </row>
    <row r="399" spans="1:9" s="44" customFormat="1" ht="14.25" hidden="1" customHeight="1" x14ac:dyDescent="0.2">
      <c r="A399" s="38"/>
      <c r="B399" s="38"/>
      <c r="C399" s="38"/>
      <c r="D399" s="38"/>
      <c r="E399" s="38"/>
      <c r="F399" s="38"/>
      <c r="G399" s="38"/>
      <c r="H399" s="38"/>
      <c r="I399" s="40"/>
    </row>
    <row r="400" spans="1:9" s="44" customFormat="1" ht="14.25" hidden="1" customHeight="1" x14ac:dyDescent="0.2">
      <c r="A400" s="38"/>
      <c r="B400" s="38"/>
      <c r="C400" s="38"/>
      <c r="D400" s="38"/>
      <c r="E400" s="38"/>
      <c r="F400" s="38"/>
      <c r="G400" s="38"/>
      <c r="H400" s="38"/>
      <c r="I400" s="40"/>
    </row>
    <row r="401" spans="1:10" s="44" customFormat="1" ht="14.25" hidden="1" customHeight="1" x14ac:dyDescent="0.2">
      <c r="A401" s="38"/>
      <c r="B401" s="38"/>
      <c r="C401" s="38"/>
      <c r="D401" s="38"/>
      <c r="E401" s="38"/>
      <c r="F401" s="38"/>
      <c r="G401" s="38"/>
      <c r="H401" s="38"/>
      <c r="I401" s="40"/>
    </row>
    <row r="402" spans="1:10" s="44" customFormat="1" ht="14.25" hidden="1" customHeight="1" x14ac:dyDescent="0.2">
      <c r="A402" s="38"/>
      <c r="B402" s="38"/>
      <c r="C402" s="38"/>
      <c r="D402" s="38"/>
      <c r="E402" s="38"/>
      <c r="F402" s="38"/>
      <c r="G402" s="38"/>
      <c r="H402" s="38"/>
      <c r="I402" s="40"/>
    </row>
    <row r="403" spans="1:10" s="45" customFormat="1" ht="14.25" hidden="1" customHeight="1" x14ac:dyDescent="0.2">
      <c r="A403" s="38"/>
      <c r="B403" s="38"/>
      <c r="C403" s="38"/>
      <c r="D403" s="38"/>
      <c r="E403" s="38"/>
      <c r="F403" s="38"/>
      <c r="G403" s="38"/>
      <c r="H403" s="38"/>
      <c r="I403" s="40"/>
    </row>
    <row r="404" spans="1:10" s="45" customFormat="1" ht="14.25" hidden="1" customHeight="1" x14ac:dyDescent="0.2">
      <c r="A404" s="38"/>
      <c r="B404" s="38"/>
      <c r="C404" s="38"/>
      <c r="D404" s="38"/>
      <c r="E404" s="38"/>
      <c r="F404" s="38"/>
      <c r="G404" s="38"/>
      <c r="H404" s="38"/>
      <c r="I404" s="40"/>
    </row>
    <row r="405" spans="1:10" s="45" customFormat="1" ht="14.25" hidden="1" customHeight="1" x14ac:dyDescent="0.2">
      <c r="A405" s="38"/>
      <c r="B405" s="38"/>
      <c r="C405" s="38"/>
      <c r="D405" s="38"/>
      <c r="E405" s="38"/>
      <c r="F405" s="38"/>
      <c r="G405" s="38"/>
      <c r="H405" s="38"/>
      <c r="I405" s="40"/>
    </row>
    <row r="406" spans="1:10" s="45" customFormat="1" ht="14.25" hidden="1" customHeight="1" x14ac:dyDescent="0.2">
      <c r="A406" s="38"/>
      <c r="B406" s="38"/>
      <c r="C406" s="38"/>
      <c r="D406" s="38"/>
      <c r="E406" s="38"/>
      <c r="F406" s="38"/>
      <c r="G406" s="38"/>
      <c r="H406" s="38"/>
      <c r="I406" s="40"/>
    </row>
    <row r="407" spans="1:10" s="45" customFormat="1" ht="14.25" hidden="1" customHeight="1" x14ac:dyDescent="0.2">
      <c r="A407" s="38"/>
      <c r="B407" s="38"/>
      <c r="C407" s="38"/>
      <c r="D407" s="38"/>
      <c r="E407" s="38"/>
      <c r="F407" s="38"/>
      <c r="G407" s="38"/>
      <c r="H407" s="38"/>
      <c r="I407" s="40"/>
    </row>
    <row r="408" spans="1:10" ht="14.25" hidden="1" customHeight="1" x14ac:dyDescent="0.2">
      <c r="A408" s="80"/>
      <c r="B408" s="80"/>
      <c r="C408" s="80"/>
      <c r="D408" s="35"/>
      <c r="E408" s="46"/>
      <c r="F408" s="79"/>
      <c r="G408" s="79"/>
      <c r="H408" s="35"/>
    </row>
    <row r="409" spans="1:10" s="33" customFormat="1" ht="14.25" hidden="1" customHeight="1" x14ac:dyDescent="0.2">
      <c r="A409" s="38"/>
      <c r="B409" s="34"/>
      <c r="C409" s="34"/>
      <c r="D409" s="35"/>
      <c r="F409" s="36"/>
      <c r="G409" s="37"/>
      <c r="H409" s="35"/>
    </row>
    <row r="410" spans="1:10" ht="20.25" customHeight="1" x14ac:dyDescent="0.2">
      <c r="A410" s="4"/>
      <c r="B410" s="2"/>
      <c r="C410" s="29"/>
      <c r="D410" s="66" t="s">
        <v>14</v>
      </c>
      <c r="E410" s="67"/>
      <c r="F410" s="68"/>
      <c r="G410" s="7"/>
      <c r="H410" s="66" t="s">
        <v>14</v>
      </c>
      <c r="I410" s="67"/>
      <c r="J410" s="68"/>
    </row>
    <row r="411" spans="1:10" ht="14.25" customHeight="1" x14ac:dyDescent="0.2">
      <c r="A411" s="4"/>
      <c r="B411" s="2"/>
      <c r="C411" s="29"/>
      <c r="D411" s="69"/>
      <c r="E411" s="70"/>
      <c r="F411" s="71"/>
      <c r="G411" s="7"/>
      <c r="H411" s="69"/>
      <c r="I411" s="70"/>
      <c r="J411" s="71"/>
    </row>
    <row r="412" spans="1:10" ht="18.75" customHeight="1" x14ac:dyDescent="0.2">
      <c r="A412" s="4"/>
      <c r="B412" s="2"/>
      <c r="C412" s="29"/>
      <c r="D412" s="58" t="s">
        <v>20</v>
      </c>
      <c r="E412" s="59"/>
      <c r="F412" s="8"/>
      <c r="G412" s="29"/>
      <c r="H412" s="58" t="s">
        <v>24</v>
      </c>
      <c r="I412" s="59"/>
      <c r="J412" s="8"/>
    </row>
    <row r="413" spans="1:10" ht="20.25" customHeight="1" x14ac:dyDescent="0.2">
      <c r="A413" s="4"/>
      <c r="B413" s="4"/>
      <c r="C413" s="2"/>
      <c r="D413" s="60" t="s">
        <v>15</v>
      </c>
      <c r="E413" s="61"/>
      <c r="F413" s="9">
        <v>117</v>
      </c>
      <c r="G413" s="29"/>
      <c r="H413" s="60" t="s">
        <v>15</v>
      </c>
      <c r="I413" s="61"/>
      <c r="J413" s="9">
        <v>215</v>
      </c>
    </row>
    <row r="414" spans="1:10" ht="16.5" customHeight="1" x14ac:dyDescent="0.2">
      <c r="A414" s="4"/>
      <c r="B414" s="4"/>
      <c r="C414" s="2"/>
      <c r="D414" s="62" t="s">
        <v>16</v>
      </c>
      <c r="E414" s="63"/>
      <c r="F414" s="30">
        <f>D138</f>
        <v>235.65760000000009</v>
      </c>
      <c r="G414" s="2"/>
      <c r="H414" s="62" t="s">
        <v>16</v>
      </c>
      <c r="I414" s="63"/>
      <c r="J414" s="30">
        <f>D365</f>
        <v>233.09110000000004</v>
      </c>
    </row>
    <row r="415" spans="1:10" ht="16.5" customHeight="1" x14ac:dyDescent="0.2">
      <c r="A415" s="4"/>
      <c r="B415" s="4"/>
      <c r="C415" s="2"/>
      <c r="D415" s="62" t="s">
        <v>17</v>
      </c>
      <c r="E415" s="63"/>
      <c r="F415" s="30">
        <f>H138</f>
        <v>216.43260000000012</v>
      </c>
      <c r="G415" s="2"/>
      <c r="H415" s="62" t="s">
        <v>17</v>
      </c>
      <c r="I415" s="63"/>
      <c r="J415" s="30">
        <f>H365</f>
        <v>210.69109999999989</v>
      </c>
    </row>
    <row r="416" spans="1:10" ht="14.25" customHeight="1" x14ac:dyDescent="0.2">
      <c r="A416" s="31"/>
      <c r="D416" s="32"/>
    </row>
    <row r="417" spans="1:1" ht="14.25" customHeight="1" x14ac:dyDescent="0.2">
      <c r="A417" s="31"/>
    </row>
    <row r="418" spans="1:1" ht="14.25" customHeight="1" x14ac:dyDescent="0.2">
      <c r="A418" s="31"/>
    </row>
    <row r="419" spans="1:1" ht="14.25" customHeight="1" x14ac:dyDescent="0.2">
      <c r="A419" s="31"/>
    </row>
    <row r="420" spans="1:1" ht="14.25" customHeight="1" x14ac:dyDescent="0.2">
      <c r="A420" s="31"/>
    </row>
    <row r="421" spans="1:1" ht="14.25" customHeight="1" x14ac:dyDescent="0.2">
      <c r="A421" s="31"/>
    </row>
    <row r="422" spans="1:1" ht="14.25" customHeight="1" x14ac:dyDescent="0.2">
      <c r="A422" s="31"/>
    </row>
    <row r="423" spans="1:1" ht="14.25" customHeight="1" x14ac:dyDescent="0.2">
      <c r="A423" s="31"/>
    </row>
    <row r="424" spans="1:1" ht="14.25" customHeight="1" x14ac:dyDescent="0.2">
      <c r="A424" s="31"/>
    </row>
    <row r="425" spans="1:1" ht="14.25" customHeight="1" x14ac:dyDescent="0.2">
      <c r="A425" s="31"/>
    </row>
    <row r="426" spans="1:1" ht="14.25" customHeight="1" x14ac:dyDescent="0.2">
      <c r="A426" s="31"/>
    </row>
    <row r="427" spans="1:1" ht="14.25" customHeight="1" x14ac:dyDescent="0.2">
      <c r="A427" s="31"/>
    </row>
    <row r="428" spans="1:1" ht="14.25" customHeight="1" x14ac:dyDescent="0.2">
      <c r="A428" s="31"/>
    </row>
    <row r="429" spans="1:1" ht="14.25" customHeight="1" x14ac:dyDescent="0.2">
      <c r="A429" s="31"/>
    </row>
    <row r="430" spans="1:1" ht="14.25" customHeight="1" x14ac:dyDescent="0.2">
      <c r="A430" s="31"/>
    </row>
    <row r="431" spans="1:1" ht="14.25" customHeight="1" x14ac:dyDescent="0.2">
      <c r="A431" s="31"/>
    </row>
    <row r="432" spans="1:1" ht="14.25" customHeight="1" x14ac:dyDescent="0.2">
      <c r="A432" s="31"/>
    </row>
    <row r="433" spans="1:1" ht="14.25" customHeight="1" x14ac:dyDescent="0.2">
      <c r="A433" s="31"/>
    </row>
    <row r="434" spans="1:1" ht="14.25" customHeight="1" x14ac:dyDescent="0.2">
      <c r="A434" s="31"/>
    </row>
    <row r="435" spans="1:1" ht="14.25" customHeight="1" x14ac:dyDescent="0.2">
      <c r="A435" s="31"/>
    </row>
    <row r="436" spans="1:1" ht="14.25" customHeight="1" x14ac:dyDescent="0.2">
      <c r="A436" s="31"/>
    </row>
    <row r="437" spans="1:1" ht="14.25" customHeight="1" x14ac:dyDescent="0.2">
      <c r="A437" s="31"/>
    </row>
    <row r="438" spans="1:1" ht="14.25" customHeight="1" x14ac:dyDescent="0.2">
      <c r="A438" s="31"/>
    </row>
    <row r="439" spans="1:1" ht="14.25" customHeight="1" x14ac:dyDescent="0.2">
      <c r="A439" s="31"/>
    </row>
    <row r="440" spans="1:1" ht="14.25" customHeight="1" x14ac:dyDescent="0.2">
      <c r="A440" s="31"/>
    </row>
    <row r="441" spans="1:1" ht="14.25" customHeight="1" x14ac:dyDescent="0.2">
      <c r="A441" s="31"/>
    </row>
    <row r="442" spans="1:1" ht="9.75" customHeight="1" x14ac:dyDescent="0.2">
      <c r="A442" s="31"/>
    </row>
    <row r="443" spans="1:1" ht="14.25" hidden="1" customHeight="1" x14ac:dyDescent="0.2">
      <c r="A443" s="31"/>
    </row>
    <row r="444" spans="1:1" ht="14.25" hidden="1" customHeight="1" x14ac:dyDescent="0.2">
      <c r="A444" s="31"/>
    </row>
    <row r="445" spans="1:1" ht="14.25" hidden="1" customHeight="1" x14ac:dyDescent="0.2">
      <c r="A445" s="31"/>
    </row>
    <row r="446" spans="1:1" ht="0.75" customHeight="1" x14ac:dyDescent="0.2">
      <c r="A446" s="31"/>
    </row>
    <row r="447" spans="1:1" ht="14.25" customHeight="1" x14ac:dyDescent="0.2">
      <c r="A447" s="31"/>
    </row>
    <row r="448" spans="1:1" ht="14.25" customHeight="1" x14ac:dyDescent="0.2">
      <c r="A448" s="31"/>
    </row>
    <row r="449" spans="1:1" ht="6.75" customHeight="1" x14ac:dyDescent="0.2">
      <c r="A449" s="31"/>
    </row>
    <row r="450" spans="1:1" ht="14.25" hidden="1" customHeight="1" x14ac:dyDescent="0.2">
      <c r="A450" s="31"/>
    </row>
    <row r="451" spans="1:1" ht="14.25" hidden="1" customHeight="1" x14ac:dyDescent="0.2">
      <c r="A451" s="31"/>
    </row>
    <row r="452" spans="1:1" ht="14.25" hidden="1" customHeight="1" x14ac:dyDescent="0.2">
      <c r="A452" s="31"/>
    </row>
    <row r="453" spans="1:1" ht="14.25" hidden="1" customHeight="1" x14ac:dyDescent="0.2">
      <c r="A453" s="31"/>
    </row>
    <row r="454" spans="1:1" ht="14.25" hidden="1" customHeight="1" x14ac:dyDescent="0.2">
      <c r="A454" s="31"/>
    </row>
    <row r="455" spans="1:1" ht="14.25" customHeight="1" x14ac:dyDescent="0.2">
      <c r="A455" s="31"/>
    </row>
    <row r="456" spans="1:1" ht="14.25" customHeight="1" x14ac:dyDescent="0.2">
      <c r="A456" s="31"/>
    </row>
    <row r="457" spans="1:1" ht="14.25" customHeight="1" x14ac:dyDescent="0.2">
      <c r="A457" s="31"/>
    </row>
    <row r="458" spans="1:1" ht="14.25" customHeight="1" x14ac:dyDescent="0.2">
      <c r="A458" s="31"/>
    </row>
    <row r="459" spans="1:1" ht="14.25" customHeight="1" x14ac:dyDescent="0.2">
      <c r="A459" s="31"/>
    </row>
    <row r="460" spans="1:1" ht="14.25" customHeight="1" x14ac:dyDescent="0.2">
      <c r="A460" s="31"/>
    </row>
    <row r="461" spans="1:1" ht="14.25" customHeight="1" x14ac:dyDescent="0.2">
      <c r="A461" s="31"/>
    </row>
    <row r="462" spans="1:1" ht="14.25" customHeight="1" x14ac:dyDescent="0.2">
      <c r="A462" s="31"/>
    </row>
    <row r="463" spans="1:1" ht="14.25" customHeight="1" x14ac:dyDescent="0.2">
      <c r="A463" s="31"/>
    </row>
    <row r="464" spans="1:1" ht="14.25" customHeight="1" x14ac:dyDescent="0.2">
      <c r="A464" s="31"/>
    </row>
    <row r="465" spans="1:1" ht="14.25" customHeight="1" x14ac:dyDescent="0.2">
      <c r="A465" s="31"/>
    </row>
    <row r="466" spans="1:1" ht="14.25" customHeight="1" x14ac:dyDescent="0.2">
      <c r="A466" s="31"/>
    </row>
    <row r="467" spans="1:1" ht="14.25" customHeight="1" x14ac:dyDescent="0.2">
      <c r="A467" s="31"/>
    </row>
    <row r="468" spans="1:1" ht="14.25" customHeight="1" x14ac:dyDescent="0.2">
      <c r="A468" s="31"/>
    </row>
    <row r="469" spans="1:1" ht="14.25" customHeight="1" x14ac:dyDescent="0.2">
      <c r="A469" s="31"/>
    </row>
    <row r="470" spans="1:1" ht="14.25" customHeight="1" x14ac:dyDescent="0.2">
      <c r="A470" s="31"/>
    </row>
    <row r="471" spans="1:1" ht="14.25" customHeight="1" x14ac:dyDescent="0.2">
      <c r="A471" s="31"/>
    </row>
    <row r="472" spans="1:1" ht="14.25" customHeight="1" x14ac:dyDescent="0.2">
      <c r="A472" s="31"/>
    </row>
    <row r="473" spans="1:1" ht="14.25" customHeight="1" x14ac:dyDescent="0.2">
      <c r="A473" s="31"/>
    </row>
    <row r="474" spans="1:1" ht="14.25" customHeight="1" x14ac:dyDescent="0.2">
      <c r="A474" s="31"/>
    </row>
    <row r="475" spans="1:1" ht="14.25" customHeight="1" x14ac:dyDescent="0.2">
      <c r="A475" s="31"/>
    </row>
    <row r="476" spans="1:1" ht="14.25" customHeight="1" x14ac:dyDescent="0.2">
      <c r="A476" s="31"/>
    </row>
    <row r="477" spans="1:1" ht="14.25" customHeight="1" x14ac:dyDescent="0.2">
      <c r="A477" s="31"/>
    </row>
    <row r="478" spans="1:1" ht="14.25" customHeight="1" x14ac:dyDescent="0.2">
      <c r="A478" s="31"/>
    </row>
    <row r="479" spans="1:1" ht="14.25" customHeight="1" x14ac:dyDescent="0.2">
      <c r="A479" s="31"/>
    </row>
    <row r="480" spans="1:1" ht="14.25" customHeight="1" x14ac:dyDescent="0.2">
      <c r="A480" s="31"/>
    </row>
    <row r="481" spans="1:1" ht="14.25" customHeight="1" x14ac:dyDescent="0.2">
      <c r="A481" s="31"/>
    </row>
    <row r="482" spans="1:1" ht="14.25" customHeight="1" x14ac:dyDescent="0.2">
      <c r="A482" s="31"/>
    </row>
    <row r="483" spans="1:1" ht="14.25" customHeight="1" x14ac:dyDescent="0.2">
      <c r="A483" s="31"/>
    </row>
    <row r="484" spans="1:1" ht="14.25" customHeight="1" x14ac:dyDescent="0.2">
      <c r="A484" s="31"/>
    </row>
    <row r="485" spans="1:1" ht="14.25" customHeight="1" x14ac:dyDescent="0.2">
      <c r="A485" s="31"/>
    </row>
    <row r="486" spans="1:1" ht="14.25" customHeight="1" x14ac:dyDescent="0.2">
      <c r="A486" s="31"/>
    </row>
    <row r="487" spans="1:1" ht="14.25" customHeight="1" x14ac:dyDescent="0.2">
      <c r="A487" s="31"/>
    </row>
    <row r="488" spans="1:1" ht="14.25" customHeight="1" x14ac:dyDescent="0.2">
      <c r="A488" s="31"/>
    </row>
    <row r="489" spans="1:1" ht="14.25" customHeight="1" x14ac:dyDescent="0.2">
      <c r="A489" s="31"/>
    </row>
    <row r="490" spans="1:1" ht="14.25" customHeight="1" x14ac:dyDescent="0.2">
      <c r="A490" s="31"/>
    </row>
    <row r="491" spans="1:1" ht="14.25" customHeight="1" x14ac:dyDescent="0.2">
      <c r="A491" s="31"/>
    </row>
    <row r="492" spans="1:1" ht="14.25" customHeight="1" x14ac:dyDescent="0.2">
      <c r="A492" s="31"/>
    </row>
    <row r="493" spans="1:1" ht="14.25" customHeight="1" x14ac:dyDescent="0.2">
      <c r="A493" s="31"/>
    </row>
    <row r="494" spans="1:1" ht="14.25" customHeight="1" x14ac:dyDescent="0.2">
      <c r="A494" s="31"/>
    </row>
    <row r="495" spans="1:1" ht="14.25" customHeight="1" x14ac:dyDescent="0.2">
      <c r="A495" s="31"/>
    </row>
    <row r="496" spans="1:1" ht="14.25" customHeight="1" x14ac:dyDescent="0.2">
      <c r="A496" s="31"/>
    </row>
    <row r="497" spans="1:1" ht="14.25" customHeight="1" x14ac:dyDescent="0.2">
      <c r="A497" s="31"/>
    </row>
    <row r="498" spans="1:1" ht="14.25" customHeight="1" x14ac:dyDescent="0.2">
      <c r="A498" s="31"/>
    </row>
    <row r="499" spans="1:1" ht="14.25" customHeight="1" x14ac:dyDescent="0.2">
      <c r="A499" s="31"/>
    </row>
    <row r="500" spans="1:1" ht="14.25" customHeight="1" x14ac:dyDescent="0.2">
      <c r="A500" s="31"/>
    </row>
    <row r="501" spans="1:1" ht="14.25" customHeight="1" x14ac:dyDescent="0.2">
      <c r="A501" s="31"/>
    </row>
    <row r="502" spans="1:1" ht="14.25" customHeight="1" x14ac:dyDescent="0.2">
      <c r="A502" s="31"/>
    </row>
    <row r="503" spans="1:1" ht="14.25" customHeight="1" x14ac:dyDescent="0.2">
      <c r="A503" s="31"/>
    </row>
    <row r="504" spans="1:1" ht="14.25" customHeight="1" x14ac:dyDescent="0.2">
      <c r="A504" s="31"/>
    </row>
    <row r="505" spans="1:1" ht="14.25" customHeight="1" x14ac:dyDescent="0.2">
      <c r="A505" s="31"/>
    </row>
    <row r="506" spans="1:1" ht="14.25" customHeight="1" x14ac:dyDescent="0.2">
      <c r="A506" s="31"/>
    </row>
    <row r="507" spans="1:1" ht="14.25" customHeight="1" x14ac:dyDescent="0.2">
      <c r="A507" s="31"/>
    </row>
    <row r="508" spans="1:1" ht="14.25" customHeight="1" x14ac:dyDescent="0.2">
      <c r="A508" s="31"/>
    </row>
    <row r="509" spans="1:1" ht="14.25" customHeight="1" x14ac:dyDescent="0.2">
      <c r="A509" s="31"/>
    </row>
    <row r="510" spans="1:1" ht="14.25" customHeight="1" x14ac:dyDescent="0.2">
      <c r="A510" s="31"/>
    </row>
    <row r="511" spans="1:1" ht="14.25" customHeight="1" x14ac:dyDescent="0.2">
      <c r="A511" s="31"/>
    </row>
    <row r="512" spans="1:1" ht="14.25" customHeight="1" x14ac:dyDescent="0.2">
      <c r="A512" s="31"/>
    </row>
    <row r="513" spans="1:1" ht="14.25" customHeight="1" x14ac:dyDescent="0.2">
      <c r="A513" s="31"/>
    </row>
    <row r="514" spans="1:1" ht="14.25" customHeight="1" x14ac:dyDescent="0.2">
      <c r="A514" s="31"/>
    </row>
    <row r="515" spans="1:1" ht="14.25" customHeight="1" x14ac:dyDescent="0.2">
      <c r="A515" s="31"/>
    </row>
    <row r="516" spans="1:1" ht="14.25" customHeight="1" x14ac:dyDescent="0.2">
      <c r="A516" s="31"/>
    </row>
    <row r="517" spans="1:1" ht="14.25" customHeight="1" x14ac:dyDescent="0.2">
      <c r="A517" s="31"/>
    </row>
    <row r="518" spans="1:1" ht="14.25" customHeight="1" x14ac:dyDescent="0.2">
      <c r="A518" s="31"/>
    </row>
    <row r="519" spans="1:1" ht="14.25" customHeight="1" x14ac:dyDescent="0.2">
      <c r="A519" s="31"/>
    </row>
    <row r="520" spans="1:1" ht="14.25" customHeight="1" x14ac:dyDescent="0.2">
      <c r="A520" s="31"/>
    </row>
    <row r="521" spans="1:1" ht="14.25" customHeight="1" x14ac:dyDescent="0.2">
      <c r="A521" s="31"/>
    </row>
    <row r="522" spans="1:1" ht="14.25" customHeight="1" x14ac:dyDescent="0.2">
      <c r="A522" s="31"/>
    </row>
    <row r="523" spans="1:1" ht="14.25" customHeight="1" x14ac:dyDescent="0.2">
      <c r="A523" s="31"/>
    </row>
    <row r="524" spans="1:1" ht="14.25" customHeight="1" x14ac:dyDescent="0.2">
      <c r="A524" s="31"/>
    </row>
    <row r="525" spans="1:1" ht="14.25" customHeight="1" x14ac:dyDescent="0.2">
      <c r="A525" s="31"/>
    </row>
    <row r="526" spans="1:1" ht="14.25" customHeight="1" x14ac:dyDescent="0.2">
      <c r="A526" s="31"/>
    </row>
    <row r="527" spans="1:1" ht="14.25" customHeight="1" x14ac:dyDescent="0.2">
      <c r="A527" s="31"/>
    </row>
    <row r="528" spans="1:1" ht="14.25" customHeight="1" x14ac:dyDescent="0.2">
      <c r="A528" s="31"/>
    </row>
    <row r="529" spans="1:1" ht="14.25" customHeight="1" x14ac:dyDescent="0.2">
      <c r="A529" s="31"/>
    </row>
    <row r="530" spans="1:1" ht="14.25" customHeight="1" x14ac:dyDescent="0.2">
      <c r="A530" s="31"/>
    </row>
    <row r="531" spans="1:1" ht="14.25" customHeight="1" x14ac:dyDescent="0.2">
      <c r="A531" s="31"/>
    </row>
    <row r="532" spans="1:1" ht="14.25" customHeight="1" x14ac:dyDescent="0.2">
      <c r="A532" s="31"/>
    </row>
    <row r="533" spans="1:1" ht="14.25" customHeight="1" x14ac:dyDescent="0.2">
      <c r="A533" s="31"/>
    </row>
    <row r="534" spans="1:1" ht="14.25" customHeight="1" x14ac:dyDescent="0.2">
      <c r="A534" s="31"/>
    </row>
    <row r="535" spans="1:1" ht="14.25" customHeight="1" x14ac:dyDescent="0.2">
      <c r="A535" s="31"/>
    </row>
    <row r="536" spans="1:1" ht="14.25" customHeight="1" x14ac:dyDescent="0.2">
      <c r="A536" s="31"/>
    </row>
    <row r="537" spans="1:1" ht="14.25" customHeight="1" x14ac:dyDescent="0.2">
      <c r="A537" s="31"/>
    </row>
    <row r="538" spans="1:1" ht="14.25" customHeight="1" x14ac:dyDescent="0.2">
      <c r="A538" s="31"/>
    </row>
    <row r="539" spans="1:1" ht="14.25" customHeight="1" x14ac:dyDescent="0.2">
      <c r="A539" s="31"/>
    </row>
    <row r="540" spans="1:1" ht="14.25" customHeight="1" x14ac:dyDescent="0.2">
      <c r="A540" s="31"/>
    </row>
    <row r="541" spans="1:1" ht="14.25" customHeight="1" x14ac:dyDescent="0.2">
      <c r="A541" s="31"/>
    </row>
    <row r="542" spans="1:1" ht="14.25" customHeight="1" x14ac:dyDescent="0.2">
      <c r="A542" s="31"/>
    </row>
    <row r="543" spans="1:1" ht="14.25" customHeight="1" x14ac:dyDescent="0.2">
      <c r="A543" s="31"/>
    </row>
    <row r="544" spans="1:1" ht="14.25" customHeight="1" x14ac:dyDescent="0.2">
      <c r="A544" s="31"/>
    </row>
    <row r="545" spans="1:1" ht="14.25" customHeight="1" x14ac:dyDescent="0.2">
      <c r="A545" s="31"/>
    </row>
    <row r="546" spans="1:1" ht="14.25" customHeight="1" x14ac:dyDescent="0.2">
      <c r="A546" s="31"/>
    </row>
    <row r="547" spans="1:1" ht="14.25" customHeight="1" x14ac:dyDescent="0.2">
      <c r="A547" s="31"/>
    </row>
    <row r="548" spans="1:1" ht="14.25" customHeight="1" x14ac:dyDescent="0.2">
      <c r="A548" s="31"/>
    </row>
    <row r="549" spans="1:1" ht="14.25" customHeight="1" x14ac:dyDescent="0.2">
      <c r="A549" s="31"/>
    </row>
    <row r="550" spans="1:1" ht="14.25" customHeight="1" x14ac:dyDescent="0.2">
      <c r="A550" s="31"/>
    </row>
    <row r="551" spans="1:1" ht="14.25" customHeight="1" x14ac:dyDescent="0.2">
      <c r="A551" s="31"/>
    </row>
    <row r="552" spans="1:1" ht="14.25" customHeight="1" x14ac:dyDescent="0.2">
      <c r="A552" s="31"/>
    </row>
    <row r="553" spans="1:1" ht="14.25" customHeight="1" x14ac:dyDescent="0.2">
      <c r="A553" s="31"/>
    </row>
    <row r="554" spans="1:1" ht="14.25" customHeight="1" x14ac:dyDescent="0.2">
      <c r="A554" s="31"/>
    </row>
    <row r="555" spans="1:1" ht="14.25" customHeight="1" x14ac:dyDescent="0.2">
      <c r="A555" s="31"/>
    </row>
    <row r="556" spans="1:1" ht="14.25" customHeight="1" x14ac:dyDescent="0.2">
      <c r="A556" s="31"/>
    </row>
    <row r="557" spans="1:1" ht="14.25" customHeight="1" x14ac:dyDescent="0.2">
      <c r="A557" s="31"/>
    </row>
    <row r="558" spans="1:1" ht="14.25" customHeight="1" x14ac:dyDescent="0.2">
      <c r="A558" s="31"/>
    </row>
    <row r="559" spans="1:1" ht="14.25" customHeight="1" x14ac:dyDescent="0.2">
      <c r="A559" s="31"/>
    </row>
    <row r="560" spans="1:1" ht="14.25" customHeight="1" x14ac:dyDescent="0.2">
      <c r="A560" s="31"/>
    </row>
    <row r="561" spans="1:1" ht="14.25" customHeight="1" x14ac:dyDescent="0.2">
      <c r="A561" s="31"/>
    </row>
    <row r="562" spans="1:1" ht="14.25" customHeight="1" x14ac:dyDescent="0.2">
      <c r="A562" s="31"/>
    </row>
    <row r="563" spans="1:1" ht="14.25" customHeight="1" x14ac:dyDescent="0.2">
      <c r="A563" s="31"/>
    </row>
    <row r="564" spans="1:1" ht="14.25" customHeight="1" x14ac:dyDescent="0.2">
      <c r="A564" s="31"/>
    </row>
    <row r="565" spans="1:1" ht="14.25" customHeight="1" x14ac:dyDescent="0.2">
      <c r="A565" s="31"/>
    </row>
    <row r="566" spans="1:1" ht="14.25" customHeight="1" x14ac:dyDescent="0.2">
      <c r="A566" s="31"/>
    </row>
    <row r="567" spans="1:1" ht="14.25" customHeight="1" x14ac:dyDescent="0.2">
      <c r="A567" s="31"/>
    </row>
    <row r="568" spans="1:1" ht="14.25" customHeight="1" x14ac:dyDescent="0.2">
      <c r="A568" s="31"/>
    </row>
    <row r="569" spans="1:1" ht="14.25" customHeight="1" x14ac:dyDescent="0.2">
      <c r="A569" s="31"/>
    </row>
    <row r="570" spans="1:1" ht="14.25" customHeight="1" x14ac:dyDescent="0.2">
      <c r="A570" s="31"/>
    </row>
    <row r="571" spans="1:1" ht="14.25" customHeight="1" x14ac:dyDescent="0.2">
      <c r="A571" s="31"/>
    </row>
    <row r="572" spans="1:1" ht="14.25" customHeight="1" x14ac:dyDescent="0.2">
      <c r="A572" s="31"/>
    </row>
    <row r="573" spans="1:1" ht="14.25" customHeight="1" x14ac:dyDescent="0.2">
      <c r="A573" s="31"/>
    </row>
    <row r="574" spans="1:1" ht="14.25" customHeight="1" x14ac:dyDescent="0.2">
      <c r="A574" s="31"/>
    </row>
    <row r="575" spans="1:1" ht="14.25" customHeight="1" x14ac:dyDescent="0.2">
      <c r="A575" s="31"/>
    </row>
    <row r="576" spans="1:1" ht="14.25" customHeight="1" x14ac:dyDescent="0.2">
      <c r="A576" s="31"/>
    </row>
    <row r="577" spans="1:1" ht="14.25" customHeight="1" x14ac:dyDescent="0.2">
      <c r="A577" s="31"/>
    </row>
    <row r="578" spans="1:1" ht="14.25" customHeight="1" x14ac:dyDescent="0.2">
      <c r="A578" s="31"/>
    </row>
    <row r="579" spans="1:1" ht="14.25" customHeight="1" x14ac:dyDescent="0.2">
      <c r="A579" s="31"/>
    </row>
    <row r="580" spans="1:1" ht="14.25" customHeight="1" x14ac:dyDescent="0.2">
      <c r="A580" s="31"/>
    </row>
    <row r="581" spans="1:1" ht="14.25" customHeight="1" x14ac:dyDescent="0.2">
      <c r="A581" s="31"/>
    </row>
    <row r="582" spans="1:1" ht="14.25" customHeight="1" x14ac:dyDescent="0.2">
      <c r="A582" s="31"/>
    </row>
    <row r="583" spans="1:1" ht="14.25" customHeight="1" x14ac:dyDescent="0.2">
      <c r="A583" s="31"/>
    </row>
    <row r="584" spans="1:1" ht="14.25" customHeight="1" x14ac:dyDescent="0.2">
      <c r="A584" s="31"/>
    </row>
    <row r="585" spans="1:1" ht="14.25" customHeight="1" x14ac:dyDescent="0.2">
      <c r="A585" s="31"/>
    </row>
    <row r="586" spans="1:1" ht="14.25" customHeight="1" x14ac:dyDescent="0.2">
      <c r="A586" s="31"/>
    </row>
    <row r="587" spans="1:1" ht="14.25" customHeight="1" x14ac:dyDescent="0.2">
      <c r="A587" s="31"/>
    </row>
    <row r="588" spans="1:1" ht="14.25" customHeight="1" x14ac:dyDescent="0.2">
      <c r="A588" s="31"/>
    </row>
    <row r="589" spans="1:1" ht="14.25" customHeight="1" x14ac:dyDescent="0.2">
      <c r="A589" s="31"/>
    </row>
    <row r="590" spans="1:1" ht="14.25" customHeight="1" x14ac:dyDescent="0.2">
      <c r="A590" s="31"/>
    </row>
    <row r="591" spans="1:1" ht="14.25" customHeight="1" x14ac:dyDescent="0.2">
      <c r="A591" s="31"/>
    </row>
    <row r="592" spans="1:1" ht="14.25" customHeight="1" x14ac:dyDescent="0.2">
      <c r="A592" s="31"/>
    </row>
    <row r="593" spans="1:1" ht="14.25" customHeight="1" x14ac:dyDescent="0.2">
      <c r="A593" s="31"/>
    </row>
    <row r="594" spans="1:1" ht="14.25" customHeight="1" x14ac:dyDescent="0.2">
      <c r="A594" s="31"/>
    </row>
    <row r="595" spans="1:1" ht="14.25" customHeight="1" x14ac:dyDescent="0.2">
      <c r="A595" s="31"/>
    </row>
    <row r="596" spans="1:1" ht="14.25" customHeight="1" x14ac:dyDescent="0.2">
      <c r="A596" s="31"/>
    </row>
    <row r="597" spans="1:1" ht="14.25" customHeight="1" x14ac:dyDescent="0.2">
      <c r="A597" s="31"/>
    </row>
    <row r="598" spans="1:1" ht="14.25" customHeight="1" x14ac:dyDescent="0.2">
      <c r="A598" s="31"/>
    </row>
    <row r="599" spans="1:1" ht="14.25" customHeight="1" x14ac:dyDescent="0.2">
      <c r="A599" s="31"/>
    </row>
    <row r="600" spans="1:1" ht="14.25" customHeight="1" x14ac:dyDescent="0.2">
      <c r="A600" s="31"/>
    </row>
    <row r="601" spans="1:1" ht="14.25" customHeight="1" x14ac:dyDescent="0.2">
      <c r="A601" s="31"/>
    </row>
    <row r="602" spans="1:1" ht="14.25" customHeight="1" x14ac:dyDescent="0.2">
      <c r="A602" s="31"/>
    </row>
    <row r="603" spans="1:1" ht="14.25" customHeight="1" x14ac:dyDescent="0.2">
      <c r="A603" s="31"/>
    </row>
    <row r="604" spans="1:1" ht="14.25" customHeight="1" x14ac:dyDescent="0.2">
      <c r="A604" s="31"/>
    </row>
    <row r="605" spans="1:1" ht="14.25" customHeight="1" x14ac:dyDescent="0.2">
      <c r="A605" s="31"/>
    </row>
    <row r="606" spans="1:1" ht="14.25" customHeight="1" x14ac:dyDescent="0.2">
      <c r="A606" s="31"/>
    </row>
    <row r="607" spans="1:1" ht="14.25" customHeight="1" x14ac:dyDescent="0.2">
      <c r="A607" s="31"/>
    </row>
    <row r="608" spans="1:1" ht="14.25" customHeight="1" x14ac:dyDescent="0.2">
      <c r="A608" s="31"/>
    </row>
    <row r="609" spans="1:1" ht="14.25" customHeight="1" x14ac:dyDescent="0.2">
      <c r="A609" s="31"/>
    </row>
    <row r="610" spans="1:1" ht="14.25" customHeight="1" x14ac:dyDescent="0.2">
      <c r="A610" s="31"/>
    </row>
    <row r="611" spans="1:1" ht="14.25" customHeight="1" x14ac:dyDescent="0.2">
      <c r="A611" s="31"/>
    </row>
    <row r="612" spans="1:1" ht="14.25" customHeight="1" x14ac:dyDescent="0.2">
      <c r="A612" s="31"/>
    </row>
    <row r="613" spans="1:1" ht="14.25" customHeight="1" x14ac:dyDescent="0.2">
      <c r="A613" s="31"/>
    </row>
    <row r="614" spans="1:1" ht="14.25" customHeight="1" x14ac:dyDescent="0.2">
      <c r="A614" s="31"/>
    </row>
    <row r="615" spans="1:1" ht="14.25" customHeight="1" x14ac:dyDescent="0.2">
      <c r="A615" s="31"/>
    </row>
    <row r="616" spans="1:1" ht="14.25" customHeight="1" x14ac:dyDescent="0.2">
      <c r="A616" s="31"/>
    </row>
    <row r="617" spans="1:1" ht="14.25" customHeight="1" x14ac:dyDescent="0.2">
      <c r="A617" s="31"/>
    </row>
    <row r="618" spans="1:1" ht="14.25" customHeight="1" x14ac:dyDescent="0.2">
      <c r="A618" s="31"/>
    </row>
    <row r="619" spans="1:1" ht="14.25" customHeight="1" x14ac:dyDescent="0.2">
      <c r="A619" s="31"/>
    </row>
    <row r="620" spans="1:1" ht="14.25" customHeight="1" x14ac:dyDescent="0.2">
      <c r="A620" s="31"/>
    </row>
    <row r="621" spans="1:1" ht="14.25" customHeight="1" x14ac:dyDescent="0.2">
      <c r="A621" s="31"/>
    </row>
    <row r="622" spans="1:1" ht="14.25" customHeight="1" x14ac:dyDescent="0.2">
      <c r="A622" s="31"/>
    </row>
    <row r="623" spans="1:1" ht="14.25" customHeight="1" x14ac:dyDescent="0.2">
      <c r="A623" s="31"/>
    </row>
    <row r="624" spans="1:1" ht="14.25" customHeight="1" x14ac:dyDescent="0.2">
      <c r="A624" s="31"/>
    </row>
    <row r="625" spans="1:1" ht="14.25" customHeight="1" x14ac:dyDescent="0.2">
      <c r="A625" s="31"/>
    </row>
    <row r="626" spans="1:1" ht="14.25" customHeight="1" x14ac:dyDescent="0.2">
      <c r="A626" s="31"/>
    </row>
    <row r="627" spans="1:1" ht="14.25" customHeight="1" x14ac:dyDescent="0.2">
      <c r="A627" s="31"/>
    </row>
    <row r="628" spans="1:1" ht="14.25" customHeight="1" x14ac:dyDescent="0.2">
      <c r="A628" s="31"/>
    </row>
    <row r="629" spans="1:1" ht="14.25" customHeight="1" x14ac:dyDescent="0.2">
      <c r="A629" s="31"/>
    </row>
    <row r="630" spans="1:1" ht="14.25" customHeight="1" x14ac:dyDescent="0.2">
      <c r="A630" s="31"/>
    </row>
    <row r="631" spans="1:1" ht="14.25" customHeight="1" x14ac:dyDescent="0.2">
      <c r="A631" s="31"/>
    </row>
    <row r="632" spans="1:1" ht="14.25" customHeight="1" x14ac:dyDescent="0.2">
      <c r="A632" s="31"/>
    </row>
    <row r="633" spans="1:1" ht="14.25" customHeight="1" x14ac:dyDescent="0.2">
      <c r="A633" s="31"/>
    </row>
    <row r="634" spans="1:1" ht="14.25" customHeight="1" x14ac:dyDescent="0.2">
      <c r="A634" s="31"/>
    </row>
    <row r="635" spans="1:1" ht="14.25" customHeight="1" x14ac:dyDescent="0.2">
      <c r="A635" s="31"/>
    </row>
    <row r="636" spans="1:1" ht="14.25" customHeight="1" x14ac:dyDescent="0.2">
      <c r="A636" s="31"/>
    </row>
    <row r="637" spans="1:1" ht="14.25" customHeight="1" x14ac:dyDescent="0.2">
      <c r="A637" s="31"/>
    </row>
    <row r="638" spans="1:1" ht="14.25" customHeight="1" x14ac:dyDescent="0.2">
      <c r="A638" s="31"/>
    </row>
    <row r="639" spans="1:1" ht="14.25" customHeight="1" x14ac:dyDescent="0.2">
      <c r="A639" s="31"/>
    </row>
    <row r="640" spans="1:1" ht="14.25" customHeight="1" x14ac:dyDescent="0.2">
      <c r="A640" s="31"/>
    </row>
    <row r="641" spans="1:1" ht="14.25" customHeight="1" x14ac:dyDescent="0.2">
      <c r="A641" s="31"/>
    </row>
    <row r="642" spans="1:1" ht="14.25" customHeight="1" x14ac:dyDescent="0.2">
      <c r="A642" s="31"/>
    </row>
    <row r="643" spans="1:1" ht="14.25" customHeight="1" x14ac:dyDescent="0.2">
      <c r="A643" s="31"/>
    </row>
    <row r="644" spans="1:1" ht="14.25" customHeight="1" x14ac:dyDescent="0.2">
      <c r="A644" s="31"/>
    </row>
    <row r="645" spans="1:1" ht="14.25" customHeight="1" x14ac:dyDescent="0.2">
      <c r="A645" s="31"/>
    </row>
    <row r="646" spans="1:1" ht="14.25" customHeight="1" x14ac:dyDescent="0.2">
      <c r="A646" s="31"/>
    </row>
    <row r="647" spans="1:1" ht="14.25" customHeight="1" x14ac:dyDescent="0.2">
      <c r="A647" s="31"/>
    </row>
    <row r="648" spans="1:1" ht="14.25" customHeight="1" x14ac:dyDescent="0.2">
      <c r="A648" s="31"/>
    </row>
    <row r="649" spans="1:1" ht="14.25" customHeight="1" x14ac:dyDescent="0.2">
      <c r="A649" s="31"/>
    </row>
    <row r="650" spans="1:1" ht="14.25" customHeight="1" x14ac:dyDescent="0.2">
      <c r="A650" s="31"/>
    </row>
    <row r="651" spans="1:1" ht="14.25" customHeight="1" x14ac:dyDescent="0.2">
      <c r="A651" s="31"/>
    </row>
    <row r="652" spans="1:1" ht="14.25" customHeight="1" x14ac:dyDescent="0.2">
      <c r="A652" s="31"/>
    </row>
    <row r="653" spans="1:1" ht="14.25" customHeight="1" x14ac:dyDescent="0.2">
      <c r="A653" s="31"/>
    </row>
    <row r="654" spans="1:1" ht="14.25" customHeight="1" x14ac:dyDescent="0.2">
      <c r="A654" s="31"/>
    </row>
    <row r="655" spans="1:1" ht="14.25" customHeight="1" x14ac:dyDescent="0.2">
      <c r="A655" s="31"/>
    </row>
    <row r="656" spans="1:1" ht="14.25" customHeight="1" x14ac:dyDescent="0.2">
      <c r="A656" s="31"/>
    </row>
    <row r="657" spans="1:1" ht="14.25" customHeight="1" x14ac:dyDescent="0.2">
      <c r="A657" s="31"/>
    </row>
    <row r="658" spans="1:1" ht="14.25" customHeight="1" x14ac:dyDescent="0.2">
      <c r="A658" s="31"/>
    </row>
    <row r="659" spans="1:1" ht="14.25" customHeight="1" x14ac:dyDescent="0.2">
      <c r="A659" s="31"/>
    </row>
    <row r="660" spans="1:1" ht="14.25" customHeight="1" x14ac:dyDescent="0.2">
      <c r="A660" s="31"/>
    </row>
    <row r="661" spans="1:1" ht="14.25" customHeight="1" x14ac:dyDescent="0.2">
      <c r="A661" s="31"/>
    </row>
    <row r="662" spans="1:1" ht="14.25" customHeight="1" x14ac:dyDescent="0.2">
      <c r="A662" s="31"/>
    </row>
    <row r="663" spans="1:1" ht="14.25" customHeight="1" x14ac:dyDescent="0.2">
      <c r="A663" s="31"/>
    </row>
    <row r="664" spans="1:1" ht="14.25" customHeight="1" x14ac:dyDescent="0.2">
      <c r="A664" s="31"/>
    </row>
    <row r="665" spans="1:1" ht="14.25" customHeight="1" x14ac:dyDescent="0.2">
      <c r="A665" s="31"/>
    </row>
    <row r="666" spans="1:1" ht="14.25" customHeight="1" x14ac:dyDescent="0.2">
      <c r="A666" s="31"/>
    </row>
    <row r="667" spans="1:1" ht="14.25" customHeight="1" x14ac:dyDescent="0.2">
      <c r="A667" s="31"/>
    </row>
    <row r="668" spans="1:1" ht="14.25" customHeight="1" x14ac:dyDescent="0.2">
      <c r="A668" s="31"/>
    </row>
    <row r="669" spans="1:1" ht="14.25" customHeight="1" x14ac:dyDescent="0.2">
      <c r="A669" s="31"/>
    </row>
    <row r="670" spans="1:1" ht="14.25" customHeight="1" x14ac:dyDescent="0.2">
      <c r="A670" s="31"/>
    </row>
    <row r="671" spans="1:1" ht="14.25" customHeight="1" x14ac:dyDescent="0.2">
      <c r="A671" s="31"/>
    </row>
    <row r="672" spans="1:1" ht="14.25" customHeight="1" x14ac:dyDescent="0.2">
      <c r="A672" s="31"/>
    </row>
    <row r="673" spans="1:1" ht="14.25" customHeight="1" x14ac:dyDescent="0.2">
      <c r="A673" s="31"/>
    </row>
    <row r="674" spans="1:1" ht="14.25" customHeight="1" x14ac:dyDescent="0.2">
      <c r="A674" s="31"/>
    </row>
    <row r="675" spans="1:1" ht="14.25" customHeight="1" x14ac:dyDescent="0.2">
      <c r="A675" s="31"/>
    </row>
    <row r="676" spans="1:1" ht="14.25" customHeight="1" x14ac:dyDescent="0.2">
      <c r="A676" s="31"/>
    </row>
    <row r="677" spans="1:1" ht="14.25" customHeight="1" x14ac:dyDescent="0.2">
      <c r="A677" s="31"/>
    </row>
    <row r="678" spans="1:1" ht="14.25" customHeight="1" x14ac:dyDescent="0.2">
      <c r="A678" s="31"/>
    </row>
    <row r="679" spans="1:1" ht="14.25" customHeight="1" x14ac:dyDescent="0.2">
      <c r="A679" s="31"/>
    </row>
    <row r="680" spans="1:1" ht="14.25" customHeight="1" x14ac:dyDescent="0.2">
      <c r="A680" s="31"/>
    </row>
    <row r="681" spans="1:1" ht="14.25" customHeight="1" x14ac:dyDescent="0.2">
      <c r="A681" s="31"/>
    </row>
    <row r="682" spans="1:1" ht="14.25" customHeight="1" x14ac:dyDescent="0.2">
      <c r="A682" s="31"/>
    </row>
    <row r="683" spans="1:1" ht="14.25" customHeight="1" x14ac:dyDescent="0.2">
      <c r="A683" s="31"/>
    </row>
    <row r="684" spans="1:1" ht="14.25" customHeight="1" x14ac:dyDescent="0.2">
      <c r="A684" s="31"/>
    </row>
    <row r="685" spans="1:1" ht="14.25" customHeight="1" x14ac:dyDescent="0.2">
      <c r="A685" s="31"/>
    </row>
    <row r="686" spans="1:1" ht="14.25" customHeight="1" x14ac:dyDescent="0.2">
      <c r="A686" s="31"/>
    </row>
    <row r="687" spans="1:1" ht="14.25" customHeight="1" x14ac:dyDescent="0.2">
      <c r="A687" s="31"/>
    </row>
    <row r="688" spans="1:1" ht="14.25" customHeight="1" x14ac:dyDescent="0.2">
      <c r="A688" s="31"/>
    </row>
    <row r="689" spans="1:1" ht="14.25" customHeight="1" x14ac:dyDescent="0.2">
      <c r="A689" s="31"/>
    </row>
    <row r="690" spans="1:1" ht="14.25" customHeight="1" x14ac:dyDescent="0.2">
      <c r="A690" s="31"/>
    </row>
    <row r="691" spans="1:1" ht="14.25" customHeight="1" x14ac:dyDescent="0.2">
      <c r="A691" s="31"/>
    </row>
    <row r="692" spans="1:1" ht="14.25" customHeight="1" x14ac:dyDescent="0.2">
      <c r="A692" s="31"/>
    </row>
    <row r="693" spans="1:1" ht="14.25" customHeight="1" x14ac:dyDescent="0.2">
      <c r="A693" s="31"/>
    </row>
    <row r="694" spans="1:1" ht="14.25" customHeight="1" x14ac:dyDescent="0.2">
      <c r="A694" s="31"/>
    </row>
    <row r="695" spans="1:1" ht="14.25" customHeight="1" x14ac:dyDescent="0.2">
      <c r="A695" s="31"/>
    </row>
    <row r="696" spans="1:1" ht="14.25" customHeight="1" x14ac:dyDescent="0.2">
      <c r="A696" s="31"/>
    </row>
    <row r="697" spans="1:1" ht="14.25" customHeight="1" x14ac:dyDescent="0.2">
      <c r="A697" s="31"/>
    </row>
    <row r="698" spans="1:1" ht="14.25" customHeight="1" x14ac:dyDescent="0.2">
      <c r="A698" s="31"/>
    </row>
    <row r="699" spans="1:1" ht="14.25" customHeight="1" x14ac:dyDescent="0.2">
      <c r="A699" s="31"/>
    </row>
    <row r="700" spans="1:1" ht="14.25" customHeight="1" x14ac:dyDescent="0.2">
      <c r="A700" s="31"/>
    </row>
    <row r="701" spans="1:1" ht="14.25" customHeight="1" x14ac:dyDescent="0.2">
      <c r="A701" s="31"/>
    </row>
    <row r="702" spans="1:1" ht="14.25" customHeight="1" x14ac:dyDescent="0.2">
      <c r="A702" s="31"/>
    </row>
    <row r="703" spans="1:1" ht="14.25" customHeight="1" x14ac:dyDescent="0.2">
      <c r="A703" s="31"/>
    </row>
    <row r="704" spans="1:1" ht="14.25" customHeight="1" x14ac:dyDescent="0.2">
      <c r="A704" s="31"/>
    </row>
    <row r="705" spans="1:1" ht="14.25" customHeight="1" x14ac:dyDescent="0.2">
      <c r="A705" s="31"/>
    </row>
    <row r="706" spans="1:1" ht="14.25" customHeight="1" x14ac:dyDescent="0.2">
      <c r="A706" s="31"/>
    </row>
    <row r="707" spans="1:1" ht="14.25" customHeight="1" x14ac:dyDescent="0.2">
      <c r="A707" s="31"/>
    </row>
    <row r="708" spans="1:1" ht="14.25" customHeight="1" x14ac:dyDescent="0.2">
      <c r="A708" s="31"/>
    </row>
    <row r="709" spans="1:1" ht="14.25" customHeight="1" x14ac:dyDescent="0.2">
      <c r="A709" s="31"/>
    </row>
    <row r="710" spans="1:1" ht="14.25" customHeight="1" x14ac:dyDescent="0.2">
      <c r="A710" s="31"/>
    </row>
    <row r="711" spans="1:1" ht="14.25" customHeight="1" x14ac:dyDescent="0.2">
      <c r="A711" s="31"/>
    </row>
    <row r="712" spans="1:1" ht="14.25" customHeight="1" x14ac:dyDescent="0.2">
      <c r="A712" s="31"/>
    </row>
    <row r="713" spans="1:1" ht="14.25" customHeight="1" x14ac:dyDescent="0.2">
      <c r="A713" s="31"/>
    </row>
    <row r="714" spans="1:1" ht="14.25" customHeight="1" x14ac:dyDescent="0.2">
      <c r="A714" s="31"/>
    </row>
    <row r="715" spans="1:1" ht="14.25" customHeight="1" x14ac:dyDescent="0.2">
      <c r="A715" s="31"/>
    </row>
    <row r="716" spans="1:1" ht="14.25" customHeight="1" x14ac:dyDescent="0.2">
      <c r="A716" s="31"/>
    </row>
    <row r="717" spans="1:1" ht="14.25" customHeight="1" x14ac:dyDescent="0.2">
      <c r="A717" s="31"/>
    </row>
    <row r="718" spans="1:1" ht="14.25" customHeight="1" x14ac:dyDescent="0.2">
      <c r="A718" s="31"/>
    </row>
    <row r="719" spans="1:1" ht="14.25" customHeight="1" x14ac:dyDescent="0.2">
      <c r="A719" s="31"/>
    </row>
    <row r="720" spans="1:1" ht="14.25" customHeight="1" x14ac:dyDescent="0.2">
      <c r="A720" s="31"/>
    </row>
    <row r="721" spans="1:1" ht="14.25" customHeight="1" x14ac:dyDescent="0.2">
      <c r="A721" s="31"/>
    </row>
    <row r="722" spans="1:1" ht="14.25" customHeight="1" x14ac:dyDescent="0.2">
      <c r="A722" s="31"/>
    </row>
    <row r="723" spans="1:1" ht="14.25" customHeight="1" x14ac:dyDescent="0.2">
      <c r="A723" s="31"/>
    </row>
    <row r="724" spans="1:1" ht="14.25" customHeight="1" x14ac:dyDescent="0.2">
      <c r="A724" s="31"/>
    </row>
    <row r="725" spans="1:1" ht="14.25" customHeight="1" x14ac:dyDescent="0.2">
      <c r="A725" s="31"/>
    </row>
    <row r="726" spans="1:1" ht="14.25" customHeight="1" x14ac:dyDescent="0.2">
      <c r="A726" s="31"/>
    </row>
    <row r="727" spans="1:1" ht="14.25" customHeight="1" x14ac:dyDescent="0.2">
      <c r="A727" s="31"/>
    </row>
    <row r="728" spans="1:1" ht="14.25" customHeight="1" x14ac:dyDescent="0.2">
      <c r="A728" s="31"/>
    </row>
    <row r="729" spans="1:1" ht="14.25" customHeight="1" x14ac:dyDescent="0.2">
      <c r="A729" s="31"/>
    </row>
    <row r="730" spans="1:1" ht="14.25" customHeight="1" x14ac:dyDescent="0.2">
      <c r="A730" s="31"/>
    </row>
    <row r="731" spans="1:1" ht="14.25" customHeight="1" x14ac:dyDescent="0.2">
      <c r="A731" s="31"/>
    </row>
    <row r="732" spans="1:1" ht="14.25" customHeight="1" x14ac:dyDescent="0.2">
      <c r="A732" s="31"/>
    </row>
    <row r="733" spans="1:1" ht="14.25" customHeight="1" x14ac:dyDescent="0.2">
      <c r="A733" s="31"/>
    </row>
    <row r="734" spans="1:1" ht="14.25" customHeight="1" x14ac:dyDescent="0.2">
      <c r="A734" s="31"/>
    </row>
    <row r="735" spans="1:1" ht="14.25" customHeight="1" x14ac:dyDescent="0.2">
      <c r="A735" s="31"/>
    </row>
    <row r="736" spans="1:1" ht="14.25" customHeight="1" x14ac:dyDescent="0.2">
      <c r="A736" s="31"/>
    </row>
    <row r="737" spans="1:1" ht="14.25" customHeight="1" x14ac:dyDescent="0.2">
      <c r="A737" s="31"/>
    </row>
    <row r="738" spans="1:1" ht="14.25" customHeight="1" x14ac:dyDescent="0.2">
      <c r="A738" s="31"/>
    </row>
    <row r="739" spans="1:1" ht="14.25" customHeight="1" x14ac:dyDescent="0.2">
      <c r="A739" s="31"/>
    </row>
    <row r="740" spans="1:1" ht="14.25" customHeight="1" x14ac:dyDescent="0.2">
      <c r="A740" s="31"/>
    </row>
    <row r="741" spans="1:1" ht="14.25" customHeight="1" x14ac:dyDescent="0.2">
      <c r="A741" s="31"/>
    </row>
    <row r="742" spans="1:1" ht="14.25" customHeight="1" x14ac:dyDescent="0.2">
      <c r="A742" s="31"/>
    </row>
    <row r="743" spans="1:1" ht="14.25" customHeight="1" x14ac:dyDescent="0.2">
      <c r="A743" s="31"/>
    </row>
    <row r="744" spans="1:1" ht="14.25" customHeight="1" x14ac:dyDescent="0.2">
      <c r="A744" s="31"/>
    </row>
    <row r="745" spans="1:1" ht="14.25" customHeight="1" x14ac:dyDescent="0.2">
      <c r="A745" s="31"/>
    </row>
    <row r="746" spans="1:1" ht="14.25" customHeight="1" x14ac:dyDescent="0.2">
      <c r="A746" s="31"/>
    </row>
    <row r="747" spans="1:1" ht="14.25" customHeight="1" x14ac:dyDescent="0.2">
      <c r="A747" s="31"/>
    </row>
    <row r="748" spans="1:1" ht="14.25" customHeight="1" x14ac:dyDescent="0.2">
      <c r="A748" s="31"/>
    </row>
    <row r="749" spans="1:1" ht="14.25" customHeight="1" x14ac:dyDescent="0.2">
      <c r="A749" s="31"/>
    </row>
    <row r="750" spans="1:1" ht="14.25" customHeight="1" x14ac:dyDescent="0.2">
      <c r="A750" s="31"/>
    </row>
    <row r="751" spans="1:1" ht="14.25" customHeight="1" x14ac:dyDescent="0.2">
      <c r="A751" s="31"/>
    </row>
    <row r="752" spans="1:1" ht="14.25" customHeight="1" x14ac:dyDescent="0.2">
      <c r="A752" s="31"/>
    </row>
    <row r="753" spans="1:1" ht="14.25" customHeight="1" x14ac:dyDescent="0.2">
      <c r="A753" s="31"/>
    </row>
    <row r="754" spans="1:1" ht="14.25" customHeight="1" x14ac:dyDescent="0.2">
      <c r="A754" s="31"/>
    </row>
    <row r="755" spans="1:1" ht="14.25" customHeight="1" x14ac:dyDescent="0.2">
      <c r="A755" s="31"/>
    </row>
    <row r="756" spans="1:1" ht="14.25" customHeight="1" x14ac:dyDescent="0.2">
      <c r="A756" s="31"/>
    </row>
    <row r="757" spans="1:1" ht="14.25" customHeight="1" x14ac:dyDescent="0.2">
      <c r="A757" s="31"/>
    </row>
    <row r="758" spans="1:1" ht="14.25" customHeight="1" x14ac:dyDescent="0.2">
      <c r="A758" s="31"/>
    </row>
    <row r="759" spans="1:1" ht="14.25" customHeight="1" x14ac:dyDescent="0.2">
      <c r="A759" s="31"/>
    </row>
    <row r="760" spans="1:1" ht="14.25" customHeight="1" x14ac:dyDescent="0.2">
      <c r="A760" s="31"/>
    </row>
    <row r="761" spans="1:1" ht="14.25" customHeight="1" x14ac:dyDescent="0.2">
      <c r="A761" s="31"/>
    </row>
    <row r="762" spans="1:1" ht="14.25" customHeight="1" x14ac:dyDescent="0.2">
      <c r="A762" s="31"/>
    </row>
    <row r="763" spans="1:1" ht="14.25" customHeight="1" x14ac:dyDescent="0.2">
      <c r="A763" s="31"/>
    </row>
    <row r="764" spans="1:1" ht="14.25" customHeight="1" x14ac:dyDescent="0.2">
      <c r="A764" s="31"/>
    </row>
    <row r="765" spans="1:1" ht="14.25" customHeight="1" x14ac:dyDescent="0.2">
      <c r="A765" s="31"/>
    </row>
    <row r="766" spans="1:1" ht="14.25" customHeight="1" x14ac:dyDescent="0.2">
      <c r="A766" s="31"/>
    </row>
    <row r="767" spans="1:1" ht="14.25" customHeight="1" x14ac:dyDescent="0.2">
      <c r="A767" s="31"/>
    </row>
    <row r="768" spans="1:1" ht="14.25" customHeight="1" x14ac:dyDescent="0.2">
      <c r="A768" s="31"/>
    </row>
    <row r="769" spans="1:1" ht="14.25" customHeight="1" x14ac:dyDescent="0.2">
      <c r="A769" s="31"/>
    </row>
    <row r="770" spans="1:1" ht="14.25" customHeight="1" x14ac:dyDescent="0.2">
      <c r="A770" s="31"/>
    </row>
    <row r="771" spans="1:1" ht="14.25" customHeight="1" x14ac:dyDescent="0.2">
      <c r="A771" s="31"/>
    </row>
    <row r="772" spans="1:1" ht="14.25" customHeight="1" x14ac:dyDescent="0.2">
      <c r="A772" s="31"/>
    </row>
    <row r="773" spans="1:1" ht="14.25" customHeight="1" x14ac:dyDescent="0.2">
      <c r="A773" s="31"/>
    </row>
    <row r="774" spans="1:1" ht="14.25" customHeight="1" x14ac:dyDescent="0.2">
      <c r="A774" s="31"/>
    </row>
    <row r="775" spans="1:1" ht="14.25" customHeight="1" x14ac:dyDescent="0.2">
      <c r="A775" s="31"/>
    </row>
    <row r="776" spans="1:1" ht="14.25" customHeight="1" x14ac:dyDescent="0.2">
      <c r="A776" s="31"/>
    </row>
    <row r="777" spans="1:1" ht="14.25" customHeight="1" x14ac:dyDescent="0.2">
      <c r="A777" s="31"/>
    </row>
    <row r="778" spans="1:1" ht="14.25" customHeight="1" x14ac:dyDescent="0.2">
      <c r="A778" s="31"/>
    </row>
    <row r="779" spans="1:1" ht="14.25" customHeight="1" x14ac:dyDescent="0.2">
      <c r="A779" s="31"/>
    </row>
    <row r="780" spans="1:1" ht="14.25" customHeight="1" x14ac:dyDescent="0.2">
      <c r="A780" s="31"/>
    </row>
    <row r="781" spans="1:1" ht="14.25" customHeight="1" x14ac:dyDescent="0.2">
      <c r="A781" s="31"/>
    </row>
    <row r="782" spans="1:1" ht="14.25" customHeight="1" x14ac:dyDescent="0.2">
      <c r="A782" s="31"/>
    </row>
    <row r="783" spans="1:1" ht="14.25" customHeight="1" x14ac:dyDescent="0.2">
      <c r="A783" s="31"/>
    </row>
    <row r="784" spans="1:1" ht="14.25" customHeight="1" x14ac:dyDescent="0.2">
      <c r="A784" s="31"/>
    </row>
    <row r="785" spans="1:1" ht="14.25" customHeight="1" x14ac:dyDescent="0.2">
      <c r="A785" s="31"/>
    </row>
    <row r="786" spans="1:1" ht="14.25" customHeight="1" x14ac:dyDescent="0.2">
      <c r="A786" s="31"/>
    </row>
    <row r="787" spans="1:1" ht="14.25" customHeight="1" x14ac:dyDescent="0.2">
      <c r="A787" s="31"/>
    </row>
    <row r="788" spans="1:1" ht="14.25" customHeight="1" x14ac:dyDescent="0.2">
      <c r="A788" s="31"/>
    </row>
    <row r="789" spans="1:1" ht="14.25" customHeight="1" x14ac:dyDescent="0.2">
      <c r="A789" s="31"/>
    </row>
    <row r="790" spans="1:1" ht="14.25" customHeight="1" x14ac:dyDescent="0.2">
      <c r="A790" s="31"/>
    </row>
    <row r="791" spans="1:1" ht="14.25" customHeight="1" x14ac:dyDescent="0.2">
      <c r="A791" s="31"/>
    </row>
    <row r="792" spans="1:1" ht="14.25" customHeight="1" x14ac:dyDescent="0.2">
      <c r="A792" s="31"/>
    </row>
    <row r="793" spans="1:1" ht="14.25" customHeight="1" x14ac:dyDescent="0.2">
      <c r="A793" s="31"/>
    </row>
    <row r="794" spans="1:1" ht="14.25" customHeight="1" x14ac:dyDescent="0.2">
      <c r="A794" s="31"/>
    </row>
    <row r="795" spans="1:1" ht="14.25" customHeight="1" x14ac:dyDescent="0.2">
      <c r="A795" s="31"/>
    </row>
    <row r="796" spans="1:1" ht="14.25" customHeight="1" x14ac:dyDescent="0.2">
      <c r="A796" s="31"/>
    </row>
    <row r="797" spans="1:1" ht="14.25" customHeight="1" x14ac:dyDescent="0.2">
      <c r="A797" s="31"/>
    </row>
    <row r="798" spans="1:1" ht="14.25" customHeight="1" x14ac:dyDescent="0.2">
      <c r="A798" s="31"/>
    </row>
    <row r="799" spans="1:1" ht="14.25" customHeight="1" x14ac:dyDescent="0.2">
      <c r="A799" s="31"/>
    </row>
    <row r="800" spans="1:1" ht="14.25" customHeight="1" x14ac:dyDescent="0.2">
      <c r="A800" s="31"/>
    </row>
    <row r="801" spans="1:1" ht="14.25" customHeight="1" x14ac:dyDescent="0.2">
      <c r="A801" s="31"/>
    </row>
    <row r="802" spans="1:1" ht="14.25" customHeight="1" x14ac:dyDescent="0.2">
      <c r="A802" s="31"/>
    </row>
    <row r="803" spans="1:1" ht="14.25" customHeight="1" x14ac:dyDescent="0.2">
      <c r="A803" s="31"/>
    </row>
    <row r="804" spans="1:1" ht="14.25" customHeight="1" x14ac:dyDescent="0.2">
      <c r="A804" s="31"/>
    </row>
    <row r="805" spans="1:1" ht="14.25" customHeight="1" x14ac:dyDescent="0.2">
      <c r="A805" s="31"/>
    </row>
    <row r="806" spans="1:1" ht="14.25" customHeight="1" x14ac:dyDescent="0.2">
      <c r="A806" s="31"/>
    </row>
    <row r="807" spans="1:1" ht="14.25" customHeight="1" x14ac:dyDescent="0.2">
      <c r="A807" s="31"/>
    </row>
    <row r="808" spans="1:1" ht="14.25" customHeight="1" x14ac:dyDescent="0.2">
      <c r="A808" s="31"/>
    </row>
    <row r="809" spans="1:1" ht="14.25" customHeight="1" x14ac:dyDescent="0.2">
      <c r="A809" s="31"/>
    </row>
    <row r="810" spans="1:1" ht="14.25" customHeight="1" x14ac:dyDescent="0.2">
      <c r="A810" s="31"/>
    </row>
    <row r="811" spans="1:1" ht="14.25" customHeight="1" x14ac:dyDescent="0.2">
      <c r="A811" s="31"/>
    </row>
    <row r="812" spans="1:1" ht="14.25" customHeight="1" x14ac:dyDescent="0.2">
      <c r="A812" s="31"/>
    </row>
    <row r="813" spans="1:1" ht="14.25" customHeight="1" x14ac:dyDescent="0.2">
      <c r="A813" s="31"/>
    </row>
    <row r="814" spans="1:1" ht="14.25" customHeight="1" x14ac:dyDescent="0.2">
      <c r="A814" s="31"/>
    </row>
    <row r="815" spans="1:1" ht="14.25" customHeight="1" x14ac:dyDescent="0.2">
      <c r="A815" s="31"/>
    </row>
    <row r="816" spans="1:1" ht="14.25" customHeight="1" x14ac:dyDescent="0.2">
      <c r="A816" s="31"/>
    </row>
    <row r="817" spans="1:1" ht="14.25" customHeight="1" x14ac:dyDescent="0.2">
      <c r="A817" s="31"/>
    </row>
    <row r="818" spans="1:1" ht="14.25" customHeight="1" x14ac:dyDescent="0.2">
      <c r="A818" s="31"/>
    </row>
    <row r="819" spans="1:1" ht="14.25" customHeight="1" x14ac:dyDescent="0.2">
      <c r="A819" s="31"/>
    </row>
    <row r="820" spans="1:1" ht="14.25" customHeight="1" x14ac:dyDescent="0.2">
      <c r="A820" s="31"/>
    </row>
    <row r="821" spans="1:1" ht="14.25" customHeight="1" x14ac:dyDescent="0.2">
      <c r="A821" s="31"/>
    </row>
    <row r="822" spans="1:1" ht="14.25" customHeight="1" x14ac:dyDescent="0.2">
      <c r="A822" s="31"/>
    </row>
    <row r="823" spans="1:1" ht="14.25" customHeight="1" x14ac:dyDescent="0.2">
      <c r="A823" s="31"/>
    </row>
    <row r="824" spans="1:1" ht="14.25" customHeight="1" x14ac:dyDescent="0.2">
      <c r="A824" s="31"/>
    </row>
    <row r="825" spans="1:1" ht="14.25" customHeight="1" x14ac:dyDescent="0.2">
      <c r="A825" s="31"/>
    </row>
    <row r="826" spans="1:1" ht="14.25" customHeight="1" x14ac:dyDescent="0.2">
      <c r="A826" s="31"/>
    </row>
    <row r="827" spans="1:1" ht="14.25" customHeight="1" x14ac:dyDescent="0.2">
      <c r="A827" s="31"/>
    </row>
    <row r="828" spans="1:1" ht="14.25" customHeight="1" x14ac:dyDescent="0.2">
      <c r="A828" s="31"/>
    </row>
    <row r="829" spans="1:1" ht="14.25" customHeight="1" x14ac:dyDescent="0.2">
      <c r="A829" s="31"/>
    </row>
    <row r="830" spans="1:1" ht="14.25" customHeight="1" x14ac:dyDescent="0.2">
      <c r="A830" s="31"/>
    </row>
    <row r="831" spans="1:1" ht="14.25" customHeight="1" x14ac:dyDescent="0.2">
      <c r="A831" s="31"/>
    </row>
    <row r="832" spans="1:1" ht="14.25" customHeight="1" x14ac:dyDescent="0.2">
      <c r="A832" s="31"/>
    </row>
    <row r="833" spans="1:1" ht="14.25" customHeight="1" x14ac:dyDescent="0.2">
      <c r="A833" s="31"/>
    </row>
    <row r="834" spans="1:1" ht="14.25" customHeight="1" x14ac:dyDescent="0.2">
      <c r="A834" s="31"/>
    </row>
    <row r="835" spans="1:1" ht="14.25" customHeight="1" x14ac:dyDescent="0.2">
      <c r="A835" s="31"/>
    </row>
    <row r="836" spans="1:1" ht="14.25" customHeight="1" x14ac:dyDescent="0.2">
      <c r="A836" s="31"/>
    </row>
    <row r="837" spans="1:1" ht="14.25" customHeight="1" x14ac:dyDescent="0.2">
      <c r="A837" s="31"/>
    </row>
    <row r="838" spans="1:1" ht="14.25" customHeight="1" x14ac:dyDescent="0.2">
      <c r="A838" s="31"/>
    </row>
    <row r="839" spans="1:1" ht="14.25" customHeight="1" x14ac:dyDescent="0.2">
      <c r="A839" s="31"/>
    </row>
    <row r="840" spans="1:1" ht="14.25" customHeight="1" x14ac:dyDescent="0.2">
      <c r="A840" s="31"/>
    </row>
    <row r="841" spans="1:1" ht="14.25" customHeight="1" x14ac:dyDescent="0.2">
      <c r="A841" s="31"/>
    </row>
    <row r="842" spans="1:1" ht="14.25" customHeight="1" x14ac:dyDescent="0.2">
      <c r="A842" s="31"/>
    </row>
    <row r="843" spans="1:1" ht="14.25" customHeight="1" x14ac:dyDescent="0.2">
      <c r="A843" s="31"/>
    </row>
    <row r="844" spans="1:1" ht="14.25" customHeight="1" x14ac:dyDescent="0.2">
      <c r="A844" s="31"/>
    </row>
    <row r="845" spans="1:1" ht="14.25" customHeight="1" x14ac:dyDescent="0.2">
      <c r="A845" s="31"/>
    </row>
    <row r="846" spans="1:1" ht="14.25" customHeight="1" x14ac:dyDescent="0.2">
      <c r="A846" s="31"/>
    </row>
    <row r="847" spans="1:1" ht="14.25" customHeight="1" x14ac:dyDescent="0.2">
      <c r="A847" s="31"/>
    </row>
    <row r="848" spans="1:1" ht="14.25" customHeight="1" x14ac:dyDescent="0.2">
      <c r="A848" s="31"/>
    </row>
    <row r="849" spans="1:1" ht="14.25" customHeight="1" x14ac:dyDescent="0.2">
      <c r="A849" s="31"/>
    </row>
    <row r="850" spans="1:1" ht="14.25" customHeight="1" x14ac:dyDescent="0.2">
      <c r="A850" s="31"/>
    </row>
    <row r="851" spans="1:1" ht="14.25" customHeight="1" x14ac:dyDescent="0.2">
      <c r="A851" s="31"/>
    </row>
    <row r="852" spans="1:1" ht="14.25" customHeight="1" x14ac:dyDescent="0.2">
      <c r="A852" s="31"/>
    </row>
    <row r="853" spans="1:1" ht="14.25" customHeight="1" x14ac:dyDescent="0.2">
      <c r="A853" s="31"/>
    </row>
    <row r="854" spans="1:1" ht="14.25" customHeight="1" x14ac:dyDescent="0.2">
      <c r="A854" s="31"/>
    </row>
    <row r="855" spans="1:1" ht="14.25" customHeight="1" x14ac:dyDescent="0.2">
      <c r="A855" s="31"/>
    </row>
    <row r="856" spans="1:1" ht="14.25" customHeight="1" x14ac:dyDescent="0.2">
      <c r="A856" s="31"/>
    </row>
    <row r="857" spans="1:1" ht="14.25" customHeight="1" x14ac:dyDescent="0.2">
      <c r="A857" s="31"/>
    </row>
    <row r="858" spans="1:1" ht="14.25" customHeight="1" x14ac:dyDescent="0.2">
      <c r="A858" s="31"/>
    </row>
    <row r="859" spans="1:1" ht="14.25" customHeight="1" x14ac:dyDescent="0.2">
      <c r="A859" s="31"/>
    </row>
    <row r="860" spans="1:1" ht="14.25" customHeight="1" x14ac:dyDescent="0.2">
      <c r="A860" s="31"/>
    </row>
    <row r="861" spans="1:1" ht="14.25" customHeight="1" x14ac:dyDescent="0.2">
      <c r="A861" s="31"/>
    </row>
    <row r="862" spans="1:1" ht="14.25" customHeight="1" x14ac:dyDescent="0.2">
      <c r="A862" s="31"/>
    </row>
    <row r="863" spans="1:1" ht="14.25" customHeight="1" x14ac:dyDescent="0.2">
      <c r="A863" s="31"/>
    </row>
    <row r="864" spans="1:1" ht="14.25" customHeight="1" x14ac:dyDescent="0.2">
      <c r="A864" s="31"/>
    </row>
    <row r="865" spans="1:1" ht="14.25" customHeight="1" x14ac:dyDescent="0.2">
      <c r="A865" s="31"/>
    </row>
    <row r="866" spans="1:1" ht="14.25" customHeight="1" x14ac:dyDescent="0.2">
      <c r="A866" s="31"/>
    </row>
    <row r="867" spans="1:1" ht="14.25" customHeight="1" x14ac:dyDescent="0.2">
      <c r="A867" s="31"/>
    </row>
    <row r="868" spans="1:1" ht="14.25" customHeight="1" x14ac:dyDescent="0.2">
      <c r="A868" s="31"/>
    </row>
    <row r="869" spans="1:1" ht="14.25" customHeight="1" x14ac:dyDescent="0.2">
      <c r="A869" s="31"/>
    </row>
    <row r="870" spans="1:1" ht="14.25" customHeight="1" x14ac:dyDescent="0.2">
      <c r="A870" s="31"/>
    </row>
    <row r="871" spans="1:1" ht="14.25" customHeight="1" x14ac:dyDescent="0.2">
      <c r="A871" s="31"/>
    </row>
    <row r="872" spans="1:1" ht="14.25" customHeight="1" x14ac:dyDescent="0.2">
      <c r="A872" s="31"/>
    </row>
    <row r="873" spans="1:1" ht="14.25" customHeight="1" x14ac:dyDescent="0.2">
      <c r="A873" s="31"/>
    </row>
    <row r="874" spans="1:1" ht="14.25" customHeight="1" x14ac:dyDescent="0.2">
      <c r="A874" s="31"/>
    </row>
    <row r="875" spans="1:1" ht="14.25" customHeight="1" x14ac:dyDescent="0.2">
      <c r="A875" s="31"/>
    </row>
    <row r="876" spans="1:1" ht="14.25" customHeight="1" x14ac:dyDescent="0.2">
      <c r="A876" s="31"/>
    </row>
    <row r="877" spans="1:1" ht="14.25" customHeight="1" x14ac:dyDescent="0.2">
      <c r="A877" s="31"/>
    </row>
    <row r="878" spans="1:1" ht="14.25" customHeight="1" x14ac:dyDescent="0.2">
      <c r="A878" s="31"/>
    </row>
    <row r="879" spans="1:1" ht="14.25" customHeight="1" x14ac:dyDescent="0.2">
      <c r="A879" s="31"/>
    </row>
    <row r="880" spans="1:1" ht="14.25" customHeight="1" x14ac:dyDescent="0.2">
      <c r="A880" s="31"/>
    </row>
    <row r="881" spans="1:1" ht="14.25" customHeight="1" x14ac:dyDescent="0.2">
      <c r="A881" s="31"/>
    </row>
    <row r="882" spans="1:1" ht="14.25" customHeight="1" x14ac:dyDescent="0.2">
      <c r="A882" s="31"/>
    </row>
    <row r="883" spans="1:1" ht="14.25" customHeight="1" x14ac:dyDescent="0.2">
      <c r="A883" s="31"/>
    </row>
    <row r="884" spans="1:1" ht="14.25" customHeight="1" x14ac:dyDescent="0.2">
      <c r="A884" s="31"/>
    </row>
    <row r="885" spans="1:1" ht="14.25" customHeight="1" x14ac:dyDescent="0.2">
      <c r="A885" s="31"/>
    </row>
    <row r="886" spans="1:1" ht="14.25" customHeight="1" x14ac:dyDescent="0.2">
      <c r="A886" s="31"/>
    </row>
    <row r="887" spans="1:1" ht="14.25" customHeight="1" x14ac:dyDescent="0.2">
      <c r="A887" s="31"/>
    </row>
    <row r="888" spans="1:1" ht="14.25" customHeight="1" x14ac:dyDescent="0.2">
      <c r="A888" s="31"/>
    </row>
    <row r="889" spans="1:1" ht="14.25" customHeight="1" x14ac:dyDescent="0.2">
      <c r="A889" s="31"/>
    </row>
    <row r="890" spans="1:1" ht="14.25" customHeight="1" x14ac:dyDescent="0.2">
      <c r="A890" s="31"/>
    </row>
    <row r="891" spans="1:1" ht="14.25" customHeight="1" x14ac:dyDescent="0.2">
      <c r="A891" s="31"/>
    </row>
    <row r="892" spans="1:1" ht="14.25" customHeight="1" x14ac:dyDescent="0.2">
      <c r="A892" s="31"/>
    </row>
    <row r="893" spans="1:1" ht="14.25" customHeight="1" x14ac:dyDescent="0.2">
      <c r="A893" s="31"/>
    </row>
    <row r="894" spans="1:1" ht="14.25" customHeight="1" x14ac:dyDescent="0.2">
      <c r="A894" s="31"/>
    </row>
    <row r="895" spans="1:1" ht="14.25" customHeight="1" x14ac:dyDescent="0.2">
      <c r="A895" s="31"/>
    </row>
    <row r="896" spans="1:1" ht="14.25" customHeight="1" x14ac:dyDescent="0.2">
      <c r="A896" s="31"/>
    </row>
    <row r="897" spans="1:1" ht="14.25" customHeight="1" x14ac:dyDescent="0.2">
      <c r="A897" s="31"/>
    </row>
    <row r="898" spans="1:1" ht="14.25" customHeight="1" x14ac:dyDescent="0.2">
      <c r="A898" s="31"/>
    </row>
    <row r="899" spans="1:1" ht="14.25" customHeight="1" x14ac:dyDescent="0.2">
      <c r="A899" s="31"/>
    </row>
    <row r="900" spans="1:1" ht="14.25" customHeight="1" x14ac:dyDescent="0.2">
      <c r="A900" s="31"/>
    </row>
    <row r="901" spans="1:1" ht="14.25" customHeight="1" x14ac:dyDescent="0.2">
      <c r="A901" s="31"/>
    </row>
    <row r="902" spans="1:1" ht="14.25" customHeight="1" x14ac:dyDescent="0.2">
      <c r="A902" s="31"/>
    </row>
    <row r="903" spans="1:1" ht="14.25" customHeight="1" x14ac:dyDescent="0.2">
      <c r="A903" s="31"/>
    </row>
    <row r="904" spans="1:1" ht="14.25" customHeight="1" x14ac:dyDescent="0.2">
      <c r="A904" s="31"/>
    </row>
    <row r="905" spans="1:1" ht="14.25" customHeight="1" x14ac:dyDescent="0.2">
      <c r="A905" s="31"/>
    </row>
    <row r="906" spans="1:1" ht="14.25" customHeight="1" x14ac:dyDescent="0.2">
      <c r="A906" s="31"/>
    </row>
    <row r="907" spans="1:1" ht="14.25" customHeight="1" x14ac:dyDescent="0.2">
      <c r="A907" s="31"/>
    </row>
    <row r="908" spans="1:1" ht="14.25" customHeight="1" x14ac:dyDescent="0.2">
      <c r="A908" s="31"/>
    </row>
    <row r="909" spans="1:1" ht="14.25" customHeight="1" x14ac:dyDescent="0.2">
      <c r="A909" s="31"/>
    </row>
    <row r="910" spans="1:1" ht="14.25" customHeight="1" x14ac:dyDescent="0.2">
      <c r="A910" s="31"/>
    </row>
    <row r="911" spans="1:1" ht="14.25" customHeight="1" x14ac:dyDescent="0.2">
      <c r="A911" s="31"/>
    </row>
    <row r="912" spans="1:1" ht="14.25" customHeight="1" x14ac:dyDescent="0.2">
      <c r="A912" s="31"/>
    </row>
    <row r="913" spans="1:1" ht="14.25" customHeight="1" x14ac:dyDescent="0.2">
      <c r="A913" s="31"/>
    </row>
    <row r="914" spans="1:1" ht="14.25" customHeight="1" x14ac:dyDescent="0.2">
      <c r="A914" s="31"/>
    </row>
    <row r="915" spans="1:1" ht="14.25" customHeight="1" x14ac:dyDescent="0.2">
      <c r="A915" s="31"/>
    </row>
    <row r="916" spans="1:1" ht="14.25" customHeight="1" x14ac:dyDescent="0.2">
      <c r="A916" s="31"/>
    </row>
    <row r="917" spans="1:1" ht="14.25" customHeight="1" x14ac:dyDescent="0.2">
      <c r="A917" s="31"/>
    </row>
    <row r="918" spans="1:1" ht="14.25" customHeight="1" x14ac:dyDescent="0.2">
      <c r="A918" s="31"/>
    </row>
    <row r="919" spans="1:1" ht="14.25" customHeight="1" x14ac:dyDescent="0.2">
      <c r="A919" s="31"/>
    </row>
    <row r="920" spans="1:1" ht="14.25" customHeight="1" x14ac:dyDescent="0.2">
      <c r="A920" s="31"/>
    </row>
    <row r="921" spans="1:1" ht="14.25" customHeight="1" x14ac:dyDescent="0.2">
      <c r="A921" s="31"/>
    </row>
    <row r="922" spans="1:1" ht="14.25" customHeight="1" x14ac:dyDescent="0.2">
      <c r="A922" s="31"/>
    </row>
    <row r="923" spans="1:1" ht="14.25" customHeight="1" x14ac:dyDescent="0.2">
      <c r="A923" s="31"/>
    </row>
    <row r="924" spans="1:1" ht="14.25" customHeight="1" x14ac:dyDescent="0.2">
      <c r="A924" s="31"/>
    </row>
    <row r="925" spans="1:1" ht="14.25" customHeight="1" x14ac:dyDescent="0.2">
      <c r="A925" s="31"/>
    </row>
    <row r="926" spans="1:1" ht="14.25" customHeight="1" x14ac:dyDescent="0.2">
      <c r="A926" s="31"/>
    </row>
    <row r="927" spans="1:1" ht="14.25" customHeight="1" x14ac:dyDescent="0.2">
      <c r="A927" s="31"/>
    </row>
    <row r="928" spans="1:1" ht="14.25" customHeight="1" x14ac:dyDescent="0.2">
      <c r="A928" s="31"/>
    </row>
    <row r="929" spans="1:1" ht="14.25" customHeight="1" x14ac:dyDescent="0.2">
      <c r="A929" s="31"/>
    </row>
    <row r="930" spans="1:1" ht="14.25" customHeight="1" x14ac:dyDescent="0.2">
      <c r="A930" s="31"/>
    </row>
    <row r="931" spans="1:1" ht="14.25" customHeight="1" x14ac:dyDescent="0.2">
      <c r="A931" s="31"/>
    </row>
    <row r="932" spans="1:1" ht="14.25" customHeight="1" x14ac:dyDescent="0.2">
      <c r="A932" s="31"/>
    </row>
    <row r="933" spans="1:1" ht="14.25" customHeight="1" x14ac:dyDescent="0.2">
      <c r="A933" s="31"/>
    </row>
    <row r="934" spans="1:1" ht="14.25" customHeight="1" x14ac:dyDescent="0.2">
      <c r="A934" s="31"/>
    </row>
    <row r="935" spans="1:1" ht="14.25" customHeight="1" x14ac:dyDescent="0.2">
      <c r="A935" s="31"/>
    </row>
    <row r="936" spans="1:1" ht="14.25" customHeight="1" x14ac:dyDescent="0.2">
      <c r="A936" s="31"/>
    </row>
    <row r="937" spans="1:1" ht="14.25" customHeight="1" x14ac:dyDescent="0.2">
      <c r="A937" s="31"/>
    </row>
    <row r="938" spans="1:1" ht="14.25" customHeight="1" x14ac:dyDescent="0.2">
      <c r="A938" s="31"/>
    </row>
    <row r="939" spans="1:1" ht="14.25" customHeight="1" x14ac:dyDescent="0.2">
      <c r="A939" s="31"/>
    </row>
    <row r="940" spans="1:1" ht="14.25" customHeight="1" x14ac:dyDescent="0.2">
      <c r="A940" s="31"/>
    </row>
    <row r="941" spans="1:1" ht="14.25" customHeight="1" x14ac:dyDescent="0.2">
      <c r="A941" s="31"/>
    </row>
  </sheetData>
  <autoFilter ref="A20:I408"/>
  <mergeCells count="31">
    <mergeCell ref="A12:C12"/>
    <mergeCell ref="A13:C14"/>
    <mergeCell ref="F12:G12"/>
    <mergeCell ref="A1:H2"/>
    <mergeCell ref="A4:E5"/>
    <mergeCell ref="A6:E8"/>
    <mergeCell ref="A9:B9"/>
    <mergeCell ref="B10:C10"/>
    <mergeCell ref="F13:H14"/>
    <mergeCell ref="A17:D18"/>
    <mergeCell ref="F17:H18"/>
    <mergeCell ref="D412:E412"/>
    <mergeCell ref="D413:E413"/>
    <mergeCell ref="F408:G408"/>
    <mergeCell ref="A408:C408"/>
    <mergeCell ref="A138:C138"/>
    <mergeCell ref="F138:G138"/>
    <mergeCell ref="A142:C143"/>
    <mergeCell ref="F142:H143"/>
    <mergeCell ref="A146:D147"/>
    <mergeCell ref="F146:H147"/>
    <mergeCell ref="H410:J411"/>
    <mergeCell ref="H412:I412"/>
    <mergeCell ref="H413:I413"/>
    <mergeCell ref="H414:I414"/>
    <mergeCell ref="H415:I415"/>
    <mergeCell ref="A365:C365"/>
    <mergeCell ref="F365:G365"/>
    <mergeCell ref="D414:E414"/>
    <mergeCell ref="D410:F411"/>
    <mergeCell ref="D415:E415"/>
  </mergeCells>
  <pageMargins left="0.68500000000000005" right="0" top="0.25" bottom="0.25" header="0" footer="0"/>
  <pageSetup scale="92" orientation="portrait" r:id="rId1"/>
  <headerFooter>
    <oddHeader>&amp;C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Customer </vt:lpstr>
      <vt:lpstr>'Customer 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 Exports</dc:creator>
  <cp:lastModifiedBy>Mewad Trading</cp:lastModifiedBy>
  <cp:lastPrinted>2026-04-18T09:16:22Z</cp:lastPrinted>
  <dcterms:created xsi:type="dcterms:W3CDTF">2022-11-06T06:53:44Z</dcterms:created>
  <dcterms:modified xsi:type="dcterms:W3CDTF">2026-08-03T04:25:26Z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
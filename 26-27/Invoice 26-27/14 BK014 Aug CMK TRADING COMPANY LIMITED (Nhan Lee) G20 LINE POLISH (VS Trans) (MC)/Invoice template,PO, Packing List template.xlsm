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4 BK014 Aug CMK TRADING COMPANY LIMITED (Nhan Lee) G20 LINE POLISH (VS Trans) (MC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Invoice!$A$1:$J$43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C37" i="4" l="1"/>
  <c r="I31" i="4"/>
  <c r="B30" i="4"/>
  <c r="D30" i="4"/>
  <c r="I30" i="4"/>
  <c r="I29" i="6"/>
  <c r="I28" i="6"/>
  <c r="H10" i="6"/>
  <c r="O21" i="5"/>
  <c r="B29" i="6"/>
  <c r="H28" i="6" l="1"/>
  <c r="X21" i="5" l="1"/>
  <c r="O25" i="5" l="1"/>
  <c r="O27" i="5" s="1"/>
  <c r="B29" i="4" l="1"/>
  <c r="C31" i="6"/>
  <c r="A31" i="6"/>
  <c r="A34" i="4" s="1"/>
  <c r="I29" i="4"/>
  <c r="B28" i="6"/>
  <c r="D29" i="4" s="1"/>
  <c r="H25" i="6"/>
  <c r="D26" i="4" s="1"/>
  <c r="E25" i="6"/>
  <c r="A26" i="4" s="1"/>
  <c r="C25" i="6"/>
  <c r="D24" i="4" s="1"/>
  <c r="H22" i="6"/>
  <c r="I20" i="4" s="1"/>
  <c r="C22" i="6"/>
  <c r="D22" i="4" s="1"/>
  <c r="A15" i="6"/>
  <c r="A15" i="4" s="1"/>
  <c r="H12" i="6"/>
  <c r="E12" i="6"/>
  <c r="A12" i="6"/>
  <c r="E10" i="6"/>
  <c r="H6" i="6"/>
  <c r="H4" i="6"/>
  <c r="I3" i="4" s="1"/>
  <c r="A38" i="6"/>
  <c r="B5" i="2" l="1"/>
  <c r="B3" i="2" l="1"/>
  <c r="E4" i="6" s="1"/>
  <c r="G3" i="4" s="1"/>
  <c r="Q19" i="5" l="1"/>
  <c r="C9" i="5" l="1"/>
  <c r="Q20" i="5" l="1"/>
  <c r="Q21" i="5" s="1"/>
  <c r="Q23" i="5" l="1"/>
  <c r="J19" i="5" l="1"/>
  <c r="J20" i="5" s="1"/>
  <c r="C34" i="4" l="1"/>
  <c r="A12" i="4"/>
  <c r="G5" i="4" l="1"/>
  <c r="C37" i="5"/>
  <c r="C36" i="4"/>
  <c r="G26" i="4"/>
  <c r="G22" i="4"/>
  <c r="J21" i="5" l="1"/>
  <c r="J23" i="5" s="1"/>
</calcChain>
</file>

<file path=xl/sharedStrings.xml><?xml version="1.0" encoding="utf-8"?>
<sst xmlns="http://schemas.openxmlformats.org/spreadsheetml/2006/main" count="208" uniqueCount="167">
  <si>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</si>
  <si>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</si>
  <si>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</si>
  <si>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</si>
  <si>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</si>
  <si>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</si>
  <si>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</si>
  <si>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</si>
  <si>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</si>
  <si>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</si>
  <si>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</si>
  <si>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</si>
  <si>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</si>
  <si>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</si>
  <si>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</si>
  <si>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</si>
  <si>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</si>
  <si>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</si>
  <si>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</si>
  <si>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</si>
  <si>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</si>
  <si>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</si>
  <si>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</si>
  <si>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</si>
  <si>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</si>
  <si>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</si>
  <si>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</si>
  <si>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</si>
  <si>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</si>
  <si>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</si>
  <si>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</si>
  <si>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</si>
  <si>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</si>
  <si>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</si>
  <si>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</si>
  <si>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</si>
  <si>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</si>
  <si>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</si>
  <si>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</si>
  <si>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</si>
  <si>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</si>
  <si>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</si>
  <si>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</si>
  <si>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</si>
  <si>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</si>
  <si>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</si>
  <si>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</si>
  <si>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</si>
  <si>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</si>
  <si>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</si>
  <si>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</si>
  <si>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</si>
  <si>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</si>
  <si>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</si>
  <si>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</si>
  <si>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</si>
  <si>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</si>
  <si>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</si>
  <si>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</si>
  <si>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</si>
  <si>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</si>
  <si>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</si>
  <si>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</si>
  <si>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</si>
  <si>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</si>
  <si>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</si>
  <si>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</si>
  <si>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</si>
  <si>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</si>
  <si>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</si>
  <si>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</si>
  <si>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</si>
  <si>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</si>
  <si>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</si>
  <si>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</si>
  <si>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</si>
  <si>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</si>
  <si>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</si>
  <si>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</si>
  <si>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</si>
  <si>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</si>
  <si>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</si>
  <si>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</si>
  <si>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</si>
  <si>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</si>
  <si>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</si>
  <si>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</si>
  <si>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</si>
  <si>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</si>
  <si>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</si>
  <si>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</si>
  <si>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</si>
  <si>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</si>
  <si>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</si>
  <si>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</si>
  <si>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</si>
  <si>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</si>
  <si>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</si>
  <si>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</si>
  <si>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</si>
  <si>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</si>
  <si>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</si>
  <si>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</si>
  <si>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 xml:space="preserve">PACKING TYPE : 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</si>
  <si>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</si>
  <si>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</si>
  <si>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</si>
  <si>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</si>
  <si>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</si>
  <si>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</si>
  <si>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</si>
  <si>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</si>
  <si>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</si>
  <si>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</si>
  <si>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</si>
  <si>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</si>
  <si>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</si>
  <si>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</si>
  <si>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</si>
  <si>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</si>
  <si>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</si>
  <si>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</si>
  <si>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</si>
  <si>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</si>
  <si>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</si>
  <si>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</si>
  <si>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</si>
  <si>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</si>
  <si>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</si>
  <si>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</si>
  <si>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</si>
  <si>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</si>
  <si>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</si>
  <si>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</si>
  <si>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</si>
  <si>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</si>
  <si>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</si>
  <si>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</si>
  <si>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</si>
  <si>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</si>
  <si>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</si>
  <si>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</si>
  <si>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</si>
  <si>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</si>
  <si>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</si>
  <si>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</si>
  <si>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</si>
  <si>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</si>
  <si>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</si>
  <si>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</si>
  <si>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</si>
  <si>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</si>
  <si>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LONG</t>
  </si>
  <si>
    <t>GST 0.1%</t>
  </si>
  <si>
    <t xml:space="preserve">TAX INVOICE </t>
  </si>
  <si>
    <t>27500 KGS</t>
  </si>
  <si>
    <t>CHENNAI</t>
  </si>
  <si>
    <t>CAT LAI</t>
  </si>
  <si>
    <t>28000 KGS</t>
  </si>
  <si>
    <t xml:space="preserve">CMK TRADING COMPANY LIMITED
ADD: No 60 street 64-TML, Quarter 4, Cat Lai Ward, 
Ho Chi Minh city, Vietnam
TAX ID : 0317762127
PHONE : +84 974778685
EMAIL : cmktrading.coltd@gmail.com
</t>
  </si>
  <si>
    <t>GAJANANA GRANITES</t>
  </si>
  <si>
    <t>SY NO .241/A2, BOMMAVARI PALLI VILLAGE, RAMANAIDUPALLI POST, G.D. NELLORE MANDAL, CHITHOOR (DIST), A.P.
GST NO : 37AARFG0922C1ZL</t>
  </si>
  <si>
    <t>14</t>
  </si>
  <si>
    <t>TIIU2572308</t>
  </si>
  <si>
    <t>PO 014/26-27</t>
  </si>
  <si>
    <t>SHORT</t>
  </si>
  <si>
    <t>QUANTITY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</si>
</sst>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8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0" fillId="0" borderId="0" xfId="0" applyFont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2" xfId="0" applyFont="1" applyBorder="1" applyAlignment="1">
      <alignment horizontal="left"/>
    </xf>
    <xf numFmtId="0" fontId="8" fillId="0" borderId="45" xfId="0" applyFont="1" applyBorder="1"/>
    <xf numFmtId="0" fontId="6" fillId="0" borderId="43" xfId="0" applyFont="1" applyBorder="1" applyAlignment="1">
      <alignment horizontal="left" wrapText="1"/>
    </xf>
    <xf numFmtId="0" fontId="0" fillId="0" borderId="16" xfId="0" applyFont="1" applyBorder="1" applyAlignment="1"/>
    <xf numFmtId="0" fontId="8" fillId="0" borderId="17" xfId="0" applyFont="1" applyBorder="1"/>
    <xf numFmtId="0" fontId="8" fillId="0" borderId="43" xfId="0" applyFont="1" applyBorder="1"/>
    <xf numFmtId="0" fontId="15" fillId="0" borderId="43" xfId="0" applyFont="1" applyBorder="1" applyAlignment="1">
      <alignment horizontal="left" vertical="top" wrapText="1"/>
    </xf>
    <xf numFmtId="0" fontId="8" fillId="0" borderId="38" xfId="0" applyFont="1" applyBorder="1"/>
    <xf numFmtId="0" fontId="8" fillId="0" borderId="39" xfId="0" applyFont="1" applyBorder="1"/>
    <xf numFmtId="0" fontId="8" fillId="0" borderId="49" xfId="0" applyFont="1" applyBorder="1"/>
    <xf numFmtId="0" fontId="6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8" fillId="0" borderId="15" xfId="0" applyFont="1" applyBorder="1"/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4" fillId="0" borderId="2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8" fillId="0" borderId="20" xfId="0" applyFont="1" applyBorder="1"/>
    <xf numFmtId="0" fontId="8" fillId="0" borderId="44" xfId="0" applyFont="1" applyBorder="1"/>
    <xf numFmtId="0" fontId="6" fillId="0" borderId="51" xfId="0" applyFont="1" applyBorder="1" applyAlignment="1">
      <alignment horizontal="center"/>
    </xf>
    <xf numFmtId="0" fontId="8" fillId="0" borderId="19" xfId="0" applyFont="1" applyBorder="1"/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8" fillId="0" borderId="18" xfId="0" applyFont="1" applyBorder="1"/>
    <xf numFmtId="0" fontId="4" fillId="0" borderId="16" xfId="0" applyFont="1" applyBorder="1" applyAlignment="1">
      <alignment horizontal="center" vertical="center" wrapText="1"/>
    </xf>
    <xf numFmtId="0" fontId="8" fillId="0" borderId="46" xfId="0" applyFont="1" applyBorder="1"/>
    <xf numFmtId="0" fontId="4" fillId="0" borderId="2" xfId="0" applyFont="1" applyBorder="1" applyAlignment="1">
      <alignment horizontal="center" vertical="center" wrapText="1"/>
    </xf>
    <xf numFmtId="0" fontId="8" fillId="0" borderId="50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8" fillId="0" borderId="16" xfId="0" applyFont="1" applyBorder="1"/>
    <xf numFmtId="0" fontId="4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9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39</xdr:row>
      <xdr:rowOff>66675</xdr:rowOff>
    </xdr:from>
    <xdr:to>
      <xdr:col>8</xdr:col>
      <xdr:colOff>514350</xdr:colOff>
      <xdr:row>42</xdr:row>
      <xdr:rowOff>134452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39</xdr:row>
      <xdr:rowOff>1</xdr:rowOff>
    </xdr:from>
    <xdr:to>
      <xdr:col>9</xdr:col>
      <xdr:colOff>361949</xdr:colOff>
      <xdr:row>41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1" t="s">
        <v>151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137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B26" sqref="B26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151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162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BK014/26-27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46237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138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2" t="s">
        <v>21</v>
      </c>
      <c r="B7" s="104" t="s">
        <v>159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3"/>
      <c r="B8" s="103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3"/>
      <c r="B9" s="103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3"/>
      <c r="B10" s="103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3"/>
      <c r="B11" s="103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3"/>
      <c r="B12" s="103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143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156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156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157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139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163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332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425.27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1"/>
  <sheetViews>
    <sheetView topLeftCell="A4" zoomScaleNormal="100" workbookViewId="0">
      <selection activeCell="H10" sqref="H10:J10"/>
    </sheetView>
  </sheetViews>
  <sheetFormatPr defaultColWidth="14.42578125" defaultRowHeight="15" customHeight="1" x14ac:dyDescent="0.25"/>
  <cols>
    <col min="1" max="1" width="8.7109375" style="82" customWidth="1"/>
    <col min="2" max="2" width="8.28515625" style="82" customWidth="1"/>
    <col min="3" max="3" width="8.7109375" style="82" customWidth="1"/>
    <col min="4" max="4" width="18.28515625" style="82" customWidth="1"/>
    <col min="5" max="5" width="9.7109375" style="82" customWidth="1"/>
    <col min="6" max="6" width="6.5703125" style="82" customWidth="1"/>
    <col min="7" max="7" width="4.7109375" style="82" customWidth="1"/>
    <col min="8" max="8" width="12.5703125" style="82" bestFit="1" customWidth="1"/>
    <col min="9" max="9" width="8.7109375" style="82" customWidth="1"/>
    <col min="10" max="10" width="11.42578125" style="82" customWidth="1"/>
    <col min="11" max="15" width="8.7109375" style="82" customWidth="1"/>
    <col min="16" max="16" width="10.28515625" style="82" bestFit="1" customWidth="1"/>
    <col min="17" max="17" width="8.7109375" style="82" customWidth="1"/>
    <col min="18" max="18" width="14.85546875" style="82" bestFit="1" customWidth="1"/>
    <col min="19" max="26" width="8.7109375" style="82" customWidth="1"/>
    <col min="27" max="16384" width="14.42578125" style="82"/>
  </cols>
  <sheetData>
    <row r="1" spans="1:10" x14ac:dyDescent="0.25">
      <c r="A1" s="169" t="s">
        <v>154</v>
      </c>
      <c r="B1" s="115"/>
      <c r="C1" s="115"/>
      <c r="D1" s="115"/>
      <c r="E1" s="115"/>
      <c r="F1" s="115"/>
      <c r="G1" s="115"/>
      <c r="H1" s="115"/>
      <c r="I1" s="115"/>
      <c r="J1" s="115"/>
    </row>
    <row r="2" spans="1:10" ht="16.5" customHeight="1" thickBot="1" x14ac:dyDescent="0.3">
      <c r="A2" s="159"/>
      <c r="B2" s="159"/>
      <c r="C2" s="159"/>
      <c r="D2" s="159"/>
      <c r="E2" s="159"/>
      <c r="F2" s="159"/>
      <c r="G2" s="159"/>
      <c r="H2" s="159"/>
      <c r="I2" s="159"/>
      <c r="J2" s="159"/>
    </row>
    <row r="3" spans="1:10" x14ac:dyDescent="0.25">
      <c r="A3" s="84" t="s">
        <v>37</v>
      </c>
      <c r="B3" s="85"/>
      <c r="C3" s="85"/>
      <c r="D3" s="86"/>
      <c r="E3" s="170" t="s">
        <v>38</v>
      </c>
      <c r="F3" s="171"/>
      <c r="G3" s="172"/>
      <c r="H3" s="170" t="s">
        <v>39</v>
      </c>
      <c r="I3" s="171"/>
      <c r="J3" s="173"/>
    </row>
    <row r="4" spans="1:10" ht="15.75" thickBot="1" x14ac:dyDescent="0.3">
      <c r="A4" s="87" t="s">
        <v>40</v>
      </c>
      <c r="B4" s="64"/>
      <c r="C4" s="64"/>
      <c r="D4" s="66"/>
      <c r="E4" s="174" t="str">
        <f>'input data'!B3</f>
        <v>BK014/26-27</v>
      </c>
      <c r="F4" s="145"/>
      <c r="G4" s="142"/>
      <c r="H4" s="175">
        <f>'input data'!B4</f>
        <v>46237</v>
      </c>
      <c r="I4" s="176"/>
      <c r="J4" s="177"/>
    </row>
    <row r="5" spans="1:10" x14ac:dyDescent="0.25">
      <c r="A5" s="88" t="s">
        <v>41</v>
      </c>
      <c r="B5" s="64"/>
      <c r="C5" s="64"/>
      <c r="D5" s="66"/>
      <c r="E5" s="140" t="s">
        <v>42</v>
      </c>
      <c r="F5" s="110"/>
      <c r="G5" s="111"/>
      <c r="H5" s="140" t="s">
        <v>43</v>
      </c>
      <c r="I5" s="110"/>
      <c r="J5" s="113"/>
    </row>
    <row r="6" spans="1:10" ht="15.75" thickBot="1" x14ac:dyDescent="0.3">
      <c r="A6" s="88" t="s">
        <v>44</v>
      </c>
      <c r="B6" s="64"/>
      <c r="C6" s="64"/>
      <c r="D6" s="66"/>
      <c r="E6" s="178"/>
      <c r="F6" s="145"/>
      <c r="G6" s="142"/>
      <c r="H6" s="179" t="str">
        <f>'input data'!B5</f>
        <v>AD2403260504856</v>
      </c>
      <c r="I6" s="145"/>
      <c r="J6" s="143"/>
    </row>
    <row r="7" spans="1:10" x14ac:dyDescent="0.25">
      <c r="A7" s="88" t="s">
        <v>45</v>
      </c>
      <c r="B7" s="64"/>
      <c r="C7" s="64"/>
      <c r="D7" s="66"/>
      <c r="E7" s="140" t="s">
        <v>46</v>
      </c>
      <c r="F7" s="110"/>
      <c r="G7" s="111"/>
      <c r="H7" s="140" t="s">
        <v>47</v>
      </c>
      <c r="I7" s="110"/>
      <c r="J7" s="113"/>
    </row>
    <row r="8" spans="1:10" ht="15.75" thickBot="1" x14ac:dyDescent="0.3">
      <c r="A8" s="87" t="s">
        <v>48</v>
      </c>
      <c r="B8" s="64"/>
      <c r="C8" s="64"/>
      <c r="D8" s="66"/>
      <c r="E8" s="178" t="s">
        <v>49</v>
      </c>
      <c r="F8" s="145"/>
      <c r="G8" s="142"/>
      <c r="H8" s="141" t="s">
        <v>50</v>
      </c>
      <c r="I8" s="145"/>
      <c r="J8" s="143"/>
    </row>
    <row r="9" spans="1:10" x14ac:dyDescent="0.25">
      <c r="A9" s="89" t="s">
        <v>51</v>
      </c>
      <c r="B9" s="64"/>
      <c r="C9" s="64"/>
      <c r="D9" s="66"/>
      <c r="E9" s="140" t="s">
        <v>52</v>
      </c>
      <c r="F9" s="110"/>
      <c r="G9" s="111"/>
      <c r="H9" s="140" t="s">
        <v>53</v>
      </c>
      <c r="I9" s="110"/>
      <c r="J9" s="113"/>
    </row>
    <row r="10" spans="1:10" ht="15.75" thickBot="1" x14ac:dyDescent="0.3">
      <c r="A10" s="89" t="s">
        <v>54</v>
      </c>
      <c r="B10" s="64"/>
      <c r="C10" s="64"/>
      <c r="D10" s="66"/>
      <c r="E10" s="163" t="str">
        <f>'input data'!B14</f>
        <v>Loose packing</v>
      </c>
      <c r="F10" s="115"/>
      <c r="G10" s="116"/>
      <c r="H10" s="163" t="str">
        <f>'input data'!B13 &amp; " X " &amp; 'input data'!B15</f>
        <v>1 X FCL</v>
      </c>
      <c r="I10" s="115"/>
      <c r="J10" s="152"/>
    </row>
    <row r="11" spans="1:10" ht="15.75" thickBot="1" x14ac:dyDescent="0.3">
      <c r="A11" s="164" t="s">
        <v>55</v>
      </c>
      <c r="B11" s="110"/>
      <c r="C11" s="110"/>
      <c r="D11" s="111"/>
      <c r="E11" s="165" t="s">
        <v>56</v>
      </c>
      <c r="F11" s="123"/>
      <c r="G11" s="124"/>
      <c r="H11" s="166" t="s">
        <v>57</v>
      </c>
      <c r="I11" s="123"/>
      <c r="J11" s="167"/>
    </row>
    <row r="12" spans="1:10" ht="15" customHeight="1" x14ac:dyDescent="0.25">
      <c r="A12" s="148" t="str">
        <f>'input data'!B6</f>
        <v>To the Order</v>
      </c>
      <c r="B12" s="115"/>
      <c r="C12" s="115"/>
      <c r="D12" s="116"/>
      <c r="E12" s="149" t="str">
        <f>'input data'!B16</f>
        <v>CNF</v>
      </c>
      <c r="F12" s="115"/>
      <c r="G12" s="116"/>
      <c r="H12" s="151" t="str">
        <f>'input data'!B17</f>
        <v>100% Against Documents</v>
      </c>
      <c r="I12" s="115"/>
      <c r="J12" s="152"/>
    </row>
    <row r="13" spans="1:10" ht="15.75" thickBot="1" x14ac:dyDescent="0.3">
      <c r="A13" s="87"/>
      <c r="B13" s="64"/>
      <c r="C13" s="64"/>
      <c r="D13" s="66"/>
      <c r="E13" s="150"/>
      <c r="F13" s="145"/>
      <c r="G13" s="142"/>
      <c r="H13" s="145"/>
      <c r="I13" s="145"/>
      <c r="J13" s="143"/>
    </row>
    <row r="14" spans="1:10" x14ac:dyDescent="0.25">
      <c r="A14" s="90" t="s">
        <v>58</v>
      </c>
      <c r="B14" s="16"/>
      <c r="C14" s="16"/>
      <c r="D14" s="17"/>
      <c r="E14" s="153" t="s">
        <v>150</v>
      </c>
      <c r="F14" s="110"/>
      <c r="G14" s="110"/>
      <c r="H14" s="110"/>
      <c r="I14" s="110"/>
      <c r="J14" s="113"/>
    </row>
    <row r="15" spans="1:10" x14ac:dyDescent="0.25">
      <c r="A15" s="156" t="str">
        <f>'input data'!B7</f>
        <v xml:space="preserve">CMK TRADING COMPANY LIMITED
ADD: No 60 street 64-TML, Quarter 4, Cat Lai Ward, 
Ho Chi Minh city, Vietnam
TAX ID : 0317762127
PHONE : +84 974778685
EMAIL : cmktrading.coltd@gmail.com
</v>
      </c>
      <c r="B15" s="115"/>
      <c r="C15" s="115"/>
      <c r="D15" s="116"/>
      <c r="E15" s="137"/>
      <c r="F15" s="115"/>
      <c r="G15" s="115"/>
      <c r="H15" s="115"/>
      <c r="I15" s="115"/>
      <c r="J15" s="152"/>
    </row>
    <row r="16" spans="1:10" x14ac:dyDescent="0.25">
      <c r="A16" s="117"/>
      <c r="B16" s="115"/>
      <c r="C16" s="115"/>
      <c r="D16" s="116"/>
      <c r="E16" s="137"/>
      <c r="F16" s="115"/>
      <c r="G16" s="115"/>
      <c r="H16" s="115"/>
      <c r="I16" s="115"/>
      <c r="J16" s="152"/>
    </row>
    <row r="17" spans="1:20" x14ac:dyDescent="0.25">
      <c r="A17" s="117"/>
      <c r="B17" s="115"/>
      <c r="C17" s="115"/>
      <c r="D17" s="116"/>
      <c r="E17" s="137"/>
      <c r="F17" s="115"/>
      <c r="G17" s="115"/>
      <c r="H17" s="115"/>
      <c r="I17" s="115"/>
      <c r="J17" s="152"/>
    </row>
    <row r="18" spans="1:20" x14ac:dyDescent="0.25">
      <c r="A18" s="117"/>
      <c r="B18" s="115"/>
      <c r="C18" s="115"/>
      <c r="D18" s="116"/>
      <c r="E18" s="137"/>
      <c r="F18" s="115"/>
      <c r="G18" s="115"/>
      <c r="H18" s="115"/>
      <c r="I18" s="115"/>
      <c r="J18" s="152"/>
    </row>
    <row r="19" spans="1:20" x14ac:dyDescent="0.25">
      <c r="A19" s="117"/>
      <c r="B19" s="115"/>
      <c r="C19" s="115"/>
      <c r="D19" s="116"/>
      <c r="E19" s="137"/>
      <c r="F19" s="115"/>
      <c r="G19" s="115"/>
      <c r="H19" s="115"/>
      <c r="I19" s="115"/>
      <c r="J19" s="152"/>
    </row>
    <row r="20" spans="1:20" ht="48" customHeight="1" thickBot="1" x14ac:dyDescent="0.3">
      <c r="A20" s="119"/>
      <c r="B20" s="120"/>
      <c r="C20" s="120"/>
      <c r="D20" s="121"/>
      <c r="E20" s="154"/>
      <c r="F20" s="120"/>
      <c r="G20" s="120"/>
      <c r="H20" s="120"/>
      <c r="I20" s="120"/>
      <c r="J20" s="155"/>
    </row>
    <row r="21" spans="1:20" ht="15.75" customHeight="1" x14ac:dyDescent="0.25">
      <c r="A21" s="157" t="s">
        <v>59</v>
      </c>
      <c r="B21" s="116"/>
      <c r="C21" s="158" t="s">
        <v>28</v>
      </c>
      <c r="D21" s="116"/>
      <c r="E21" s="158" t="s">
        <v>60</v>
      </c>
      <c r="F21" s="159"/>
      <c r="G21" s="116"/>
      <c r="H21" s="158" t="s">
        <v>32</v>
      </c>
      <c r="I21" s="159"/>
      <c r="J21" s="152"/>
    </row>
    <row r="22" spans="1:20" ht="14.25" customHeight="1" x14ac:dyDescent="0.25">
      <c r="A22" s="157" t="s">
        <v>61</v>
      </c>
      <c r="B22" s="116"/>
      <c r="C22" s="160" t="str">
        <f>'input data'!B19</f>
        <v>CHENNAI</v>
      </c>
      <c r="D22" s="116"/>
      <c r="E22" s="161" t="s">
        <v>62</v>
      </c>
      <c r="F22" s="115"/>
      <c r="G22" s="116"/>
      <c r="H22" s="161" t="str">
        <f>'input data'!B23</f>
        <v>VIETNAM</v>
      </c>
      <c r="I22" s="115"/>
      <c r="J22" s="152"/>
    </row>
    <row r="23" spans="1:20" ht="15" customHeight="1" thickBot="1" x14ac:dyDescent="0.3">
      <c r="A23" s="162"/>
      <c r="B23" s="116"/>
      <c r="C23" s="150"/>
      <c r="D23" s="142"/>
      <c r="E23" s="150"/>
      <c r="F23" s="145"/>
      <c r="G23" s="142"/>
      <c r="H23" s="150"/>
      <c r="I23" s="145"/>
      <c r="J23" s="143"/>
    </row>
    <row r="24" spans="1:20" ht="15.75" customHeight="1" x14ac:dyDescent="0.25">
      <c r="A24" s="146" t="s">
        <v>63</v>
      </c>
      <c r="B24" s="111"/>
      <c r="C24" s="147" t="s">
        <v>29</v>
      </c>
      <c r="D24" s="111"/>
      <c r="E24" s="140" t="s">
        <v>30</v>
      </c>
      <c r="F24" s="110"/>
      <c r="G24" s="111"/>
      <c r="H24" s="147" t="s">
        <v>31</v>
      </c>
      <c r="I24" s="110"/>
      <c r="J24" s="113"/>
    </row>
    <row r="25" spans="1:20" ht="15.75" customHeight="1" thickBot="1" x14ac:dyDescent="0.3">
      <c r="A25" s="144"/>
      <c r="B25" s="142"/>
      <c r="C25" s="141" t="str">
        <f>'input data'!B20</f>
        <v>CHENNAI</v>
      </c>
      <c r="D25" s="142"/>
      <c r="E25" s="141" t="str">
        <f>'input data'!B21</f>
        <v>CAT LAI</v>
      </c>
      <c r="F25" s="145"/>
      <c r="G25" s="142"/>
      <c r="H25" s="141" t="str">
        <f>'input data'!B22</f>
        <v>CAT LAI</v>
      </c>
      <c r="I25" s="145"/>
      <c r="J25" s="143"/>
    </row>
    <row r="26" spans="1:20" ht="15.75" customHeight="1" x14ac:dyDescent="0.25">
      <c r="A26" s="134" t="s">
        <v>64</v>
      </c>
      <c r="B26" s="136" t="s">
        <v>65</v>
      </c>
      <c r="C26" s="110"/>
      <c r="D26" s="111"/>
      <c r="E26" s="138" t="s">
        <v>66</v>
      </c>
      <c r="F26" s="140" t="s">
        <v>67</v>
      </c>
      <c r="G26" s="111"/>
      <c r="H26" s="22" t="s">
        <v>36</v>
      </c>
      <c r="I26" s="140" t="s">
        <v>68</v>
      </c>
      <c r="J26" s="113"/>
    </row>
    <row r="27" spans="1:20" ht="15.75" customHeight="1" thickBot="1" x14ac:dyDescent="0.3">
      <c r="A27" s="135"/>
      <c r="B27" s="137"/>
      <c r="C27" s="115"/>
      <c r="D27" s="116"/>
      <c r="E27" s="139"/>
      <c r="F27" s="141" t="s">
        <v>69</v>
      </c>
      <c r="G27" s="142"/>
      <c r="H27" s="70" t="s">
        <v>69</v>
      </c>
      <c r="I27" s="141" t="s">
        <v>70</v>
      </c>
      <c r="J27" s="143"/>
    </row>
    <row r="28" spans="1:20" ht="15.75" customHeight="1" thickBot="1" x14ac:dyDescent="0.3">
      <c r="A28" s="91">
        <v>1</v>
      </c>
      <c r="B28" s="122" t="str">
        <f>'input data'!B18</f>
        <v>NATURAL POLISHED GRANITE SLABS</v>
      </c>
      <c r="C28" s="123"/>
      <c r="D28" s="124"/>
      <c r="E28" s="25">
        <v>68022390</v>
      </c>
      <c r="F28" s="125">
        <v>216.43</v>
      </c>
      <c r="G28" s="123"/>
      <c r="H28" s="83">
        <f>'input data'!B27</f>
        <v>26.5</v>
      </c>
      <c r="I28" s="126">
        <f>F28*H28</f>
        <v>5735.3950000000004</v>
      </c>
      <c r="J28" s="127"/>
      <c r="O28" s="71"/>
      <c r="P28" s="71"/>
      <c r="Q28" s="71"/>
    </row>
    <row r="29" spans="1:20" s="101" customFormat="1" ht="15.75" customHeight="1" thickBot="1" x14ac:dyDescent="0.3">
      <c r="A29" s="91">
        <v>2</v>
      </c>
      <c r="B29" s="122" t="str">
        <f>'input data'!B18</f>
        <v>NATURAL POLISHED GRANITE SLABS</v>
      </c>
      <c r="C29" s="123"/>
      <c r="D29" s="124"/>
      <c r="E29" s="25">
        <v>68022390</v>
      </c>
      <c r="F29" s="125">
        <v>210.69</v>
      </c>
      <c r="G29" s="123"/>
      <c r="H29" s="83">
        <v>19</v>
      </c>
      <c r="I29" s="126">
        <f>F29*H29</f>
        <v>4003.11</v>
      </c>
      <c r="J29" s="127"/>
      <c r="O29" s="71"/>
      <c r="P29" s="71"/>
      <c r="Q29" s="71"/>
    </row>
    <row r="30" spans="1:20" ht="15.75" customHeight="1" x14ac:dyDescent="0.25">
      <c r="A30" s="87" t="s">
        <v>33</v>
      </c>
      <c r="B30" s="64"/>
      <c r="C30" s="64" t="s">
        <v>34</v>
      </c>
      <c r="D30" s="64" t="s">
        <v>71</v>
      </c>
      <c r="E30" s="64" t="s">
        <v>72</v>
      </c>
      <c r="F30" s="64"/>
      <c r="G30" s="64"/>
      <c r="H30" s="128" t="s">
        <v>142</v>
      </c>
      <c r="I30" s="64"/>
      <c r="J30" s="92"/>
      <c r="S30" s="168"/>
      <c r="T30" s="168"/>
    </row>
    <row r="31" spans="1:20" ht="15.75" customHeight="1" x14ac:dyDescent="0.25">
      <c r="A31" s="130" t="str">
        <f>UPPER('input data'!B24)</f>
        <v>TIIU2572308</v>
      </c>
      <c r="B31" s="115"/>
      <c r="C31" s="93">
        <f>'input data'!B25</f>
        <v>332</v>
      </c>
      <c r="D31" s="64" t="s">
        <v>158</v>
      </c>
      <c r="E31" s="64" t="s">
        <v>155</v>
      </c>
      <c r="F31" s="64"/>
      <c r="G31" s="64"/>
      <c r="H31" s="128"/>
      <c r="I31" s="64"/>
      <c r="J31" s="92"/>
    </row>
    <row r="32" spans="1:20" ht="15.75" customHeight="1" x14ac:dyDescent="0.25">
      <c r="A32" s="87"/>
      <c r="B32" s="64"/>
      <c r="C32" s="64"/>
      <c r="D32" s="64"/>
      <c r="E32" s="64"/>
      <c r="F32" s="64"/>
      <c r="G32" s="64"/>
      <c r="H32" s="128"/>
      <c r="I32" s="64"/>
      <c r="J32" s="92"/>
    </row>
    <row r="33" spans="1:10" ht="15.75" customHeight="1" x14ac:dyDescent="0.25">
      <c r="A33" s="87"/>
      <c r="B33" s="64"/>
      <c r="C33" s="64"/>
      <c r="D33" s="64"/>
      <c r="E33" s="64"/>
      <c r="F33" s="64"/>
      <c r="G33" s="64"/>
      <c r="H33" s="128"/>
      <c r="I33" s="64"/>
      <c r="J33" s="92"/>
    </row>
    <row r="34" spans="1:10" ht="15.75" customHeight="1" x14ac:dyDescent="0.25">
      <c r="A34" s="87"/>
      <c r="B34" s="64"/>
      <c r="C34" s="64"/>
      <c r="D34" s="64"/>
      <c r="E34" s="64"/>
      <c r="F34" s="64"/>
      <c r="G34" s="64"/>
      <c r="H34" s="128"/>
      <c r="I34" s="64"/>
      <c r="J34" s="92"/>
    </row>
    <row r="35" spans="1:10" ht="15.75" customHeight="1" thickBot="1" x14ac:dyDescent="0.3">
      <c r="A35" s="87"/>
      <c r="B35" s="64"/>
      <c r="C35" s="64"/>
      <c r="D35" s="64"/>
      <c r="E35" s="64"/>
      <c r="F35" s="131"/>
      <c r="G35" s="115"/>
      <c r="H35" s="128"/>
      <c r="I35" s="64"/>
      <c r="J35" s="92"/>
    </row>
    <row r="36" spans="1:10" ht="15.75" customHeight="1" thickBot="1" x14ac:dyDescent="0.3">
      <c r="A36" s="94"/>
      <c r="B36" s="65"/>
      <c r="C36" s="65"/>
      <c r="D36" s="65"/>
      <c r="E36" s="65"/>
      <c r="F36" s="65"/>
      <c r="G36" s="65"/>
      <c r="H36" s="129"/>
      <c r="I36" s="132"/>
      <c r="J36" s="133"/>
    </row>
    <row r="37" spans="1:10" ht="15.75" customHeight="1" x14ac:dyDescent="0.25">
      <c r="A37" s="90" t="s">
        <v>73</v>
      </c>
      <c r="B37" s="16"/>
      <c r="C37" s="16"/>
      <c r="D37" s="16"/>
      <c r="E37" s="16"/>
      <c r="F37" s="16"/>
      <c r="G37" s="16"/>
      <c r="H37" s="66"/>
      <c r="I37" s="105">
        <v>9738.51</v>
      </c>
      <c r="J37" s="106"/>
    </row>
    <row r="38" spans="1:10" ht="15.75" customHeight="1" thickBot="1" x14ac:dyDescent="0.3">
      <c r="A38" s="95" t="str">
        <f>SpellNumberUSD(I37)</f>
        <v>Nine Thousand Seven Hundred Thirty Eight Dollars and Fifty One Cents</v>
      </c>
      <c r="B38" s="65"/>
      <c r="C38" s="65"/>
      <c r="D38" s="65"/>
      <c r="E38" s="65"/>
      <c r="F38" s="65"/>
      <c r="G38" s="65"/>
      <c r="H38" s="96"/>
      <c r="I38" s="107"/>
      <c r="J38" s="108"/>
    </row>
    <row r="39" spans="1:10" ht="15.75" customHeight="1" x14ac:dyDescent="0.25">
      <c r="A39" s="109" t="s">
        <v>74</v>
      </c>
      <c r="B39" s="110"/>
      <c r="C39" s="110"/>
      <c r="D39" s="111"/>
      <c r="E39" s="112" t="s">
        <v>75</v>
      </c>
      <c r="F39" s="110"/>
      <c r="G39" s="110"/>
      <c r="H39" s="110"/>
      <c r="I39" s="110"/>
      <c r="J39" s="113"/>
    </row>
    <row r="40" spans="1:10" ht="19.5" customHeight="1" x14ac:dyDescent="0.25">
      <c r="A40" s="114" t="s">
        <v>76</v>
      </c>
      <c r="B40" s="115"/>
      <c r="C40" s="115"/>
      <c r="D40" s="116"/>
      <c r="E40" s="97" t="s">
        <v>77</v>
      </c>
      <c r="F40" s="64"/>
      <c r="G40" s="64"/>
      <c r="H40" s="64"/>
      <c r="I40" s="64"/>
      <c r="J40" s="92"/>
    </row>
    <row r="41" spans="1:10" ht="19.5" customHeight="1" x14ac:dyDescent="0.25">
      <c r="A41" s="117"/>
      <c r="B41" s="115"/>
      <c r="C41" s="115"/>
      <c r="D41" s="116"/>
      <c r="E41" s="97"/>
      <c r="F41" s="64"/>
      <c r="G41" s="64"/>
      <c r="H41" s="64"/>
      <c r="I41" s="64"/>
      <c r="J41" s="92"/>
    </row>
    <row r="42" spans="1:10" ht="15.75" customHeight="1" x14ac:dyDescent="0.25">
      <c r="A42" s="118" t="s">
        <v>78</v>
      </c>
      <c r="B42" s="115"/>
      <c r="C42" s="115"/>
      <c r="D42" s="116"/>
      <c r="E42" s="97"/>
      <c r="F42" s="64"/>
      <c r="G42" s="64"/>
      <c r="H42" s="64"/>
      <c r="I42" s="64"/>
      <c r="J42" s="92"/>
    </row>
    <row r="43" spans="1:10" ht="18.75" customHeight="1" thickBot="1" x14ac:dyDescent="0.3">
      <c r="A43" s="119"/>
      <c r="B43" s="120"/>
      <c r="C43" s="120"/>
      <c r="D43" s="121"/>
      <c r="E43" s="98" t="s">
        <v>79</v>
      </c>
      <c r="F43" s="99"/>
      <c r="G43" s="99"/>
      <c r="H43" s="99"/>
      <c r="I43" s="99"/>
      <c r="J43" s="100"/>
    </row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</sheetData>
  <mergeCells count="65">
    <mergeCell ref="E5:G5"/>
    <mergeCell ref="H5:J5"/>
    <mergeCell ref="S30:T30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A11:D11"/>
    <mergeCell ref="E11:G11"/>
    <mergeCell ref="H11:J11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A12:D12"/>
    <mergeCell ref="E12:G13"/>
    <mergeCell ref="H12:J13"/>
    <mergeCell ref="E14:J20"/>
    <mergeCell ref="A15:D20"/>
    <mergeCell ref="A25:B25"/>
    <mergeCell ref="C25:D25"/>
    <mergeCell ref="E25:G25"/>
    <mergeCell ref="H25:J25"/>
    <mergeCell ref="A24:B24"/>
    <mergeCell ref="C24:D24"/>
    <mergeCell ref="E24:G24"/>
    <mergeCell ref="H24:J24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H30:H36"/>
    <mergeCell ref="A31:B31"/>
    <mergeCell ref="F35:G35"/>
    <mergeCell ref="I36:J36"/>
    <mergeCell ref="B29:D29"/>
    <mergeCell ref="F29:G29"/>
    <mergeCell ref="I29:J29"/>
    <mergeCell ref="I37:J38"/>
    <mergeCell ref="A39:D39"/>
    <mergeCell ref="E39:J39"/>
    <mergeCell ref="A40:D41"/>
    <mergeCell ref="A42:D43"/>
  </mergeCells>
  <conditionalFormatting sqref="A31:B31">
    <cfRule type="containsBlanks" dxfId="1" priority="2">
      <formula>LEN(TRIM(A31))=0</formula>
    </cfRule>
  </conditionalFormatting>
  <conditionalFormatting sqref="C31">
    <cfRule type="containsBlanks" dxfId="0" priority="1">
      <formula>LEN(TRIM(C31))=0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9"/>
  <sheetViews>
    <sheetView tabSelected="1" topLeftCell="A13" workbookViewId="0">
      <selection activeCell="O33" sqref="O33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3" t="s">
        <v>80</v>
      </c>
      <c r="B1" s="103"/>
      <c r="C1" s="103"/>
      <c r="D1" s="103"/>
      <c r="E1" s="103"/>
      <c r="F1" s="103"/>
      <c r="G1" s="103"/>
      <c r="H1" s="103"/>
      <c r="I1" s="103"/>
      <c r="J1" s="103"/>
    </row>
    <row r="2" spans="1:10" x14ac:dyDescent="0.25">
      <c r="A2" s="112" t="s">
        <v>81</v>
      </c>
      <c r="B2" s="110"/>
      <c r="C2" s="110"/>
      <c r="D2" s="110"/>
      <c r="E2" s="110"/>
      <c r="F2" s="111"/>
      <c r="G2" s="140" t="s">
        <v>38</v>
      </c>
      <c r="H2" s="111"/>
      <c r="I2" s="204" t="s">
        <v>39</v>
      </c>
      <c r="J2" s="111"/>
    </row>
    <row r="3" spans="1:10" ht="15.75" x14ac:dyDescent="0.25">
      <c r="A3" s="205" t="s">
        <v>82</v>
      </c>
      <c r="B3" s="103"/>
      <c r="C3" s="103"/>
      <c r="D3" s="103"/>
      <c r="E3" s="103"/>
      <c r="F3" s="182"/>
      <c r="G3" s="206" t="str">
        <f>Invoice!E4</f>
        <v>BK014/26-27</v>
      </c>
      <c r="H3" s="187"/>
      <c r="I3" s="207">
        <f>Invoice!H4</f>
        <v>46237</v>
      </c>
      <c r="J3" s="208"/>
    </row>
    <row r="4" spans="1:10" x14ac:dyDescent="0.25">
      <c r="A4" s="18" t="s">
        <v>83</v>
      </c>
      <c r="B4" s="4"/>
      <c r="C4" s="4"/>
      <c r="D4" s="4"/>
      <c r="E4" s="4"/>
      <c r="F4" s="19"/>
      <c r="G4" s="204" t="s">
        <v>43</v>
      </c>
      <c r="H4" s="110"/>
      <c r="I4" s="110"/>
      <c r="J4" s="111"/>
    </row>
    <row r="5" spans="1:10" x14ac:dyDescent="0.25">
      <c r="A5" s="18" t="s">
        <v>84</v>
      </c>
      <c r="B5" s="4"/>
      <c r="C5" s="4"/>
      <c r="D5" s="4"/>
      <c r="E5" s="4"/>
      <c r="F5" s="19"/>
      <c r="G5" s="197" t="str">
        <f>'input data'!B5</f>
        <v>AD2403260504856</v>
      </c>
      <c r="H5" s="186"/>
      <c r="I5" s="186"/>
      <c r="J5" s="187"/>
    </row>
    <row r="6" spans="1:10" x14ac:dyDescent="0.25">
      <c r="A6" s="209" t="s">
        <v>85</v>
      </c>
      <c r="B6" s="103"/>
      <c r="C6" s="103"/>
      <c r="D6" s="103"/>
      <c r="E6" s="103"/>
      <c r="F6" s="19"/>
      <c r="G6" s="21"/>
      <c r="H6" s="28"/>
      <c r="I6" s="28"/>
      <c r="J6" s="30"/>
    </row>
    <row r="7" spans="1:10" x14ac:dyDescent="0.25">
      <c r="A7" s="18" t="s">
        <v>86</v>
      </c>
      <c r="B7" s="4"/>
      <c r="C7" s="4"/>
      <c r="D7" s="4"/>
      <c r="E7" s="4"/>
      <c r="F7" s="19"/>
      <c r="G7" s="31" t="s">
        <v>87</v>
      </c>
      <c r="H7" s="16"/>
      <c r="I7" s="16"/>
      <c r="J7" s="17"/>
    </row>
    <row r="8" spans="1:10" ht="15.75" x14ac:dyDescent="0.25">
      <c r="A8" s="32" t="s">
        <v>88</v>
      </c>
      <c r="B8" s="4"/>
      <c r="C8" s="4"/>
      <c r="D8" s="4"/>
      <c r="E8" s="4"/>
      <c r="F8" s="19"/>
      <c r="G8" s="33" t="s">
        <v>89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90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210" t="s">
        <v>55</v>
      </c>
      <c r="B11" s="110"/>
      <c r="C11" s="110"/>
      <c r="D11" s="110"/>
      <c r="E11" s="110"/>
      <c r="F11" s="17"/>
      <c r="G11" s="31" t="s">
        <v>91</v>
      </c>
      <c r="H11" s="16"/>
      <c r="I11" s="16"/>
      <c r="J11" s="17"/>
    </row>
    <row r="12" spans="1:10" x14ac:dyDescent="0.25">
      <c r="A12" s="211" t="str">
        <f>'input data'!B6</f>
        <v>To the Order</v>
      </c>
      <c r="B12" s="103"/>
      <c r="C12" s="103"/>
      <c r="D12" s="103"/>
      <c r="E12" s="103"/>
      <c r="F12" s="19"/>
      <c r="G12" s="18"/>
      <c r="H12" s="4"/>
      <c r="I12" s="4"/>
      <c r="J12" s="19"/>
    </row>
    <row r="13" spans="1:10" x14ac:dyDescent="0.25">
      <c r="A13" s="200"/>
      <c r="B13" s="186"/>
      <c r="C13" s="186"/>
      <c r="D13" s="186"/>
      <c r="E13" s="186"/>
      <c r="F13" s="26"/>
      <c r="G13" s="18"/>
      <c r="H13" s="4"/>
      <c r="I13" s="4"/>
      <c r="J13" s="19"/>
    </row>
    <row r="14" spans="1:10" x14ac:dyDescent="0.25">
      <c r="A14" s="210" t="s">
        <v>58</v>
      </c>
      <c r="B14" s="110"/>
      <c r="C14" s="110"/>
      <c r="D14" s="110"/>
      <c r="E14" s="110"/>
      <c r="F14" s="111"/>
      <c r="G14" s="18"/>
      <c r="H14" s="4"/>
      <c r="I14" s="4"/>
      <c r="J14" s="19"/>
    </row>
    <row r="15" spans="1:10" x14ac:dyDescent="0.25">
      <c r="A15" s="212" t="str">
        <f>Invoice!A15</f>
        <v xml:space="preserve">CMK TRADING COMPANY LIMITED
ADD: No 60 street 64-TML, Quarter 4, Cat Lai Ward, 
Ho Chi Minh city, Vietnam
TAX ID : 0317762127
PHONE : +84 974778685
EMAIL : cmktrading.coltd@gmail.com
</v>
      </c>
      <c r="B15" s="103"/>
      <c r="C15" s="103"/>
      <c r="D15" s="103"/>
      <c r="E15" s="103"/>
      <c r="F15" s="182"/>
      <c r="G15" s="18"/>
      <c r="H15" s="4"/>
      <c r="I15" s="4"/>
      <c r="J15" s="19"/>
    </row>
    <row r="16" spans="1:10" x14ac:dyDescent="0.25">
      <c r="A16" s="213"/>
      <c r="B16" s="103"/>
      <c r="C16" s="103"/>
      <c r="D16" s="103"/>
      <c r="E16" s="103"/>
      <c r="F16" s="182"/>
      <c r="G16" s="18"/>
      <c r="H16" s="4"/>
      <c r="I16" s="4"/>
      <c r="J16" s="19"/>
    </row>
    <row r="17" spans="1:10" x14ac:dyDescent="0.25">
      <c r="A17" s="213"/>
      <c r="B17" s="103"/>
      <c r="C17" s="103"/>
      <c r="D17" s="103"/>
      <c r="E17" s="103"/>
      <c r="F17" s="182"/>
      <c r="G17" s="18"/>
      <c r="H17" s="4"/>
      <c r="I17" s="4"/>
      <c r="J17" s="19"/>
    </row>
    <row r="18" spans="1:10" ht="37.5" customHeight="1" x14ac:dyDescent="0.25">
      <c r="A18" s="213"/>
      <c r="B18" s="103"/>
      <c r="C18" s="103"/>
      <c r="D18" s="103"/>
      <c r="E18" s="103"/>
      <c r="F18" s="182"/>
      <c r="G18" s="199" t="s">
        <v>92</v>
      </c>
      <c r="H18" s="111"/>
      <c r="I18" s="201" t="s">
        <v>93</v>
      </c>
      <c r="J18" s="111"/>
    </row>
    <row r="19" spans="1:10" ht="15" customHeight="1" x14ac:dyDescent="0.25">
      <c r="A19" s="213"/>
      <c r="B19" s="103"/>
      <c r="C19" s="103"/>
      <c r="D19" s="103"/>
      <c r="E19" s="103"/>
      <c r="F19" s="182"/>
      <c r="G19" s="200"/>
      <c r="H19" s="187"/>
      <c r="I19" s="186"/>
      <c r="J19" s="187"/>
    </row>
    <row r="20" spans="1:10" ht="30.75" customHeight="1" x14ac:dyDescent="0.25">
      <c r="A20" s="200"/>
      <c r="B20" s="186"/>
      <c r="C20" s="186"/>
      <c r="D20" s="186"/>
      <c r="E20" s="186"/>
      <c r="F20" s="187"/>
      <c r="G20" s="202" t="s">
        <v>62</v>
      </c>
      <c r="H20" s="187"/>
      <c r="I20" s="202" t="str">
        <f>Invoice!H22</f>
        <v>VIETNAM</v>
      </c>
      <c r="J20" s="187"/>
    </row>
    <row r="21" spans="1:10" ht="15.75" customHeight="1" x14ac:dyDescent="0.25">
      <c r="A21" s="195" t="s">
        <v>94</v>
      </c>
      <c r="B21" s="110"/>
      <c r="C21" s="111"/>
      <c r="D21" s="195" t="s">
        <v>95</v>
      </c>
      <c r="E21" s="110"/>
      <c r="F21" s="111"/>
      <c r="G21" s="214" t="s">
        <v>96</v>
      </c>
      <c r="H21" s="123"/>
      <c r="I21" s="123"/>
      <c r="J21" s="124"/>
    </row>
    <row r="22" spans="1:10" ht="15.75" customHeight="1" x14ac:dyDescent="0.25">
      <c r="A22" s="196"/>
      <c r="B22" s="186"/>
      <c r="C22" s="187"/>
      <c r="D22" s="197" t="str">
        <f>Invoice!C22</f>
        <v>CHENNAI</v>
      </c>
      <c r="E22" s="186"/>
      <c r="F22" s="187"/>
      <c r="G22" s="198" t="str">
        <f>'input data'!B16</f>
        <v>CNF</v>
      </c>
      <c r="H22" s="186"/>
      <c r="I22" s="186"/>
      <c r="J22" s="187"/>
    </row>
    <row r="23" spans="1:10" ht="15.75" customHeight="1" x14ac:dyDescent="0.25">
      <c r="A23" s="195" t="s">
        <v>97</v>
      </c>
      <c r="B23" s="110"/>
      <c r="C23" s="111"/>
      <c r="D23" s="195" t="s">
        <v>98</v>
      </c>
      <c r="E23" s="110"/>
      <c r="F23" s="111"/>
      <c r="G23" s="38"/>
      <c r="H23" s="39"/>
      <c r="I23" s="39"/>
      <c r="J23" s="40"/>
    </row>
    <row r="24" spans="1:10" ht="15.75" customHeight="1" x14ac:dyDescent="0.25">
      <c r="A24" s="196"/>
      <c r="B24" s="186"/>
      <c r="C24" s="187"/>
      <c r="D24" s="197" t="str">
        <f>Invoice!C25</f>
        <v>CHENNAI</v>
      </c>
      <c r="E24" s="186"/>
      <c r="F24" s="187"/>
      <c r="G24" s="27"/>
      <c r="H24" s="29"/>
      <c r="I24" s="29"/>
      <c r="J24" s="26"/>
    </row>
    <row r="25" spans="1:10" ht="15.75" customHeight="1" x14ac:dyDescent="0.25">
      <c r="A25" s="195" t="s">
        <v>30</v>
      </c>
      <c r="B25" s="110"/>
      <c r="C25" s="111"/>
      <c r="D25" s="195" t="s">
        <v>31</v>
      </c>
      <c r="E25" s="110"/>
      <c r="F25" s="111"/>
      <c r="G25" s="180" t="s">
        <v>99</v>
      </c>
      <c r="H25" s="123"/>
      <c r="I25" s="123"/>
      <c r="J25" s="124"/>
    </row>
    <row r="26" spans="1:10" ht="15.75" customHeight="1" x14ac:dyDescent="0.25">
      <c r="A26" s="181" t="str">
        <f>Invoice!E25</f>
        <v>CAT LAI</v>
      </c>
      <c r="B26" s="103"/>
      <c r="C26" s="182"/>
      <c r="D26" s="181" t="str">
        <f>Invoice!H25</f>
        <v>CAT LAI</v>
      </c>
      <c r="E26" s="103"/>
      <c r="F26" s="182"/>
      <c r="G26" s="199" t="str">
        <f>'input data'!B17</f>
        <v>100% Against Documents</v>
      </c>
      <c r="H26" s="110"/>
      <c r="I26" s="110"/>
      <c r="J26" s="111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97" t="s">
        <v>100</v>
      </c>
      <c r="C28" s="187"/>
      <c r="D28" s="197" t="s">
        <v>65</v>
      </c>
      <c r="E28" s="186"/>
      <c r="F28" s="186"/>
      <c r="G28" s="44"/>
      <c r="H28" s="45"/>
      <c r="I28" s="197" t="s">
        <v>69</v>
      </c>
      <c r="J28" s="187"/>
    </row>
    <row r="29" spans="1:10" ht="15.75" customHeight="1" thickBot="1" x14ac:dyDescent="0.3">
      <c r="A29" s="24">
        <v>1</v>
      </c>
      <c r="B29" s="122">
        <f>Invoice!E28</f>
        <v>68022390</v>
      </c>
      <c r="C29" s="124"/>
      <c r="D29" s="192" t="str">
        <f>Invoice!B28</f>
        <v>NATURAL POLISHED GRANITE SLABS</v>
      </c>
      <c r="E29" s="123"/>
      <c r="F29" s="123"/>
      <c r="G29" s="123"/>
      <c r="H29" s="124"/>
      <c r="I29" s="193">
        <f>Invoice!F28</f>
        <v>216.43</v>
      </c>
      <c r="J29" s="124"/>
    </row>
    <row r="30" spans="1:10" s="101" customFormat="1" ht="15.75" customHeight="1" thickBot="1" x14ac:dyDescent="0.3">
      <c r="A30" s="24">
        <v>2</v>
      </c>
      <c r="B30" s="122">
        <f>Invoice!E29</f>
        <v>68022390</v>
      </c>
      <c r="C30" s="124"/>
      <c r="D30" s="192" t="str">
        <f>Invoice!B29</f>
        <v>NATURAL POLISHED GRANITE SLABS</v>
      </c>
      <c r="E30" s="123"/>
      <c r="F30" s="123"/>
      <c r="G30" s="123"/>
      <c r="H30" s="124"/>
      <c r="I30" s="193">
        <f>Invoice!F29</f>
        <v>210.69</v>
      </c>
      <c r="J30" s="124"/>
    </row>
    <row r="31" spans="1:10" ht="15.75" customHeight="1" thickBot="1" x14ac:dyDescent="0.3">
      <c r="A31" s="46" t="s">
        <v>101</v>
      </c>
      <c r="B31" s="42"/>
      <c r="C31" s="42"/>
      <c r="D31" s="42"/>
      <c r="E31" s="42"/>
      <c r="F31" s="42"/>
      <c r="G31" s="42"/>
      <c r="H31" s="42"/>
      <c r="I31" s="194">
        <f>SUM(I29:J30)</f>
        <v>427.12</v>
      </c>
      <c r="J31" s="124"/>
    </row>
    <row r="32" spans="1:10" ht="15.75" customHeight="1" x14ac:dyDescent="0.25">
      <c r="A32" s="32"/>
      <c r="B32" s="4"/>
      <c r="C32" s="4"/>
      <c r="D32" s="4"/>
      <c r="E32" s="4"/>
      <c r="F32" s="4"/>
      <c r="G32" s="4"/>
      <c r="H32" s="4"/>
      <c r="I32" s="28"/>
      <c r="J32" s="30"/>
    </row>
    <row r="33" spans="1:12" ht="15.75" customHeight="1" x14ac:dyDescent="0.25">
      <c r="A33" s="181" t="s">
        <v>102</v>
      </c>
      <c r="B33" s="103"/>
      <c r="C33" s="28" t="s">
        <v>34</v>
      </c>
      <c r="D33" s="188" t="s">
        <v>71</v>
      </c>
      <c r="E33" s="103"/>
      <c r="F33" s="28" t="s">
        <v>72</v>
      </c>
      <c r="G33" s="28"/>
      <c r="H33" s="4"/>
      <c r="I33" s="28"/>
      <c r="J33" s="30"/>
    </row>
    <row r="34" spans="1:12" ht="15.75" customHeight="1" x14ac:dyDescent="0.25">
      <c r="A34" s="189" t="str">
        <f>Invoice!A31</f>
        <v>TIIU2572308</v>
      </c>
      <c r="B34" s="103"/>
      <c r="C34" s="47">
        <f>'input data'!B25</f>
        <v>332</v>
      </c>
      <c r="D34" s="190" t="s">
        <v>158</v>
      </c>
      <c r="E34" s="103"/>
      <c r="F34" s="47" t="s">
        <v>155</v>
      </c>
      <c r="G34" s="47"/>
      <c r="H34" s="4"/>
      <c r="I34" s="4"/>
      <c r="J34" s="19"/>
    </row>
    <row r="35" spans="1:12" ht="15.75" customHeight="1" x14ac:dyDescent="0.25">
      <c r="A35" s="20"/>
      <c r="B35" s="48"/>
      <c r="C35" s="48"/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103</v>
      </c>
      <c r="B36" s="48"/>
      <c r="C36" s="48" t="str">
        <f>'input data'!B14</f>
        <v>Loose packing</v>
      </c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20" t="s">
        <v>166</v>
      </c>
      <c r="B37" s="48"/>
      <c r="C37" s="48" t="str">
        <f>'input data'!B13 &amp; " X " &amp; 'input data'!B15</f>
        <v>1 X FCL</v>
      </c>
      <c r="D37" s="48"/>
      <c r="E37" s="48"/>
      <c r="F37" s="48"/>
      <c r="G37" s="48"/>
      <c r="H37" s="48"/>
      <c r="I37" s="48"/>
      <c r="J37" s="49"/>
    </row>
    <row r="38" spans="1:12" ht="15.75" customHeight="1" x14ac:dyDescent="0.25">
      <c r="A38" s="50"/>
      <c r="B38" s="51"/>
      <c r="C38" s="51"/>
      <c r="D38" s="51"/>
      <c r="E38" s="51"/>
      <c r="F38" s="51"/>
      <c r="G38" s="51"/>
      <c r="H38" s="51"/>
      <c r="I38" s="51"/>
      <c r="J38" s="52"/>
      <c r="L38" s="79"/>
    </row>
    <row r="39" spans="1:12" ht="15.75" customHeight="1" x14ac:dyDescent="0.25">
      <c r="A39" s="112" t="s">
        <v>104</v>
      </c>
      <c r="B39" s="110"/>
      <c r="C39" s="110"/>
      <c r="D39" s="110"/>
      <c r="E39" s="110"/>
      <c r="F39" s="111"/>
      <c r="G39" s="112" t="s">
        <v>75</v>
      </c>
      <c r="H39" s="110"/>
      <c r="I39" s="110"/>
      <c r="J39" s="111"/>
    </row>
    <row r="40" spans="1:12" ht="15.75" customHeight="1" x14ac:dyDescent="0.25">
      <c r="A40" s="191" t="s">
        <v>105</v>
      </c>
      <c r="B40" s="103"/>
      <c r="C40" s="103"/>
      <c r="D40" s="103"/>
      <c r="E40" s="103"/>
      <c r="F40" s="182"/>
      <c r="G40" s="18"/>
      <c r="H40" s="4"/>
      <c r="I40" s="4"/>
      <c r="J40" s="19"/>
    </row>
    <row r="41" spans="1:12" ht="15.75" customHeight="1" x14ac:dyDescent="0.25">
      <c r="A41" s="183" t="s">
        <v>106</v>
      </c>
      <c r="B41" s="159"/>
      <c r="C41" s="159"/>
      <c r="D41" s="159"/>
      <c r="E41" s="159"/>
      <c r="F41" s="116"/>
      <c r="G41" s="18"/>
      <c r="H41" s="4"/>
      <c r="I41" s="4"/>
      <c r="J41" s="19"/>
    </row>
    <row r="42" spans="1:12" ht="15.75" customHeight="1" x14ac:dyDescent="0.25">
      <c r="A42" s="184" t="s">
        <v>107</v>
      </c>
      <c r="B42" s="145"/>
      <c r="C42" s="145"/>
      <c r="D42" s="145"/>
      <c r="E42" s="145"/>
      <c r="F42" s="142"/>
      <c r="G42" s="185" t="s">
        <v>108</v>
      </c>
      <c r="H42" s="186"/>
      <c r="I42" s="186"/>
      <c r="J42" s="187"/>
    </row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mergeCells count="54">
    <mergeCell ref="B30:C30"/>
    <mergeCell ref="D30:H30"/>
    <mergeCell ref="I30:J30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1:F41"/>
    <mergeCell ref="A42:F42"/>
    <mergeCell ref="G42:J42"/>
    <mergeCell ref="A33:B33"/>
    <mergeCell ref="D33:E33"/>
    <mergeCell ref="A34:B34"/>
    <mergeCell ref="D34:E34"/>
    <mergeCell ref="A39:F39"/>
    <mergeCell ref="G39:J39"/>
    <mergeCell ref="A40:F40"/>
    <mergeCell ref="B29:C29"/>
    <mergeCell ref="D29:H29"/>
    <mergeCell ref="I29:J29"/>
    <mergeCell ref="I31:J31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97"/>
  <sheetViews>
    <sheetView topLeftCell="A7" zoomScaleNormal="100" workbookViewId="0">
      <selection activeCell="Q30" sqref="Q30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35" t="s">
        <v>40</v>
      </c>
      <c r="C1" s="236"/>
      <c r="D1" s="236"/>
      <c r="E1" s="236"/>
      <c r="F1" s="236"/>
      <c r="G1" s="236"/>
      <c r="H1" s="236"/>
      <c r="I1" s="236"/>
      <c r="J1" s="236"/>
      <c r="K1" s="237"/>
      <c r="R1" s="241"/>
      <c r="S1" s="103"/>
      <c r="T1" s="103"/>
      <c r="U1" s="103"/>
      <c r="V1" s="103"/>
      <c r="W1" s="226"/>
      <c r="X1" s="103"/>
      <c r="Y1" s="103"/>
    </row>
    <row r="2" spans="1:25" ht="36.75" thickBot="1" x14ac:dyDescent="0.6">
      <c r="A2" s="53"/>
      <c r="B2" s="238"/>
      <c r="C2" s="239"/>
      <c r="D2" s="239"/>
      <c r="E2" s="239"/>
      <c r="F2" s="239"/>
      <c r="G2" s="239"/>
      <c r="H2" s="239"/>
      <c r="I2" s="239"/>
      <c r="J2" s="239"/>
      <c r="K2" s="240"/>
    </row>
    <row r="3" spans="1:25" x14ac:dyDescent="0.25">
      <c r="A3" s="54"/>
      <c r="B3" s="242" t="s">
        <v>109</v>
      </c>
      <c r="C3" s="110"/>
      <c r="D3" s="110"/>
      <c r="E3" s="110"/>
      <c r="F3" s="110"/>
      <c r="G3" s="110"/>
      <c r="H3" s="110"/>
      <c r="I3" s="110"/>
      <c r="J3" s="110"/>
      <c r="K3" s="111"/>
    </row>
    <row r="4" spans="1:25" x14ac:dyDescent="0.25">
      <c r="A4" s="54"/>
      <c r="B4" s="243" t="s">
        <v>110</v>
      </c>
      <c r="C4" s="103"/>
      <c r="D4" s="103"/>
      <c r="E4" s="103"/>
      <c r="F4" s="103"/>
      <c r="G4" s="103"/>
      <c r="H4" s="103"/>
      <c r="I4" s="103"/>
      <c r="J4" s="103"/>
      <c r="K4" s="182"/>
    </row>
    <row r="5" spans="1:25" x14ac:dyDescent="0.25">
      <c r="A5" s="47"/>
      <c r="B5" s="196" t="s">
        <v>111</v>
      </c>
      <c r="C5" s="186"/>
      <c r="D5" s="186"/>
      <c r="E5" s="186"/>
      <c r="F5" s="186"/>
      <c r="G5" s="186"/>
      <c r="H5" s="186"/>
      <c r="I5" s="186"/>
      <c r="J5" s="186"/>
      <c r="K5" s="187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44" t="s">
        <v>112</v>
      </c>
      <c r="C7" s="103"/>
      <c r="D7" s="103"/>
      <c r="E7" s="103"/>
      <c r="F7" s="103"/>
      <c r="G7" s="103"/>
      <c r="H7" s="103"/>
      <c r="I7" s="103"/>
      <c r="J7" s="103"/>
      <c r="K7" s="182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113</v>
      </c>
      <c r="C9" s="247">
        <f ca="1">TODAY()</f>
        <v>46237</v>
      </c>
      <c r="D9" s="247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114</v>
      </c>
      <c r="C10" s="56" t="s">
        <v>164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115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45" t="s">
        <v>160</v>
      </c>
      <c r="C13" s="103"/>
      <c r="D13" s="103"/>
      <c r="E13" s="103"/>
      <c r="F13" s="103"/>
      <c r="G13" s="103"/>
      <c r="H13" s="4"/>
      <c r="I13" s="4"/>
      <c r="J13" s="4"/>
      <c r="K13" s="19"/>
    </row>
    <row r="14" spans="1:25" x14ac:dyDescent="0.25">
      <c r="A14" s="57"/>
      <c r="B14" s="212" t="s">
        <v>161</v>
      </c>
      <c r="C14" s="103"/>
      <c r="D14" s="103"/>
      <c r="E14" s="103"/>
      <c r="F14" s="103"/>
      <c r="G14" s="103"/>
      <c r="H14" s="4"/>
      <c r="I14" s="4"/>
      <c r="J14" s="4"/>
      <c r="K14" s="19"/>
    </row>
    <row r="15" spans="1:25" ht="63.75" customHeight="1" x14ac:dyDescent="0.25">
      <c r="A15" s="57"/>
      <c r="B15" s="213"/>
      <c r="C15" s="103"/>
      <c r="D15" s="103"/>
      <c r="E15" s="103"/>
      <c r="F15" s="103"/>
      <c r="G15" s="103"/>
      <c r="H15" s="4"/>
      <c r="I15" s="4"/>
      <c r="J15" s="4"/>
      <c r="K15" s="19"/>
    </row>
    <row r="16" spans="1:25" x14ac:dyDescent="0.25">
      <c r="A16" s="4"/>
      <c r="B16" s="18" t="s">
        <v>116</v>
      </c>
      <c r="C16" s="4"/>
      <c r="D16" s="4"/>
      <c r="E16" s="4"/>
      <c r="F16" s="4"/>
      <c r="G16" s="4"/>
      <c r="H16" s="4"/>
      <c r="I16" s="4"/>
      <c r="J16" s="4"/>
      <c r="K16" s="19"/>
    </row>
    <row r="17" spans="1:26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144</v>
      </c>
      <c r="P17" t="s">
        <v>145</v>
      </c>
      <c r="Q17" t="s">
        <v>101</v>
      </c>
    </row>
    <row r="18" spans="1:26" ht="15.75" thickBot="1" x14ac:dyDescent="0.3">
      <c r="A18" s="48"/>
      <c r="B18" s="165" t="s">
        <v>117</v>
      </c>
      <c r="C18" s="166"/>
      <c r="D18" s="166"/>
      <c r="E18" s="246"/>
      <c r="F18" s="165" t="s">
        <v>118</v>
      </c>
      <c r="G18" s="124"/>
      <c r="H18" s="165" t="s">
        <v>119</v>
      </c>
      <c r="I18" s="124"/>
      <c r="J18" s="165" t="s">
        <v>120</v>
      </c>
      <c r="K18" s="124"/>
    </row>
    <row r="19" spans="1:26" ht="15.75" customHeight="1" thickBot="1" x14ac:dyDescent="0.3">
      <c r="A19" s="3"/>
      <c r="B19" s="192" t="s">
        <v>143</v>
      </c>
      <c r="C19" s="231"/>
      <c r="D19" s="231"/>
      <c r="E19" s="232"/>
      <c r="F19" s="222">
        <v>171.55</v>
      </c>
      <c r="G19" s="223"/>
      <c r="H19" s="224">
        <v>4595.8100000000004</v>
      </c>
      <c r="I19" s="124"/>
      <c r="J19" s="229">
        <f>H19*F19</f>
        <v>788411.20550000016</v>
      </c>
      <c r="K19" s="124"/>
      <c r="N19" t="s">
        <v>152</v>
      </c>
      <c r="O19">
        <v>2302</v>
      </c>
      <c r="P19">
        <v>204</v>
      </c>
      <c r="Q19" s="68">
        <f>O19*P19</f>
        <v>469608</v>
      </c>
    </row>
    <row r="20" spans="1:26" ht="15.75" customHeight="1" x14ac:dyDescent="0.25">
      <c r="A20" s="47"/>
      <c r="B20" s="189"/>
      <c r="C20" s="103"/>
      <c r="D20" s="103"/>
      <c r="E20" s="103"/>
      <c r="F20" s="226"/>
      <c r="G20" s="230"/>
      <c r="H20" s="215" t="s">
        <v>153</v>
      </c>
      <c r="I20" s="216"/>
      <c r="J20" s="233">
        <f>J19*0.001</f>
        <v>788.41120550000016</v>
      </c>
      <c r="K20" s="234"/>
      <c r="M20" s="69"/>
      <c r="N20" t="s">
        <v>165</v>
      </c>
      <c r="O20" s="74">
        <v>2214</v>
      </c>
      <c r="P20">
        <v>144</v>
      </c>
      <c r="Q20" s="75">
        <f>O20*P20</f>
        <v>318816</v>
      </c>
    </row>
    <row r="21" spans="1:26" ht="15.75" customHeight="1" thickBot="1" x14ac:dyDescent="0.3">
      <c r="A21" s="3"/>
      <c r="B21" s="185"/>
      <c r="C21" s="186"/>
      <c r="D21" s="186"/>
      <c r="E21" s="186"/>
      <c r="F21" s="29"/>
      <c r="G21" s="58"/>
      <c r="H21" s="218" t="s">
        <v>101</v>
      </c>
      <c r="I21" s="219"/>
      <c r="J21" s="220">
        <f>SUM(J19:K20)</f>
        <v>789199.61670550017</v>
      </c>
      <c r="K21" s="221"/>
      <c r="O21" s="74">
        <f>O19+O20</f>
        <v>4516</v>
      </c>
      <c r="Q21" s="67">
        <f>Q18+Q19+Q20</f>
        <v>788424</v>
      </c>
      <c r="X21">
        <f>Z21/Y21</f>
        <v>201.64120360758844</v>
      </c>
      <c r="Y21">
        <v>4575.91</v>
      </c>
      <c r="Z21">
        <v>922692</v>
      </c>
    </row>
    <row r="22" spans="1:26" ht="15.75" customHeight="1" thickBot="1" x14ac:dyDescent="0.3">
      <c r="A22" s="47"/>
      <c r="B22" s="189"/>
      <c r="C22" s="103"/>
      <c r="D22" s="103"/>
      <c r="E22" s="103"/>
      <c r="F22" s="4"/>
      <c r="G22" s="4"/>
      <c r="H22" s="225"/>
      <c r="I22" s="103"/>
      <c r="J22" s="226"/>
      <c r="K22" s="182"/>
      <c r="N22" s="69"/>
    </row>
    <row r="23" spans="1:26" ht="15.75" customHeight="1" thickBot="1" x14ac:dyDescent="0.3">
      <c r="A23" s="48"/>
      <c r="B23" s="227" t="s">
        <v>121</v>
      </c>
      <c r="C23" s="123"/>
      <c r="D23" s="42"/>
      <c r="E23" s="42"/>
      <c r="F23" s="42"/>
      <c r="G23" s="42"/>
      <c r="H23" s="42"/>
      <c r="I23" s="42"/>
      <c r="J23" s="228">
        <f>J21</f>
        <v>789199.61670550017</v>
      </c>
      <c r="K23" s="124"/>
      <c r="Q23" s="78">
        <f>Q21/O25</f>
        <v>171.55273915516807</v>
      </c>
      <c r="R23" s="77" t="s">
        <v>145</v>
      </c>
    </row>
    <row r="24" spans="1:26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6"/>
    </row>
    <row r="25" spans="1:26" ht="15.75" customHeight="1" x14ac:dyDescent="0.25">
      <c r="A25" s="59"/>
      <c r="B25" s="217" t="s">
        <v>122</v>
      </c>
      <c r="C25" s="103"/>
      <c r="D25" s="4"/>
      <c r="E25" s="4"/>
      <c r="F25" s="4"/>
      <c r="G25" s="4"/>
      <c r="H25" s="4"/>
      <c r="I25" s="4"/>
      <c r="J25" s="4"/>
      <c r="K25" s="19"/>
      <c r="M25" t="s">
        <v>147</v>
      </c>
      <c r="N25" s="73">
        <v>427.12</v>
      </c>
      <c r="O25" s="80">
        <f>N25*10.76</f>
        <v>4595.8112000000001</v>
      </c>
      <c r="P25" s="77" t="s">
        <v>149</v>
      </c>
    </row>
    <row r="26" spans="1:26" ht="15.75" customHeight="1" x14ac:dyDescent="0.25">
      <c r="A26" s="4"/>
      <c r="B26" s="18" t="s">
        <v>123</v>
      </c>
      <c r="C26" s="4"/>
      <c r="D26" s="4" t="s">
        <v>140</v>
      </c>
      <c r="E26" s="4"/>
      <c r="F26" s="4"/>
      <c r="G26" s="4"/>
      <c r="H26" s="4"/>
      <c r="I26" s="4"/>
      <c r="J26" s="4"/>
      <c r="K26" s="19"/>
      <c r="M26" t="s">
        <v>148</v>
      </c>
      <c r="O26" s="74">
        <v>4516</v>
      </c>
    </row>
    <row r="27" spans="1:26" ht="15.75" customHeight="1" x14ac:dyDescent="0.25">
      <c r="A27" s="4"/>
      <c r="B27" s="18" t="s">
        <v>124</v>
      </c>
      <c r="C27" s="4"/>
      <c r="D27" s="4"/>
      <c r="E27" s="4"/>
      <c r="F27" s="4"/>
      <c r="G27" s="4"/>
      <c r="H27" s="4"/>
      <c r="I27" s="4"/>
      <c r="J27" s="4"/>
      <c r="K27" s="19"/>
      <c r="M27" t="s">
        <v>146</v>
      </c>
      <c r="O27" s="74">
        <f>O25-O26</f>
        <v>79.811200000000099</v>
      </c>
    </row>
    <row r="28" spans="1:26" ht="15.75" customHeight="1" x14ac:dyDescent="0.25">
      <c r="A28" s="4"/>
      <c r="B28" s="18" t="s">
        <v>125</v>
      </c>
      <c r="C28" s="4"/>
      <c r="D28" s="4"/>
      <c r="E28" s="4"/>
      <c r="F28" s="4"/>
      <c r="G28" s="4"/>
      <c r="H28" s="4"/>
      <c r="I28" s="4"/>
      <c r="J28" s="4"/>
      <c r="K28" s="19"/>
    </row>
    <row r="29" spans="1:26" ht="15.75" customHeight="1" x14ac:dyDescent="0.25">
      <c r="A29" s="4"/>
      <c r="B29" s="18" t="s">
        <v>126</v>
      </c>
      <c r="C29" s="4"/>
      <c r="D29" s="4" t="s">
        <v>141</v>
      </c>
      <c r="E29" s="4"/>
      <c r="F29" s="4"/>
      <c r="G29" s="4"/>
      <c r="H29" s="4"/>
      <c r="I29" s="4"/>
      <c r="J29" s="4"/>
      <c r="K29" s="19"/>
    </row>
    <row r="30" spans="1:26" ht="15.75" customHeight="1" x14ac:dyDescent="0.25">
      <c r="A30" s="4"/>
      <c r="B30" s="18" t="s">
        <v>127</v>
      </c>
      <c r="C30" s="4"/>
      <c r="D30" s="4"/>
      <c r="E30" s="4"/>
      <c r="F30" s="4"/>
      <c r="G30" s="4"/>
      <c r="H30" s="4"/>
      <c r="I30" s="4"/>
      <c r="J30" s="4"/>
      <c r="K30" s="19"/>
    </row>
    <row r="31" spans="1:26" ht="15.75" customHeight="1" x14ac:dyDescent="0.25">
      <c r="A31" s="4"/>
      <c r="B31" s="18" t="s">
        <v>128</v>
      </c>
      <c r="C31" s="4"/>
      <c r="D31" s="4"/>
      <c r="E31" s="4"/>
      <c r="F31" s="4"/>
      <c r="G31" s="4"/>
      <c r="H31" s="4"/>
      <c r="I31" s="4"/>
      <c r="J31" s="4"/>
      <c r="K31" s="19"/>
    </row>
    <row r="32" spans="1:26" ht="15.75" customHeight="1" x14ac:dyDescent="0.25">
      <c r="A32" s="4"/>
      <c r="B32" s="18" t="s">
        <v>129</v>
      </c>
      <c r="C32" s="4"/>
      <c r="D32" s="4" t="s">
        <v>130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131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132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205" t="s">
        <v>133</v>
      </c>
      <c r="C35" s="103"/>
      <c r="D35" s="103"/>
      <c r="E35" s="103"/>
      <c r="F35" s="103"/>
      <c r="G35" s="103"/>
      <c r="H35" s="4"/>
      <c r="I35" s="4"/>
      <c r="J35" s="4"/>
      <c r="K35" s="19"/>
    </row>
    <row r="36" spans="1:11" ht="15.75" customHeight="1" x14ac:dyDescent="0.25">
      <c r="A36" s="60"/>
      <c r="B36" s="205" t="s">
        <v>134</v>
      </c>
      <c r="C36" s="103"/>
      <c r="D36" s="103"/>
      <c r="E36" s="103"/>
      <c r="F36" s="103"/>
      <c r="G36" s="103"/>
      <c r="H36" s="4"/>
      <c r="I36" s="4"/>
      <c r="J36" s="4"/>
      <c r="K36" s="19"/>
    </row>
    <row r="37" spans="1:11" ht="15.75" customHeight="1" x14ac:dyDescent="0.25">
      <c r="A37" s="34"/>
      <c r="B37" s="33" t="s">
        <v>135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136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2026-08-03T04:28:45Z</cp:lastPrinted>
  <dcterms:created xsi:type="dcterms:W3CDTF">2022-11-23T06:47:43Z</dcterms:created>
  <dcterms:modified xsi:type="dcterms:W3CDTF">2026-08-03T04:29:03Z</dcterms:modified>
</cp:coreProperties>
</file>
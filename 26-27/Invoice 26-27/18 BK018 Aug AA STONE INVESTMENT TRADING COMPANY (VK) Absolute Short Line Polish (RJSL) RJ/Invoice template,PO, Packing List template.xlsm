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18 BK018 Aug AA STONE INVESTMENT TRADING COMPANY (VK) Absolute Short Line Polish (RJSL) RJ\"/>
    </mc:Choice>
  </mc:AlternateContent>
  <bookViews>
    <workbookView xWindow="0" yWindow="0" windowWidth="20490" windowHeight="7245" activeTab="3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</sheets>
  <functionGroups builtInGroupCount="18"/>
  <definedNames>
    <definedName name="_xlnm.Print_Area" localSheetId="2">Invoice!$A$1:$J$42</definedName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H10" i="6" l="1"/>
  <c r="I29" i="4" l="1"/>
  <c r="D29" i="4"/>
  <c r="D26" i="4"/>
  <c r="A26" i="4"/>
  <c r="D24" i="4"/>
  <c r="D22" i="4"/>
  <c r="I20" i="4"/>
  <c r="A15" i="4"/>
  <c r="I3" i="4"/>
  <c r="O25" i="5" l="1"/>
  <c r="H28" i="6"/>
  <c r="B29" i="4" l="1"/>
  <c r="C30" i="6"/>
  <c r="A30" i="6"/>
  <c r="A33" i="4" s="1"/>
  <c r="F28" i="6"/>
  <c r="I28" i="6" s="1"/>
  <c r="B28" i="6"/>
  <c r="H25" i="6"/>
  <c r="E25" i="6"/>
  <c r="C25" i="6"/>
  <c r="H22" i="6"/>
  <c r="C22" i="6"/>
  <c r="A15" i="6"/>
  <c r="H12" i="6"/>
  <c r="E12" i="6"/>
  <c r="A12" i="6"/>
  <c r="E10" i="6"/>
  <c r="H6" i="6"/>
  <c r="H4" i="6"/>
  <c r="I36" i="6" l="1"/>
  <c r="A37" i="6"/>
  <c r="O20" i="5" l="1"/>
  <c r="B5" i="2" l="1"/>
  <c r="B3" i="2" l="1"/>
  <c r="E4" i="6" l="1"/>
  <c r="G3" i="4"/>
  <c r="Q19" i="5"/>
  <c r="Q18" i="5"/>
  <c r="C9" i="5" l="1"/>
  <c r="Q20" i="5" l="1"/>
  <c r="Q21" i="5" s="1"/>
  <c r="O27" i="5" l="1"/>
  <c r="Q23" i="5" l="1"/>
  <c r="J19" i="5" l="1"/>
  <c r="J20" i="5" s="1"/>
  <c r="C33" i="4" l="1"/>
  <c r="A12" i="4"/>
  <c r="G5" i="4" l="1"/>
  <c r="C37" i="5"/>
  <c r="I30" i="4"/>
  <c r="C35" i="4"/>
  <c r="G26" i="4"/>
  <c r="G22" i="4"/>
  <c r="J21" i="5" l="1"/>
  <c r="J23" i="5" s="1"/>
</calcChain>
</file>

<file path=xl/sharedStrings.xml><?xml version="1.0" encoding="utf-8"?>
<sst xmlns="http://schemas.openxmlformats.org/spreadsheetml/2006/main" count="209" uniqueCount="170">
  <si>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</si>
  <si>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</si>
  <si>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</si>
  <si>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</si>
  <si>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</si>
  <si>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</si>
  <si>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</si>
  <si>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</si>
  <si>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</si>
  <si>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</si>
  <si>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</si>
  <si>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</si>
  <si>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</si>
  <si>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</si>
  <si>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</si>
  <si>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</si>
  <si>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</si>
  <si>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</si>
  <si>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</si>
  <si>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</si>
  <si>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</si>
  <si>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</si>
  <si>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</si>
  <si>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</si>
  <si>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</si>
  <si>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</si>
  <si>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</si>
  <si>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</si>
  <si>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</si>
  <si>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</si>
  <si>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</si>
  <si>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</si>
  <si>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</si>
  <si>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</si>
  <si>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</si>
  <si>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</si>
  <si>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</si>
  <si>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</si>
  <si>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</si>
  <si>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</si>
  <si>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</si>
  <si>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</si>
  <si>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</si>
  <si>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</si>
  <si>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</si>
  <si>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</si>
  <si>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</si>
  <si>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</si>
  <si>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</si>
  <si>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</si>
  <si>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</si>
  <si>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</si>
  <si>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</si>
  <si>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</si>
  <si>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</si>
  <si>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</si>
  <si>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</si>
  <si>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</si>
  <si>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</si>
  <si>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</si>
  <si>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</si>
  <si>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</si>
  <si>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</si>
  <si>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</si>
  <si>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</si>
  <si>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</si>
  <si>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</si>
  <si>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</si>
  <si>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</si>
  <si>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</si>
  <si>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</si>
  <si>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</si>
  <si>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</si>
  <si>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</si>
  <si>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</si>
  <si>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</si>
  <si>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</si>
  <si>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</si>
  <si>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</si>
  <si>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</si>
  <si>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</si>
  <si>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</si>
  <si>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</si>
  <si>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</si>
  <si>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</si>
  <si>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</si>
  <si>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</si>
  <si>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</si>
  <si>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</si>
  <si>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</si>
  <si>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</si>
  <si>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</si>
  <si>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</si>
  <si>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</si>
  <si>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</si>
  <si>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</si>
  <si>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</si>
  <si>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</si>
  <si>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</si>
  <si>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</si>
  <si>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</si>
  <si>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</si>
  <si>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</si>
  <si>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</si>
  <si>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</si>
  <si>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</si>
  <si>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</si>
  <si>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</si>
  <si>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</si>
  <si>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</si>
  <si>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</si>
  <si>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</si>
  <si>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</si>
  <si>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</si>
  <si>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</si>
  <si>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</si>
  <si>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</si>
  <si>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</si>
  <si>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</si>
  <si>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</si>
  <si>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</si>
  <si>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</si>
  <si>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</si>
  <si>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</si>
  <si>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</si>
  <si>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</si>
  <si>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</si>
  <si>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</si>
  <si>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</si>
  <si>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</si>
  <si>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</si>
  <si>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</si>
  <si>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</si>
  <si>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</si>
  <si>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</si>
  <si>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</si>
  <si>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</si>
  <si>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</si>
  <si>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</si>
  <si>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</si>
  <si>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</si>
  <si>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</si>
  <si>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</si>
  <si>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</si>
  <si>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</si>
  <si>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</si>
  <si>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</si>
  <si>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</si>
  <si>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</si>
  <si>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</si>
  <si>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</si>
  <si>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</si>
  <si>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</si>
  <si>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</si>
  <si>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</si>
  <si>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</si>
  <si>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</si>
  <si>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</si>
  <si>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t>90up</t>
  </si>
  <si>
    <t>DA NANG</t>
  </si>
  <si>
    <t>GST 0.1%</t>
  </si>
  <si>
    <t xml:space="preserve">A-A STONE INVESTMENT TRADING COMPANY 
LIMITED
 34/5 TRAN KHANH DU STREET, TAN DINH WARD, 
HOCHIMINH CITY, VIETNAM
 TAX:0317458134
 MAIL: AASTONEDOCS@GMAIL.COM
</t>
  </si>
  <si>
    <t xml:space="preserve">TAX INVOICE </t>
  </si>
  <si>
    <t xml:space="preserve"> </t>
  </si>
  <si>
    <t>short</t>
  </si>
  <si>
    <t>18</t>
  </si>
  <si>
    <t>KKTU8031757</t>
  </si>
  <si>
    <t>PO 018/26-27</t>
  </si>
  <si>
    <t>SURATI STONEX</t>
  </si>
  <si>
    <t>329/A3/A1, Jeelacheruvu,
Jeelacheruvu, Khammam, 
Telangana, 507170
GSTIN: 36ABYFS8184Q1ZN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</si>
</sst>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47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5" fillId="0" borderId="14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6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6" xfId="0" applyFont="1" applyBorder="1"/>
    <xf numFmtId="0" fontId="6" fillId="0" borderId="19" xfId="0" applyFont="1" applyBorder="1"/>
    <xf numFmtId="0" fontId="6" fillId="0" borderId="17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4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0" fillId="0" borderId="0" xfId="0" applyFont="1" applyAlignment="1"/>
    <xf numFmtId="166" fontId="6" fillId="0" borderId="33" xfId="0" applyNumberFormat="1" applyFont="1" applyBorder="1" applyAlignment="1">
      <alignment horizontal="center"/>
    </xf>
    <xf numFmtId="0" fontId="4" fillId="0" borderId="35" xfId="0" applyFont="1" applyBorder="1"/>
    <xf numFmtId="0" fontId="6" fillId="0" borderId="36" xfId="0" applyFont="1" applyBorder="1"/>
    <xf numFmtId="0" fontId="6" fillId="0" borderId="41" xfId="0" applyFont="1" applyBorder="1"/>
    <xf numFmtId="0" fontId="6" fillId="0" borderId="43" xfId="0" applyFont="1" applyBorder="1"/>
    <xf numFmtId="0" fontId="9" fillId="0" borderId="43" xfId="0" applyFont="1" applyBorder="1"/>
    <xf numFmtId="0" fontId="10" fillId="2" borderId="43" xfId="0" applyFont="1" applyFill="1" applyBorder="1"/>
    <xf numFmtId="0" fontId="4" fillId="0" borderId="47" xfId="0" applyFont="1" applyBorder="1"/>
    <xf numFmtId="0" fontId="6" fillId="0" borderId="54" xfId="0" applyFont="1" applyBorder="1" applyAlignment="1">
      <alignment horizontal="center"/>
    </xf>
    <xf numFmtId="0" fontId="6" fillId="0" borderId="46" xfId="0" applyFont="1" applyBorder="1"/>
    <xf numFmtId="0" fontId="6" fillId="0" borderId="16" xfId="0" applyFont="1" applyBorder="1" applyAlignment="1">
      <alignment horizontal="left"/>
    </xf>
    <xf numFmtId="0" fontId="6" fillId="0" borderId="51" xfId="0" applyFont="1" applyBorder="1"/>
    <xf numFmtId="0" fontId="4" fillId="0" borderId="51" xfId="0" applyFont="1" applyBorder="1" applyAlignment="1"/>
    <xf numFmtId="0" fontId="6" fillId="0" borderId="20" xfId="0" applyFont="1" applyBorder="1"/>
    <xf numFmtId="0" fontId="6" fillId="0" borderId="15" xfId="0" applyFont="1" applyBorder="1"/>
    <xf numFmtId="0" fontId="6" fillId="0" borderId="50" xfId="0" applyFont="1" applyBorder="1"/>
    <xf numFmtId="0" fontId="6" fillId="0" borderId="39" xfId="0" applyFont="1" applyBorder="1"/>
    <xf numFmtId="0" fontId="6" fillId="0" borderId="40" xfId="0" applyFont="1" applyBorder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8" fillId="0" borderId="4" xfId="0" applyFont="1" applyBorder="1"/>
    <xf numFmtId="0" fontId="8" fillId="0" borderId="45" xfId="0" applyFont="1" applyBorder="1"/>
    <xf numFmtId="0" fontId="0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 wrapText="1"/>
    </xf>
    <xf numFmtId="0" fontId="0" fillId="0" borderId="16" xfId="0" applyFont="1" applyBorder="1" applyAlignment="1"/>
    <xf numFmtId="0" fontId="8" fillId="0" borderId="16" xfId="0" applyFont="1" applyBorder="1"/>
    <xf numFmtId="0" fontId="4" fillId="0" borderId="42" xfId="0" applyFont="1" applyBorder="1" applyAlignment="1">
      <alignment horizontal="center"/>
    </xf>
    <xf numFmtId="0" fontId="8" fillId="0" borderId="36" xfId="0" applyFont="1" applyBorder="1"/>
    <xf numFmtId="0" fontId="8" fillId="0" borderId="41" xfId="0" applyFont="1" applyBorder="1"/>
    <xf numFmtId="0" fontId="8" fillId="0" borderId="37" xfId="0" applyFont="1" applyBorder="1"/>
    <xf numFmtId="164" fontId="6" fillId="0" borderId="18" xfId="0" applyNumberFormat="1" applyFont="1" applyBorder="1" applyAlignment="1">
      <alignment horizontal="center"/>
    </xf>
    <xf numFmtId="0" fontId="8" fillId="0" borderId="19" xfId="0" applyFont="1" applyBorder="1"/>
    <xf numFmtId="0" fontId="8" fillId="0" borderId="20" xfId="0" applyFont="1" applyBorder="1"/>
    <xf numFmtId="168" fontId="6" fillId="0" borderId="18" xfId="0" applyNumberFormat="1" applyFont="1" applyBorder="1" applyAlignment="1">
      <alignment horizontal="center"/>
    </xf>
    <xf numFmtId="168" fontId="8" fillId="0" borderId="19" xfId="0" applyNumberFormat="1" applyFont="1" applyBorder="1"/>
    <xf numFmtId="168" fontId="8" fillId="0" borderId="44" xfId="0" applyNumberFormat="1" applyFont="1" applyBorder="1"/>
    <xf numFmtId="0" fontId="6" fillId="0" borderId="18" xfId="0" applyFont="1" applyBorder="1" applyAlignment="1">
      <alignment horizontal="center"/>
    </xf>
    <xf numFmtId="165" fontId="4" fillId="0" borderId="18" xfId="0" applyNumberFormat="1" applyFont="1" applyBorder="1" applyAlignment="1">
      <alignment horizontal="center"/>
    </xf>
    <xf numFmtId="0" fontId="8" fillId="0" borderId="44" xfId="0" applyFont="1" applyBorder="1"/>
    <xf numFmtId="0" fontId="4" fillId="0" borderId="18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8" fillId="0" borderId="17" xfId="0" applyFont="1" applyBorder="1"/>
    <xf numFmtId="0" fontId="8" fillId="0" borderId="46" xfId="0" applyFont="1" applyBorder="1"/>
    <xf numFmtId="0" fontId="4" fillId="0" borderId="47" xfId="0" applyFont="1" applyBorder="1" applyAlignment="1">
      <alignment horizontal="left"/>
    </xf>
    <xf numFmtId="0" fontId="4" fillId="0" borderId="9" xfId="0" applyFont="1" applyBorder="1" applyAlignment="1">
      <alignment horizontal="center"/>
    </xf>
    <xf numFmtId="0" fontId="8" fillId="0" borderId="10" xfId="0" applyFont="1" applyBorder="1"/>
    <xf numFmtId="0" fontId="8" fillId="0" borderId="11" xfId="0" applyFont="1" applyBorder="1"/>
    <xf numFmtId="0" fontId="4" fillId="0" borderId="10" xfId="0" applyFont="1" applyBorder="1" applyAlignment="1">
      <alignment horizontal="center"/>
    </xf>
    <xf numFmtId="0" fontId="8" fillId="0" borderId="48" xfId="0" applyFont="1" applyBorder="1"/>
    <xf numFmtId="0" fontId="11" fillId="0" borderId="43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4" fillId="0" borderId="15" xfId="0" applyFont="1" applyBorder="1" applyAlignment="1">
      <alignment horizontal="center" vertical="center"/>
    </xf>
    <xf numFmtId="0" fontId="8" fillId="0" borderId="18" xfId="0" applyFont="1" applyBorder="1"/>
    <xf numFmtId="0" fontId="12" fillId="0" borderId="15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/>
    </xf>
    <xf numFmtId="0" fontId="4" fillId="0" borderId="43" xfId="0" applyFont="1" applyBorder="1" applyAlignment="1">
      <alignment horizontal="left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15" xfId="0" applyFont="1" applyBorder="1"/>
    <xf numFmtId="0" fontId="8" fillId="0" borderId="50" xfId="0" applyFont="1" applyBorder="1"/>
    <xf numFmtId="0" fontId="8" fillId="0" borderId="39" xfId="0" applyFont="1" applyBorder="1"/>
    <xf numFmtId="0" fontId="8" fillId="0" borderId="40" xfId="0" applyFont="1" applyBorder="1"/>
    <xf numFmtId="0" fontId="6" fillId="0" borderId="43" xfId="0" applyFont="1" applyBorder="1" applyAlignment="1">
      <alignment horizontal="left" vertical="top" wrapText="1"/>
    </xf>
    <xf numFmtId="0" fontId="8" fillId="0" borderId="43" xfId="0" applyFont="1" applyBorder="1"/>
    <xf numFmtId="0" fontId="8" fillId="0" borderId="38" xfId="0" applyFont="1" applyBorder="1"/>
    <xf numFmtId="0" fontId="8" fillId="0" borderId="49" xfId="0" applyFont="1" applyBorder="1"/>
    <xf numFmtId="0" fontId="6" fillId="0" borderId="51" xfId="0" applyFont="1" applyBorder="1" applyAlignment="1">
      <alignment horizontal="center"/>
    </xf>
    <xf numFmtId="0" fontId="4" fillId="0" borderId="4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2" xfId="0" applyFont="1" applyBorder="1" applyAlignment="1">
      <alignment horizontal="center" vertical="center"/>
    </xf>
    <xf numFmtId="0" fontId="8" fillId="0" borderId="53" xfId="0" applyFont="1" applyBorder="1"/>
    <xf numFmtId="0" fontId="4" fillId="0" borderId="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8" fillId="0" borderId="13" xfId="0" applyFont="1" applyBorder="1"/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166" fontId="6" fillId="0" borderId="10" xfId="0" applyNumberFormat="1" applyFont="1" applyBorder="1" applyAlignment="1">
      <alignment horizontal="center"/>
    </xf>
    <xf numFmtId="166" fontId="8" fillId="0" borderId="48" xfId="0" applyNumberFormat="1" applyFont="1" applyBorder="1"/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6" fillId="0" borderId="10" xfId="0" applyNumberFormat="1" applyFont="1" applyBorder="1" applyAlignment="1">
      <alignment horizontal="center"/>
    </xf>
    <xf numFmtId="0" fontId="8" fillId="0" borderId="48" xfId="0" applyNumberFormat="1" applyFont="1" applyBorder="1"/>
    <xf numFmtId="166" fontId="13" fillId="0" borderId="2" xfId="0" applyNumberFormat="1" applyFont="1" applyBorder="1" applyAlignment="1">
      <alignment horizontal="center" vertical="center"/>
    </xf>
    <xf numFmtId="166" fontId="8" fillId="0" borderId="45" xfId="0" applyNumberFormat="1" applyFont="1" applyBorder="1"/>
    <xf numFmtId="166" fontId="8" fillId="0" borderId="18" xfId="0" applyNumberFormat="1" applyFont="1" applyBorder="1"/>
    <xf numFmtId="166" fontId="8" fillId="0" borderId="44" xfId="0" applyNumberFormat="1" applyFont="1" applyBorder="1"/>
    <xf numFmtId="0" fontId="14" fillId="0" borderId="47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6" fillId="0" borderId="43" xfId="0" applyFont="1" applyBorder="1" applyAlignment="1">
      <alignment horizontal="left" wrapText="1"/>
    </xf>
    <xf numFmtId="0" fontId="15" fillId="0" borderId="43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1" fillId="0" borderId="2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8" fillId="0" borderId="7" xfId="0" applyFont="1" applyBorder="1"/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5" fillId="0" borderId="2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15" fillId="2" borderId="15" xfId="0" applyFont="1" applyFill="1" applyBorder="1" applyAlignment="1">
      <alignment horizontal="left" vertical="top" wrapText="1"/>
    </xf>
    <xf numFmtId="0" fontId="15" fillId="2" borderId="18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/>
    </xf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2" fontId="6" fillId="0" borderId="9" xfId="0" applyNumberFormat="1" applyFont="1" applyBorder="1" applyAlignment="1">
      <alignment horizontal="center"/>
    </xf>
    <xf numFmtId="2" fontId="4" fillId="0" borderId="10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1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29" xfId="0" applyNumberFormat="1" applyFont="1" applyBorder="1" applyAlignment="1">
      <alignment horizontal="center"/>
    </xf>
    <xf numFmtId="0" fontId="8" fillId="0" borderId="30" xfId="0" applyFont="1" applyBorder="1"/>
    <xf numFmtId="2" fontId="4" fillId="0" borderId="9" xfId="0" applyNumberFormat="1" applyFont="1" applyBorder="1" applyAlignment="1">
      <alignment horizontal="center"/>
    </xf>
    <xf numFmtId="2" fontId="8" fillId="0" borderId="11" xfId="0" applyNumberFormat="1" applyFont="1" applyBorder="1"/>
    <xf numFmtId="4" fontId="4" fillId="0" borderId="9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9" xfId="0" applyFont="1" applyBorder="1" applyAlignment="1">
      <alignment horizontal="left"/>
    </xf>
    <xf numFmtId="1" fontId="4" fillId="0" borderId="10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/>
    </xf>
    <xf numFmtId="0" fontId="8" fillId="0" borderId="21" xfId="0" applyFont="1" applyBorder="1"/>
    <xf numFmtId="0" fontId="6" fillId="0" borderId="10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/>
    </xf>
    <xf numFmtId="0" fontId="8" fillId="0" borderId="25" xfId="0" applyFont="1" applyBorder="1"/>
    <xf numFmtId="0" fontId="16" fillId="0" borderId="22" xfId="0" applyFont="1" applyBorder="1" applyAlignment="1">
      <alignment horizontal="center"/>
    </xf>
    <xf numFmtId="0" fontId="8" fillId="0" borderId="23" xfId="0" applyFont="1" applyBorder="1"/>
    <xf numFmtId="0" fontId="23" fillId="0" borderId="5" xfId="0" applyFont="1" applyBorder="1" applyAlignment="1">
      <alignment horizontal="left"/>
    </xf>
    <xf numFmtId="0" fontId="16" fillId="0" borderId="27" xfId="0" applyFont="1" applyBorder="1" applyAlignment="1">
      <alignment horizontal="center"/>
    </xf>
    <xf numFmtId="0" fontId="8" fillId="0" borderId="28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38</xdr:row>
      <xdr:rowOff>66675</xdr:rowOff>
    </xdr:from>
    <xdr:to>
      <xdr:col>8</xdr:col>
      <xdr:colOff>514350</xdr:colOff>
      <xdr:row>41</xdr:row>
      <xdr:rowOff>134452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1" t="s">
        <v>157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3" t="s">
        <v>142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workbookViewId="0">
      <selection activeCell="B26" sqref="B26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157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165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BK018/26-27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46252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2" customFormat="1" x14ac:dyDescent="0.25">
      <c r="A6" s="1" t="s">
        <v>55</v>
      </c>
      <c r="B6" s="8" t="s">
        <v>143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01" t="s">
        <v>21</v>
      </c>
      <c r="B7" s="103" t="s">
        <v>161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102"/>
      <c r="B8" s="102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102"/>
      <c r="B9" s="102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02"/>
      <c r="B10" s="102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02"/>
      <c r="B11" s="102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102"/>
      <c r="B12" s="102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144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144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159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159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2" t="s">
        <v>166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527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465.4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17.5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000"/>
  <sheetViews>
    <sheetView zoomScaleNormal="100" workbookViewId="0">
      <selection activeCell="P36" sqref="P36"/>
    </sheetView>
  </sheetViews>
  <sheetFormatPr defaultColWidth="14.42578125" defaultRowHeight="15" customHeight="1" x14ac:dyDescent="0.25"/>
  <cols>
    <col min="1" max="1" width="8.7109375" style="82" customWidth="1"/>
    <col min="2" max="2" width="8.28515625" style="82" customWidth="1"/>
    <col min="3" max="3" width="8.7109375" style="82" customWidth="1"/>
    <col min="4" max="4" width="18.28515625" style="82" customWidth="1"/>
    <col min="5" max="5" width="9.7109375" style="82" customWidth="1"/>
    <col min="6" max="6" width="6.5703125" style="82" customWidth="1"/>
    <col min="7" max="7" width="4.7109375" style="82" customWidth="1"/>
    <col min="8" max="8" width="12.5703125" style="82" bestFit="1" customWidth="1"/>
    <col min="9" max="9" width="8.7109375" style="82" customWidth="1"/>
    <col min="10" max="10" width="11.42578125" style="82" customWidth="1"/>
    <col min="11" max="15" width="8.7109375" style="82" customWidth="1"/>
    <col min="16" max="16" width="10.28515625" style="82" bestFit="1" customWidth="1"/>
    <col min="17" max="17" width="8.7109375" style="82" customWidth="1"/>
    <col min="18" max="18" width="14.85546875" style="82" bestFit="1" customWidth="1"/>
    <col min="19" max="26" width="8.7109375" style="82" customWidth="1"/>
    <col min="27" max="16384" width="14.42578125" style="82"/>
  </cols>
  <sheetData>
    <row r="1" spans="1:10" x14ac:dyDescent="0.25">
      <c r="A1" s="109" t="s">
        <v>162</v>
      </c>
      <c r="B1" s="110"/>
      <c r="C1" s="110"/>
      <c r="D1" s="110"/>
      <c r="E1" s="110"/>
      <c r="F1" s="110"/>
      <c r="G1" s="110"/>
      <c r="H1" s="110"/>
      <c r="I1" s="110"/>
      <c r="J1" s="110"/>
    </row>
    <row r="2" spans="1:10" ht="16.5" customHeight="1" thickBot="1" x14ac:dyDescent="0.3">
      <c r="A2" s="111"/>
      <c r="B2" s="111"/>
      <c r="C2" s="111"/>
      <c r="D2" s="111"/>
      <c r="E2" s="111"/>
      <c r="F2" s="111"/>
      <c r="G2" s="111"/>
      <c r="H2" s="111"/>
      <c r="I2" s="111"/>
      <c r="J2" s="111"/>
    </row>
    <row r="3" spans="1:10" x14ac:dyDescent="0.25">
      <c r="A3" s="84" t="s">
        <v>37</v>
      </c>
      <c r="B3" s="85"/>
      <c r="C3" s="85"/>
      <c r="D3" s="86"/>
      <c r="E3" s="112" t="s">
        <v>38</v>
      </c>
      <c r="F3" s="113"/>
      <c r="G3" s="114"/>
      <c r="H3" s="112" t="s">
        <v>39</v>
      </c>
      <c r="I3" s="113"/>
      <c r="J3" s="115"/>
    </row>
    <row r="4" spans="1:10" ht="15.75" thickBot="1" x14ac:dyDescent="0.3">
      <c r="A4" s="87" t="s">
        <v>40</v>
      </c>
      <c r="B4" s="64"/>
      <c r="C4" s="64"/>
      <c r="D4" s="66"/>
      <c r="E4" s="116" t="str">
        <f>'input data'!B3</f>
        <v>BK018/26-27</v>
      </c>
      <c r="F4" s="117"/>
      <c r="G4" s="118"/>
      <c r="H4" s="119">
        <f>'input data'!B4</f>
        <v>46252</v>
      </c>
      <c r="I4" s="120"/>
      <c r="J4" s="121"/>
    </row>
    <row r="5" spans="1:10" x14ac:dyDescent="0.25">
      <c r="A5" s="88" t="s">
        <v>41</v>
      </c>
      <c r="B5" s="64"/>
      <c r="C5" s="64"/>
      <c r="D5" s="66"/>
      <c r="E5" s="104" t="s">
        <v>42</v>
      </c>
      <c r="F5" s="105"/>
      <c r="G5" s="106"/>
      <c r="H5" s="104" t="s">
        <v>43</v>
      </c>
      <c r="I5" s="105"/>
      <c r="J5" s="107"/>
    </row>
    <row r="6" spans="1:10" ht="15.75" thickBot="1" x14ac:dyDescent="0.3">
      <c r="A6" s="88" t="s">
        <v>44</v>
      </c>
      <c r="B6" s="64"/>
      <c r="C6" s="64"/>
      <c r="D6" s="66"/>
      <c r="E6" s="122"/>
      <c r="F6" s="117"/>
      <c r="G6" s="118"/>
      <c r="H6" s="123" t="str">
        <f>'input data'!B5</f>
        <v>AD2403260504856</v>
      </c>
      <c r="I6" s="117"/>
      <c r="J6" s="124"/>
    </row>
    <row r="7" spans="1:10" x14ac:dyDescent="0.25">
      <c r="A7" s="88" t="s">
        <v>45</v>
      </c>
      <c r="B7" s="64"/>
      <c r="C7" s="64"/>
      <c r="D7" s="66"/>
      <c r="E7" s="104" t="s">
        <v>46</v>
      </c>
      <c r="F7" s="105"/>
      <c r="G7" s="106"/>
      <c r="H7" s="104" t="s">
        <v>47</v>
      </c>
      <c r="I7" s="105"/>
      <c r="J7" s="107"/>
    </row>
    <row r="8" spans="1:10" ht="15.75" thickBot="1" x14ac:dyDescent="0.3">
      <c r="A8" s="87" t="s">
        <v>48</v>
      </c>
      <c r="B8" s="64"/>
      <c r="C8" s="64"/>
      <c r="D8" s="66"/>
      <c r="E8" s="122" t="s">
        <v>49</v>
      </c>
      <c r="F8" s="117"/>
      <c r="G8" s="118"/>
      <c r="H8" s="125" t="s">
        <v>50</v>
      </c>
      <c r="I8" s="117"/>
      <c r="J8" s="124"/>
    </row>
    <row r="9" spans="1:10" x14ac:dyDescent="0.25">
      <c r="A9" s="89" t="s">
        <v>51</v>
      </c>
      <c r="B9" s="64"/>
      <c r="C9" s="64"/>
      <c r="D9" s="66"/>
      <c r="E9" s="104" t="s">
        <v>52</v>
      </c>
      <c r="F9" s="105"/>
      <c r="G9" s="106"/>
      <c r="H9" s="104" t="s">
        <v>53</v>
      </c>
      <c r="I9" s="105"/>
      <c r="J9" s="107"/>
    </row>
    <row r="10" spans="1:10" ht="15.75" thickBot="1" x14ac:dyDescent="0.3">
      <c r="A10" s="89" t="s">
        <v>54</v>
      </c>
      <c r="B10" s="64"/>
      <c r="C10" s="64"/>
      <c r="D10" s="66"/>
      <c r="E10" s="126" t="str">
        <f>'input data'!B14</f>
        <v>Loose packing</v>
      </c>
      <c r="F10" s="110"/>
      <c r="G10" s="127"/>
      <c r="H10" s="126" t="str">
        <f>'input data'!B13 &amp; " x " &amp; 'input data'!B15</f>
        <v>1 x FCL</v>
      </c>
      <c r="I10" s="110"/>
      <c r="J10" s="128"/>
    </row>
    <row r="11" spans="1:10" ht="15.75" thickBot="1" x14ac:dyDescent="0.3">
      <c r="A11" s="129" t="s">
        <v>55</v>
      </c>
      <c r="B11" s="105"/>
      <c r="C11" s="105"/>
      <c r="D11" s="106"/>
      <c r="E11" s="130" t="s">
        <v>56</v>
      </c>
      <c r="F11" s="131"/>
      <c r="G11" s="132"/>
      <c r="H11" s="133" t="s">
        <v>57</v>
      </c>
      <c r="I11" s="131"/>
      <c r="J11" s="134"/>
    </row>
    <row r="12" spans="1:10" ht="15" customHeight="1" x14ac:dyDescent="0.25">
      <c r="A12" s="141" t="str">
        <f>'input data'!B6</f>
        <v>To the Order</v>
      </c>
      <c r="B12" s="110"/>
      <c r="C12" s="110"/>
      <c r="D12" s="127"/>
      <c r="E12" s="142" t="str">
        <f>'input data'!B16</f>
        <v>CNF</v>
      </c>
      <c r="F12" s="110"/>
      <c r="G12" s="127"/>
      <c r="H12" s="143" t="str">
        <f>'input data'!B17</f>
        <v>100% Against Documents</v>
      </c>
      <c r="I12" s="110"/>
      <c r="J12" s="128"/>
    </row>
    <row r="13" spans="1:10" ht="15.75" thickBot="1" x14ac:dyDescent="0.3">
      <c r="A13" s="87"/>
      <c r="B13" s="64"/>
      <c r="C13" s="64"/>
      <c r="D13" s="66"/>
      <c r="E13" s="138"/>
      <c r="F13" s="117"/>
      <c r="G13" s="118"/>
      <c r="H13" s="117"/>
      <c r="I13" s="117"/>
      <c r="J13" s="124"/>
    </row>
    <row r="14" spans="1:10" x14ac:dyDescent="0.25">
      <c r="A14" s="90" t="s">
        <v>58</v>
      </c>
      <c r="B14" s="16"/>
      <c r="C14" s="16"/>
      <c r="D14" s="17"/>
      <c r="E14" s="144" t="s">
        <v>156</v>
      </c>
      <c r="F14" s="105"/>
      <c r="G14" s="105"/>
      <c r="H14" s="105"/>
      <c r="I14" s="105"/>
      <c r="J14" s="107"/>
    </row>
    <row r="15" spans="1:10" x14ac:dyDescent="0.25">
      <c r="A15" s="149" t="str">
        <f>'input data'!B7</f>
        <v xml:space="preserve">A-A STONE INVESTMENT TRADING COMPANY 
LIMITED
 34/5 TRAN KHANH DU STREET, TAN DINH WARD, 
HOCHIMINH CITY, VIETNAM
 TAX:0317458134
 MAIL: AASTONEDOCS@GMAIL.COM
</v>
      </c>
      <c r="B15" s="110"/>
      <c r="C15" s="110"/>
      <c r="D15" s="127"/>
      <c r="E15" s="145"/>
      <c r="F15" s="110"/>
      <c r="G15" s="110"/>
      <c r="H15" s="110"/>
      <c r="I15" s="110"/>
      <c r="J15" s="128"/>
    </row>
    <row r="16" spans="1:10" x14ac:dyDescent="0.25">
      <c r="A16" s="150"/>
      <c r="B16" s="110"/>
      <c r="C16" s="110"/>
      <c r="D16" s="127"/>
      <c r="E16" s="145"/>
      <c r="F16" s="110"/>
      <c r="G16" s="110"/>
      <c r="H16" s="110"/>
      <c r="I16" s="110"/>
      <c r="J16" s="128"/>
    </row>
    <row r="17" spans="1:20" x14ac:dyDescent="0.25">
      <c r="A17" s="150"/>
      <c r="B17" s="110"/>
      <c r="C17" s="110"/>
      <c r="D17" s="127"/>
      <c r="E17" s="145"/>
      <c r="F17" s="110"/>
      <c r="G17" s="110"/>
      <c r="H17" s="110"/>
      <c r="I17" s="110"/>
      <c r="J17" s="128"/>
    </row>
    <row r="18" spans="1:20" x14ac:dyDescent="0.25">
      <c r="A18" s="150"/>
      <c r="B18" s="110"/>
      <c r="C18" s="110"/>
      <c r="D18" s="127"/>
      <c r="E18" s="145"/>
      <c r="F18" s="110"/>
      <c r="G18" s="110"/>
      <c r="H18" s="110"/>
      <c r="I18" s="110"/>
      <c r="J18" s="128"/>
    </row>
    <row r="19" spans="1:20" x14ac:dyDescent="0.25">
      <c r="A19" s="150"/>
      <c r="B19" s="110"/>
      <c r="C19" s="110"/>
      <c r="D19" s="127"/>
      <c r="E19" s="145"/>
      <c r="F19" s="110"/>
      <c r="G19" s="110"/>
      <c r="H19" s="110"/>
      <c r="I19" s="110"/>
      <c r="J19" s="128"/>
    </row>
    <row r="20" spans="1:20" ht="48" customHeight="1" thickBot="1" x14ac:dyDescent="0.3">
      <c r="A20" s="151"/>
      <c r="B20" s="147"/>
      <c r="C20" s="147"/>
      <c r="D20" s="152"/>
      <c r="E20" s="146"/>
      <c r="F20" s="147"/>
      <c r="G20" s="147"/>
      <c r="H20" s="147"/>
      <c r="I20" s="147"/>
      <c r="J20" s="148"/>
    </row>
    <row r="21" spans="1:20" ht="15.75" customHeight="1" x14ac:dyDescent="0.25">
      <c r="A21" s="135" t="s">
        <v>59</v>
      </c>
      <c r="B21" s="127"/>
      <c r="C21" s="136" t="s">
        <v>28</v>
      </c>
      <c r="D21" s="127"/>
      <c r="E21" s="136" t="s">
        <v>60</v>
      </c>
      <c r="F21" s="111"/>
      <c r="G21" s="127"/>
      <c r="H21" s="136" t="s">
        <v>32</v>
      </c>
      <c r="I21" s="111"/>
      <c r="J21" s="128"/>
    </row>
    <row r="22" spans="1:20" ht="14.25" customHeight="1" x14ac:dyDescent="0.25">
      <c r="A22" s="135" t="s">
        <v>61</v>
      </c>
      <c r="B22" s="127"/>
      <c r="C22" s="137" t="str">
        <f>'input data'!B19</f>
        <v>CHENNAI</v>
      </c>
      <c r="D22" s="127"/>
      <c r="E22" s="139" t="s">
        <v>62</v>
      </c>
      <c r="F22" s="110"/>
      <c r="G22" s="127"/>
      <c r="H22" s="139" t="str">
        <f>'input data'!B23</f>
        <v>VIETNAM</v>
      </c>
      <c r="I22" s="110"/>
      <c r="J22" s="128"/>
    </row>
    <row r="23" spans="1:20" ht="15" customHeight="1" thickBot="1" x14ac:dyDescent="0.3">
      <c r="A23" s="140"/>
      <c r="B23" s="127"/>
      <c r="C23" s="138"/>
      <c r="D23" s="118"/>
      <c r="E23" s="138"/>
      <c r="F23" s="117"/>
      <c r="G23" s="118"/>
      <c r="H23" s="138"/>
      <c r="I23" s="117"/>
      <c r="J23" s="124"/>
    </row>
    <row r="24" spans="1:20" ht="15.75" customHeight="1" x14ac:dyDescent="0.25">
      <c r="A24" s="154" t="s">
        <v>63</v>
      </c>
      <c r="B24" s="106"/>
      <c r="C24" s="155" t="s">
        <v>29</v>
      </c>
      <c r="D24" s="106"/>
      <c r="E24" s="104" t="s">
        <v>30</v>
      </c>
      <c r="F24" s="105"/>
      <c r="G24" s="106"/>
      <c r="H24" s="155" t="s">
        <v>31</v>
      </c>
      <c r="I24" s="105"/>
      <c r="J24" s="107"/>
    </row>
    <row r="25" spans="1:20" ht="15.75" customHeight="1" thickBot="1" x14ac:dyDescent="0.3">
      <c r="A25" s="153"/>
      <c r="B25" s="118"/>
      <c r="C25" s="125" t="str">
        <f>'input data'!B20</f>
        <v>CHENNAI</v>
      </c>
      <c r="D25" s="118"/>
      <c r="E25" s="125" t="str">
        <f>'input data'!B21</f>
        <v>DA NANG</v>
      </c>
      <c r="F25" s="117"/>
      <c r="G25" s="118"/>
      <c r="H25" s="125" t="str">
        <f>'input data'!B22</f>
        <v>DA NANG</v>
      </c>
      <c r="I25" s="117"/>
      <c r="J25" s="124"/>
    </row>
    <row r="26" spans="1:20" ht="15.75" customHeight="1" x14ac:dyDescent="0.25">
      <c r="A26" s="156" t="s">
        <v>64</v>
      </c>
      <c r="B26" s="158" t="s">
        <v>65</v>
      </c>
      <c r="C26" s="105"/>
      <c r="D26" s="106"/>
      <c r="E26" s="159" t="s">
        <v>66</v>
      </c>
      <c r="F26" s="104" t="s">
        <v>67</v>
      </c>
      <c r="G26" s="106"/>
      <c r="H26" s="22" t="s">
        <v>36</v>
      </c>
      <c r="I26" s="104" t="s">
        <v>68</v>
      </c>
      <c r="J26" s="107"/>
    </row>
    <row r="27" spans="1:20" ht="15.75" customHeight="1" thickBot="1" x14ac:dyDescent="0.3">
      <c r="A27" s="157"/>
      <c r="B27" s="145"/>
      <c r="C27" s="110"/>
      <c r="D27" s="127"/>
      <c r="E27" s="160"/>
      <c r="F27" s="125" t="s">
        <v>69</v>
      </c>
      <c r="G27" s="118"/>
      <c r="H27" s="70" t="s">
        <v>69</v>
      </c>
      <c r="I27" s="125" t="s">
        <v>70</v>
      </c>
      <c r="J27" s="124"/>
    </row>
    <row r="28" spans="1:20" ht="15.75" customHeight="1" thickBot="1" x14ac:dyDescent="0.3">
      <c r="A28" s="91">
        <v>1</v>
      </c>
      <c r="B28" s="161" t="str">
        <f>'input data'!B18</f>
        <v>NATURAL POLISHED GRANITE SLABS</v>
      </c>
      <c r="C28" s="131"/>
      <c r="D28" s="132"/>
      <c r="E28" s="25">
        <v>68022390</v>
      </c>
      <c r="F28" s="162">
        <f>'input data'!B26</f>
        <v>465.4</v>
      </c>
      <c r="G28" s="131"/>
      <c r="H28" s="83">
        <f>'input data'!B27</f>
        <v>17.5</v>
      </c>
      <c r="I28" s="163">
        <f>F28*H28</f>
        <v>8144.5</v>
      </c>
      <c r="J28" s="164"/>
      <c r="O28" s="71"/>
      <c r="P28" s="71"/>
      <c r="Q28" s="71"/>
    </row>
    <row r="29" spans="1:20" ht="15.75" customHeight="1" x14ac:dyDescent="0.25">
      <c r="A29" s="87" t="s">
        <v>33</v>
      </c>
      <c r="B29" s="64"/>
      <c r="C29" s="64" t="s">
        <v>34</v>
      </c>
      <c r="D29" s="64" t="s">
        <v>71</v>
      </c>
      <c r="E29" s="64" t="s">
        <v>72</v>
      </c>
      <c r="F29" s="64"/>
      <c r="G29" s="64"/>
      <c r="H29" s="165" t="s">
        <v>148</v>
      </c>
      <c r="I29" s="64"/>
      <c r="J29" s="92"/>
      <c r="S29" s="108"/>
      <c r="T29" s="108"/>
    </row>
    <row r="30" spans="1:20" ht="15.75" customHeight="1" x14ac:dyDescent="0.25">
      <c r="A30" s="167" t="str">
        <f>UPPER('input data'!B24)</f>
        <v>KKTU8031757</v>
      </c>
      <c r="B30" s="110"/>
      <c r="C30" s="93">
        <f>'input data'!B25</f>
        <v>527</v>
      </c>
      <c r="D30" s="64" t="s">
        <v>73</v>
      </c>
      <c r="E30" s="64" t="s">
        <v>74</v>
      </c>
      <c r="F30" s="64"/>
      <c r="G30" s="64"/>
      <c r="H30" s="165"/>
      <c r="I30" s="64"/>
      <c r="J30" s="92"/>
    </row>
    <row r="31" spans="1:20" ht="15.75" customHeight="1" x14ac:dyDescent="0.25">
      <c r="A31" s="87"/>
      <c r="B31" s="64"/>
      <c r="C31" s="64"/>
      <c r="D31" s="64"/>
      <c r="E31" s="64"/>
      <c r="F31" s="64"/>
      <c r="G31" s="64"/>
      <c r="H31" s="165"/>
      <c r="I31" s="64"/>
      <c r="J31" s="92"/>
    </row>
    <row r="32" spans="1:20" ht="15.75" customHeight="1" x14ac:dyDescent="0.25">
      <c r="A32" s="87"/>
      <c r="B32" s="64"/>
      <c r="C32" s="64"/>
      <c r="D32" s="64"/>
      <c r="E32" s="64"/>
      <c r="F32" s="64"/>
      <c r="G32" s="64"/>
      <c r="H32" s="165"/>
      <c r="I32" s="64"/>
      <c r="J32" s="92"/>
    </row>
    <row r="33" spans="1:10" ht="15.75" customHeight="1" x14ac:dyDescent="0.25">
      <c r="A33" s="87"/>
      <c r="B33" s="64"/>
      <c r="C33" s="64"/>
      <c r="D33" s="64"/>
      <c r="E33" s="64"/>
      <c r="F33" s="64"/>
      <c r="G33" s="64"/>
      <c r="H33" s="165"/>
      <c r="I33" s="64"/>
      <c r="J33" s="92"/>
    </row>
    <row r="34" spans="1:10" ht="15.75" customHeight="1" thickBot="1" x14ac:dyDescent="0.3">
      <c r="A34" s="87"/>
      <c r="B34" s="64"/>
      <c r="C34" s="64"/>
      <c r="D34" s="64"/>
      <c r="E34" s="64"/>
      <c r="F34" s="168"/>
      <c r="G34" s="110"/>
      <c r="H34" s="165"/>
      <c r="I34" s="64"/>
      <c r="J34" s="92"/>
    </row>
    <row r="35" spans="1:10" ht="15.75" customHeight="1" thickBot="1" x14ac:dyDescent="0.3">
      <c r="A35" s="94"/>
      <c r="B35" s="65"/>
      <c r="C35" s="65"/>
      <c r="D35" s="65"/>
      <c r="E35" s="65"/>
      <c r="F35" s="65"/>
      <c r="G35" s="65"/>
      <c r="H35" s="166"/>
      <c r="I35" s="169"/>
      <c r="J35" s="170"/>
    </row>
    <row r="36" spans="1:10" ht="15.75" customHeight="1" x14ac:dyDescent="0.25">
      <c r="A36" s="90" t="s">
        <v>75</v>
      </c>
      <c r="B36" s="16"/>
      <c r="C36" s="16"/>
      <c r="D36" s="16"/>
      <c r="E36" s="16"/>
      <c r="F36" s="16"/>
      <c r="G36" s="16"/>
      <c r="H36" s="66"/>
      <c r="I36" s="171">
        <f>I28</f>
        <v>8144.5</v>
      </c>
      <c r="J36" s="172"/>
    </row>
    <row r="37" spans="1:10" ht="15.75" customHeight="1" thickBot="1" x14ac:dyDescent="0.3">
      <c r="A37" s="95" t="str">
        <f>SpellNumberUSD(I36)</f>
        <v>Eight Thousand One Hundred Forty Four Dollars and Fifty  Cents</v>
      </c>
      <c r="B37" s="65"/>
      <c r="C37" s="65"/>
      <c r="D37" s="65"/>
      <c r="E37" s="65"/>
      <c r="F37" s="65"/>
      <c r="G37" s="65"/>
      <c r="H37" s="96"/>
      <c r="I37" s="173"/>
      <c r="J37" s="174"/>
    </row>
    <row r="38" spans="1:10" ht="15.75" customHeight="1" x14ac:dyDescent="0.25">
      <c r="A38" s="175" t="s">
        <v>76</v>
      </c>
      <c r="B38" s="105"/>
      <c r="C38" s="105"/>
      <c r="D38" s="106"/>
      <c r="E38" s="176" t="s">
        <v>77</v>
      </c>
      <c r="F38" s="105"/>
      <c r="G38" s="105"/>
      <c r="H38" s="105"/>
      <c r="I38" s="105"/>
      <c r="J38" s="107"/>
    </row>
    <row r="39" spans="1:10" ht="19.5" customHeight="1" x14ac:dyDescent="0.25">
      <c r="A39" s="177" t="s">
        <v>78</v>
      </c>
      <c r="B39" s="110"/>
      <c r="C39" s="110"/>
      <c r="D39" s="127"/>
      <c r="E39" s="97" t="s">
        <v>79</v>
      </c>
      <c r="F39" s="64"/>
      <c r="G39" s="64"/>
      <c r="H39" s="64"/>
      <c r="I39" s="64"/>
      <c r="J39" s="92"/>
    </row>
    <row r="40" spans="1:10" ht="19.5" customHeight="1" x14ac:dyDescent="0.25">
      <c r="A40" s="150"/>
      <c r="B40" s="110"/>
      <c r="C40" s="110"/>
      <c r="D40" s="127"/>
      <c r="E40" s="97"/>
      <c r="F40" s="64"/>
      <c r="G40" s="64"/>
      <c r="H40" s="64"/>
      <c r="I40" s="64"/>
      <c r="J40" s="92"/>
    </row>
    <row r="41" spans="1:10" ht="15.75" customHeight="1" x14ac:dyDescent="0.25">
      <c r="A41" s="178" t="s">
        <v>80</v>
      </c>
      <c r="B41" s="110"/>
      <c r="C41" s="110"/>
      <c r="D41" s="127"/>
      <c r="E41" s="97"/>
      <c r="F41" s="64"/>
      <c r="G41" s="64"/>
      <c r="H41" s="64"/>
      <c r="I41" s="64"/>
      <c r="J41" s="92"/>
    </row>
    <row r="42" spans="1:10" ht="18.75" customHeight="1" thickBot="1" x14ac:dyDescent="0.3">
      <c r="A42" s="151"/>
      <c r="B42" s="147"/>
      <c r="C42" s="147"/>
      <c r="D42" s="152"/>
      <c r="E42" s="98" t="s">
        <v>81</v>
      </c>
      <c r="F42" s="99"/>
      <c r="G42" s="99"/>
      <c r="H42" s="99"/>
      <c r="I42" s="99"/>
      <c r="J42" s="100"/>
    </row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2">
    <mergeCell ref="I36:J37"/>
    <mergeCell ref="A38:D38"/>
    <mergeCell ref="E38:J38"/>
    <mergeCell ref="A39:D40"/>
    <mergeCell ref="A41:D42"/>
    <mergeCell ref="B28:D28"/>
    <mergeCell ref="F28:G28"/>
    <mergeCell ref="I28:J28"/>
    <mergeCell ref="H29:H35"/>
    <mergeCell ref="A30:B30"/>
    <mergeCell ref="F34:G34"/>
    <mergeCell ref="I35:J35"/>
    <mergeCell ref="A26:A27"/>
    <mergeCell ref="B26:D27"/>
    <mergeCell ref="E26:E27"/>
    <mergeCell ref="F26:G26"/>
    <mergeCell ref="I26:J26"/>
    <mergeCell ref="F27:G27"/>
    <mergeCell ref="I27:J27"/>
    <mergeCell ref="A25:B25"/>
    <mergeCell ref="C25:D25"/>
    <mergeCell ref="E25:G25"/>
    <mergeCell ref="H25:J25"/>
    <mergeCell ref="A24:B24"/>
    <mergeCell ref="C24:D24"/>
    <mergeCell ref="E24:G24"/>
    <mergeCell ref="H24:J24"/>
    <mergeCell ref="A12:D12"/>
    <mergeCell ref="E12:G13"/>
    <mergeCell ref="H12:J13"/>
    <mergeCell ref="E14:J20"/>
    <mergeCell ref="A15:D20"/>
    <mergeCell ref="A21:B21"/>
    <mergeCell ref="C21:D21"/>
    <mergeCell ref="E21:G21"/>
    <mergeCell ref="H21:J21"/>
    <mergeCell ref="A22:B22"/>
    <mergeCell ref="C22:D23"/>
    <mergeCell ref="E22:G23"/>
    <mergeCell ref="H22:J23"/>
    <mergeCell ref="A23:B23"/>
    <mergeCell ref="E10:G10"/>
    <mergeCell ref="H10:J10"/>
    <mergeCell ref="A11:D11"/>
    <mergeCell ref="E11:G11"/>
    <mergeCell ref="H11:J11"/>
    <mergeCell ref="E5:G5"/>
    <mergeCell ref="H5:J5"/>
    <mergeCell ref="S29:T29"/>
    <mergeCell ref="A1:J2"/>
    <mergeCell ref="E3:G3"/>
    <mergeCell ref="H3:J3"/>
    <mergeCell ref="E4:G4"/>
    <mergeCell ref="H4:J4"/>
    <mergeCell ref="E6:G6"/>
    <mergeCell ref="H6:J6"/>
    <mergeCell ref="E7:G7"/>
    <mergeCell ref="H7:J7"/>
    <mergeCell ref="E8:G8"/>
    <mergeCell ref="H8:J8"/>
    <mergeCell ref="E9:G9"/>
    <mergeCell ref="H9:J9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colBreaks count="1" manualBreakCount="1">
    <brk id="10" max="41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abSelected="1" topLeftCell="A7" workbookViewId="0">
      <selection activeCell="N22" sqref="N22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95" t="s">
        <v>82</v>
      </c>
      <c r="B1" s="102"/>
      <c r="C1" s="102"/>
      <c r="D1" s="102"/>
      <c r="E1" s="102"/>
      <c r="F1" s="102"/>
      <c r="G1" s="102"/>
      <c r="H1" s="102"/>
      <c r="I1" s="102"/>
      <c r="J1" s="102"/>
    </row>
    <row r="2" spans="1:10" x14ac:dyDescent="0.25">
      <c r="A2" s="176" t="s">
        <v>83</v>
      </c>
      <c r="B2" s="105"/>
      <c r="C2" s="105"/>
      <c r="D2" s="105"/>
      <c r="E2" s="105"/>
      <c r="F2" s="106"/>
      <c r="G2" s="104" t="s">
        <v>38</v>
      </c>
      <c r="H2" s="106"/>
      <c r="I2" s="179" t="s">
        <v>39</v>
      </c>
      <c r="J2" s="106"/>
    </row>
    <row r="3" spans="1:10" ht="15.75" x14ac:dyDescent="0.25">
      <c r="A3" s="196" t="s">
        <v>84</v>
      </c>
      <c r="B3" s="102"/>
      <c r="C3" s="102"/>
      <c r="D3" s="102"/>
      <c r="E3" s="102"/>
      <c r="F3" s="181"/>
      <c r="G3" s="197" t="str">
        <f>'input data'!B3</f>
        <v>BK018/26-27</v>
      </c>
      <c r="H3" s="184"/>
      <c r="I3" s="198">
        <f>'input data'!B4</f>
        <v>46252</v>
      </c>
      <c r="J3" s="199"/>
    </row>
    <row r="4" spans="1:10" x14ac:dyDescent="0.25">
      <c r="A4" s="18" t="s">
        <v>85</v>
      </c>
      <c r="B4" s="4"/>
      <c r="C4" s="4"/>
      <c r="D4" s="4"/>
      <c r="E4" s="4"/>
      <c r="F4" s="19"/>
      <c r="G4" s="179" t="s">
        <v>43</v>
      </c>
      <c r="H4" s="105"/>
      <c r="I4" s="105"/>
      <c r="J4" s="106"/>
    </row>
    <row r="5" spans="1:10" x14ac:dyDescent="0.25">
      <c r="A5" s="18" t="s">
        <v>86</v>
      </c>
      <c r="B5" s="4"/>
      <c r="C5" s="4"/>
      <c r="D5" s="4"/>
      <c r="E5" s="4"/>
      <c r="F5" s="19"/>
      <c r="G5" s="183" t="str">
        <f>'input data'!B5</f>
        <v>AD2403260504856</v>
      </c>
      <c r="H5" s="185"/>
      <c r="I5" s="185"/>
      <c r="J5" s="184"/>
    </row>
    <row r="6" spans="1:10" x14ac:dyDescent="0.25">
      <c r="A6" s="186" t="s">
        <v>87</v>
      </c>
      <c r="B6" s="102"/>
      <c r="C6" s="102"/>
      <c r="D6" s="102"/>
      <c r="E6" s="102"/>
      <c r="F6" s="19"/>
      <c r="G6" s="21"/>
      <c r="H6" s="28"/>
      <c r="I6" s="28"/>
      <c r="J6" s="30"/>
    </row>
    <row r="7" spans="1:10" x14ac:dyDescent="0.25">
      <c r="A7" s="18" t="s">
        <v>88</v>
      </c>
      <c r="B7" s="4"/>
      <c r="C7" s="4"/>
      <c r="D7" s="4"/>
      <c r="E7" s="4"/>
      <c r="F7" s="19"/>
      <c r="G7" s="31" t="s">
        <v>89</v>
      </c>
      <c r="H7" s="16"/>
      <c r="I7" s="16"/>
      <c r="J7" s="17"/>
    </row>
    <row r="8" spans="1:10" ht="15.75" x14ac:dyDescent="0.25">
      <c r="A8" s="32" t="s">
        <v>90</v>
      </c>
      <c r="B8" s="4"/>
      <c r="C8" s="4"/>
      <c r="D8" s="4"/>
      <c r="E8" s="4"/>
      <c r="F8" s="19"/>
      <c r="G8" s="33" t="s">
        <v>91</v>
      </c>
      <c r="H8" s="34"/>
      <c r="I8" s="34"/>
      <c r="J8" s="35"/>
    </row>
    <row r="9" spans="1:10" ht="15.75" x14ac:dyDescent="0.25">
      <c r="A9" s="36" t="s">
        <v>51</v>
      </c>
      <c r="B9" s="4"/>
      <c r="C9" s="4"/>
      <c r="D9" s="4"/>
      <c r="E9" s="4"/>
      <c r="F9" s="19"/>
      <c r="G9" s="33" t="s">
        <v>92</v>
      </c>
      <c r="H9" s="34"/>
      <c r="I9" s="34"/>
      <c r="J9" s="35"/>
    </row>
    <row r="10" spans="1:10" x14ac:dyDescent="0.25">
      <c r="A10" s="37" t="s">
        <v>54</v>
      </c>
      <c r="B10" s="29"/>
      <c r="C10" s="29"/>
      <c r="D10" s="29"/>
      <c r="E10" s="29"/>
      <c r="F10" s="26"/>
      <c r="G10" s="27"/>
      <c r="H10" s="29"/>
      <c r="I10" s="29"/>
      <c r="J10" s="26"/>
    </row>
    <row r="11" spans="1:10" x14ac:dyDescent="0.25">
      <c r="A11" s="187" t="s">
        <v>55</v>
      </c>
      <c r="B11" s="105"/>
      <c r="C11" s="105"/>
      <c r="D11" s="105"/>
      <c r="E11" s="105"/>
      <c r="F11" s="17"/>
      <c r="G11" s="31" t="s">
        <v>93</v>
      </c>
      <c r="H11" s="16"/>
      <c r="I11" s="16"/>
      <c r="J11" s="17"/>
    </row>
    <row r="12" spans="1:10" x14ac:dyDescent="0.25">
      <c r="A12" s="188" t="str">
        <f>'input data'!B6</f>
        <v>To the Order</v>
      </c>
      <c r="B12" s="102"/>
      <c r="C12" s="102"/>
      <c r="D12" s="102"/>
      <c r="E12" s="102"/>
      <c r="F12" s="19"/>
      <c r="G12" s="18"/>
      <c r="H12" s="4"/>
      <c r="I12" s="4"/>
      <c r="J12" s="19"/>
    </row>
    <row r="13" spans="1:10" x14ac:dyDescent="0.25">
      <c r="A13" s="189"/>
      <c r="B13" s="185"/>
      <c r="C13" s="185"/>
      <c r="D13" s="185"/>
      <c r="E13" s="185"/>
      <c r="F13" s="26"/>
      <c r="G13" s="18"/>
      <c r="H13" s="4"/>
      <c r="I13" s="4"/>
      <c r="J13" s="19"/>
    </row>
    <row r="14" spans="1:10" x14ac:dyDescent="0.25">
      <c r="A14" s="187" t="s">
        <v>58</v>
      </c>
      <c r="B14" s="105"/>
      <c r="C14" s="105"/>
      <c r="D14" s="105"/>
      <c r="E14" s="105"/>
      <c r="F14" s="106"/>
      <c r="G14" s="18"/>
      <c r="H14" s="4"/>
      <c r="I14" s="4"/>
      <c r="J14" s="19"/>
    </row>
    <row r="15" spans="1:10" x14ac:dyDescent="0.25">
      <c r="A15" s="190" t="str">
        <f>'input data'!B7</f>
        <v xml:space="preserve">A-A STONE INVESTMENT TRADING COMPANY 
LIMITED
 34/5 TRAN KHANH DU STREET, TAN DINH WARD, 
HOCHIMINH CITY, VIETNAM
 TAX:0317458134
 MAIL: AASTONEDOCS@GMAIL.COM
</v>
      </c>
      <c r="B15" s="102"/>
      <c r="C15" s="102"/>
      <c r="D15" s="102"/>
      <c r="E15" s="102"/>
      <c r="F15" s="181"/>
      <c r="G15" s="18"/>
      <c r="H15" s="4"/>
      <c r="I15" s="4"/>
      <c r="J15" s="19"/>
    </row>
    <row r="16" spans="1:10" x14ac:dyDescent="0.25">
      <c r="A16" s="191"/>
      <c r="B16" s="102"/>
      <c r="C16" s="102"/>
      <c r="D16" s="102"/>
      <c r="E16" s="102"/>
      <c r="F16" s="181"/>
      <c r="G16" s="18"/>
      <c r="H16" s="4"/>
      <c r="I16" s="4"/>
      <c r="J16" s="19"/>
    </row>
    <row r="17" spans="1:10" x14ac:dyDescent="0.25">
      <c r="A17" s="191"/>
      <c r="B17" s="102"/>
      <c r="C17" s="102"/>
      <c r="D17" s="102"/>
      <c r="E17" s="102"/>
      <c r="F17" s="181"/>
      <c r="G17" s="18"/>
      <c r="H17" s="4"/>
      <c r="I17" s="4"/>
      <c r="J17" s="19"/>
    </row>
    <row r="18" spans="1:10" ht="37.5" customHeight="1" x14ac:dyDescent="0.25">
      <c r="A18" s="191"/>
      <c r="B18" s="102"/>
      <c r="C18" s="102"/>
      <c r="D18" s="102"/>
      <c r="E18" s="102"/>
      <c r="F18" s="181"/>
      <c r="G18" s="182" t="s">
        <v>94</v>
      </c>
      <c r="H18" s="106"/>
      <c r="I18" s="201" t="s">
        <v>95</v>
      </c>
      <c r="J18" s="106"/>
    </row>
    <row r="19" spans="1:10" ht="15" customHeight="1" x14ac:dyDescent="0.25">
      <c r="A19" s="191"/>
      <c r="B19" s="102"/>
      <c r="C19" s="102"/>
      <c r="D19" s="102"/>
      <c r="E19" s="102"/>
      <c r="F19" s="181"/>
      <c r="G19" s="189"/>
      <c r="H19" s="184"/>
      <c r="I19" s="185"/>
      <c r="J19" s="184"/>
    </row>
    <row r="20" spans="1:10" ht="30.75" customHeight="1" x14ac:dyDescent="0.25">
      <c r="A20" s="189"/>
      <c r="B20" s="185"/>
      <c r="C20" s="185"/>
      <c r="D20" s="185"/>
      <c r="E20" s="185"/>
      <c r="F20" s="184"/>
      <c r="G20" s="202" t="s">
        <v>62</v>
      </c>
      <c r="H20" s="184"/>
      <c r="I20" s="202" t="str">
        <f>'input data'!B23</f>
        <v>VIETNAM</v>
      </c>
      <c r="J20" s="184"/>
    </row>
    <row r="21" spans="1:10" ht="15.75" customHeight="1" x14ac:dyDescent="0.25">
      <c r="A21" s="192" t="s">
        <v>96</v>
      </c>
      <c r="B21" s="105"/>
      <c r="C21" s="106"/>
      <c r="D21" s="192" t="s">
        <v>97</v>
      </c>
      <c r="E21" s="105"/>
      <c r="F21" s="106"/>
      <c r="G21" s="193" t="s">
        <v>98</v>
      </c>
      <c r="H21" s="131"/>
      <c r="I21" s="131"/>
      <c r="J21" s="132"/>
    </row>
    <row r="22" spans="1:10" ht="15.75" customHeight="1" x14ac:dyDescent="0.25">
      <c r="A22" s="194"/>
      <c r="B22" s="185"/>
      <c r="C22" s="184"/>
      <c r="D22" s="183" t="str">
        <f>'input data'!B19</f>
        <v>CHENNAI</v>
      </c>
      <c r="E22" s="185"/>
      <c r="F22" s="184"/>
      <c r="G22" s="200" t="str">
        <f>'input data'!B16</f>
        <v>CNF</v>
      </c>
      <c r="H22" s="185"/>
      <c r="I22" s="185"/>
      <c r="J22" s="184"/>
    </row>
    <row r="23" spans="1:10" ht="15.75" customHeight="1" x14ac:dyDescent="0.25">
      <c r="A23" s="192" t="s">
        <v>99</v>
      </c>
      <c r="B23" s="105"/>
      <c r="C23" s="106"/>
      <c r="D23" s="192" t="s">
        <v>100</v>
      </c>
      <c r="E23" s="105"/>
      <c r="F23" s="106"/>
      <c r="G23" s="38"/>
      <c r="H23" s="39"/>
      <c r="I23" s="39"/>
      <c r="J23" s="40"/>
    </row>
    <row r="24" spans="1:10" ht="15.75" customHeight="1" x14ac:dyDescent="0.25">
      <c r="A24" s="194"/>
      <c r="B24" s="185"/>
      <c r="C24" s="184"/>
      <c r="D24" s="183" t="str">
        <f>'input data'!B20</f>
        <v>CHENNAI</v>
      </c>
      <c r="E24" s="185"/>
      <c r="F24" s="184"/>
      <c r="G24" s="27"/>
      <c r="H24" s="29"/>
      <c r="I24" s="29"/>
      <c r="J24" s="26"/>
    </row>
    <row r="25" spans="1:10" ht="15.75" customHeight="1" x14ac:dyDescent="0.25">
      <c r="A25" s="192" t="s">
        <v>30</v>
      </c>
      <c r="B25" s="105"/>
      <c r="C25" s="106"/>
      <c r="D25" s="192" t="s">
        <v>31</v>
      </c>
      <c r="E25" s="105"/>
      <c r="F25" s="106"/>
      <c r="G25" s="203" t="s">
        <v>101</v>
      </c>
      <c r="H25" s="131"/>
      <c r="I25" s="131"/>
      <c r="J25" s="132"/>
    </row>
    <row r="26" spans="1:10" ht="15.75" customHeight="1" x14ac:dyDescent="0.25">
      <c r="A26" s="180" t="str">
        <f>'input data'!B21</f>
        <v>DA NANG</v>
      </c>
      <c r="B26" s="102"/>
      <c r="C26" s="181"/>
      <c r="D26" s="180" t="str">
        <f>'input data'!B22</f>
        <v>DA NANG</v>
      </c>
      <c r="E26" s="102"/>
      <c r="F26" s="181"/>
      <c r="G26" s="182" t="str">
        <f>'input data'!B17</f>
        <v>100% Against Documents</v>
      </c>
      <c r="H26" s="105"/>
      <c r="I26" s="105"/>
      <c r="J26" s="106"/>
    </row>
    <row r="27" spans="1:10" ht="15.75" customHeight="1" x14ac:dyDescent="0.25">
      <c r="A27" s="41"/>
      <c r="B27" s="42"/>
      <c r="C27" s="42"/>
      <c r="D27" s="42"/>
      <c r="E27" s="42"/>
      <c r="F27" s="42"/>
      <c r="G27" s="42"/>
      <c r="H27" s="42"/>
      <c r="I27" s="42"/>
      <c r="J27" s="43"/>
    </row>
    <row r="28" spans="1:10" ht="15.75" customHeight="1" x14ac:dyDescent="0.25">
      <c r="A28" s="23" t="s">
        <v>64</v>
      </c>
      <c r="B28" s="183" t="s">
        <v>102</v>
      </c>
      <c r="C28" s="184"/>
      <c r="D28" s="183" t="s">
        <v>65</v>
      </c>
      <c r="E28" s="185"/>
      <c r="F28" s="185"/>
      <c r="G28" s="44"/>
      <c r="H28" s="45"/>
      <c r="I28" s="183" t="s">
        <v>69</v>
      </c>
      <c r="J28" s="184"/>
    </row>
    <row r="29" spans="1:10" ht="15.75" customHeight="1" thickBot="1" x14ac:dyDescent="0.3">
      <c r="A29" s="24">
        <v>1</v>
      </c>
      <c r="B29" s="161">
        <f>Invoice!E28</f>
        <v>68022390</v>
      </c>
      <c r="C29" s="132"/>
      <c r="D29" s="211" t="str">
        <f>'input data'!B18</f>
        <v>NATURAL POLISHED GRANITE SLABS</v>
      </c>
      <c r="E29" s="131"/>
      <c r="F29" s="131"/>
      <c r="G29" s="131"/>
      <c r="H29" s="132"/>
      <c r="I29" s="212">
        <f>'input data'!B26</f>
        <v>465.4</v>
      </c>
      <c r="J29" s="132"/>
    </row>
    <row r="30" spans="1:10" ht="15.75" customHeight="1" thickBot="1" x14ac:dyDescent="0.3">
      <c r="A30" s="46" t="s">
        <v>103</v>
      </c>
      <c r="B30" s="42"/>
      <c r="C30" s="42"/>
      <c r="D30" s="42"/>
      <c r="E30" s="42"/>
      <c r="F30" s="42"/>
      <c r="G30" s="42"/>
      <c r="H30" s="42"/>
      <c r="I30" s="213">
        <f>SUM(I29:I29)</f>
        <v>465.4</v>
      </c>
      <c r="J30" s="132"/>
    </row>
    <row r="31" spans="1:10" ht="15.75" customHeight="1" x14ac:dyDescent="0.25">
      <c r="A31" s="32"/>
      <c r="B31" s="4"/>
      <c r="C31" s="4"/>
      <c r="D31" s="4"/>
      <c r="E31" s="4"/>
      <c r="F31" s="4"/>
      <c r="G31" s="4"/>
      <c r="H31" s="4"/>
      <c r="I31" s="28"/>
      <c r="J31" s="30"/>
    </row>
    <row r="32" spans="1:10" ht="15.75" customHeight="1" x14ac:dyDescent="0.25">
      <c r="A32" s="180" t="s">
        <v>104</v>
      </c>
      <c r="B32" s="102"/>
      <c r="C32" s="28" t="s">
        <v>34</v>
      </c>
      <c r="D32" s="207" t="s">
        <v>71</v>
      </c>
      <c r="E32" s="102"/>
      <c r="F32" s="28" t="s">
        <v>72</v>
      </c>
      <c r="G32" s="28"/>
      <c r="H32" s="4"/>
      <c r="I32" s="28"/>
      <c r="J32" s="30"/>
    </row>
    <row r="33" spans="1:12" ht="15.75" customHeight="1" x14ac:dyDescent="0.25">
      <c r="A33" s="208" t="str">
        <f>Invoice!A30</f>
        <v>KKTU8031757</v>
      </c>
      <c r="B33" s="102"/>
      <c r="C33" s="47">
        <f>'input data'!B25</f>
        <v>527</v>
      </c>
      <c r="D33" s="209" t="s">
        <v>105</v>
      </c>
      <c r="E33" s="102"/>
      <c r="F33" s="47" t="s">
        <v>106</v>
      </c>
      <c r="G33" s="47"/>
      <c r="H33" s="4"/>
      <c r="I33" s="4"/>
      <c r="J33" s="19"/>
    </row>
    <row r="34" spans="1:12" ht="15.75" customHeight="1" x14ac:dyDescent="0.25">
      <c r="A34" s="20"/>
      <c r="B34" s="48"/>
      <c r="C34" s="48"/>
      <c r="D34" s="48"/>
      <c r="E34" s="48"/>
      <c r="F34" s="48"/>
      <c r="G34" s="48"/>
      <c r="H34" s="48"/>
      <c r="I34" s="48"/>
      <c r="J34" s="49"/>
    </row>
    <row r="35" spans="1:12" ht="15.75" customHeight="1" x14ac:dyDescent="0.25">
      <c r="A35" s="20" t="s">
        <v>107</v>
      </c>
      <c r="B35" s="48"/>
      <c r="C35" s="48" t="str">
        <f>'input data'!B14</f>
        <v>Loose packing</v>
      </c>
      <c r="D35" s="48"/>
      <c r="E35" s="48"/>
      <c r="F35" s="48"/>
      <c r="G35" s="48"/>
      <c r="H35" s="48"/>
      <c r="I35" s="48"/>
      <c r="J35" s="49"/>
    </row>
    <row r="36" spans="1:12" ht="15.75" customHeight="1" x14ac:dyDescent="0.25">
      <c r="A36" s="20" t="s">
        <v>108</v>
      </c>
      <c r="B36" s="48"/>
      <c r="C36" s="48"/>
      <c r="D36" s="48"/>
      <c r="E36" s="48"/>
      <c r="F36" s="48"/>
      <c r="G36" s="48"/>
      <c r="H36" s="48"/>
      <c r="I36" s="48"/>
      <c r="J36" s="49"/>
    </row>
    <row r="37" spans="1:12" ht="15.75" customHeight="1" x14ac:dyDescent="0.25">
      <c r="A37" s="50"/>
      <c r="B37" s="51"/>
      <c r="C37" s="51"/>
      <c r="D37" s="51"/>
      <c r="E37" s="51"/>
      <c r="F37" s="51"/>
      <c r="G37" s="51"/>
      <c r="H37" s="51"/>
      <c r="I37" s="51"/>
      <c r="J37" s="52"/>
      <c r="L37" s="79"/>
    </row>
    <row r="38" spans="1:12" ht="15.75" customHeight="1" x14ac:dyDescent="0.25">
      <c r="A38" s="176" t="s">
        <v>109</v>
      </c>
      <c r="B38" s="105"/>
      <c r="C38" s="105"/>
      <c r="D38" s="105"/>
      <c r="E38" s="105"/>
      <c r="F38" s="106"/>
      <c r="G38" s="176" t="s">
        <v>77</v>
      </c>
      <c r="H38" s="105"/>
      <c r="I38" s="105"/>
      <c r="J38" s="106"/>
    </row>
    <row r="39" spans="1:12" ht="15.75" customHeight="1" x14ac:dyDescent="0.25">
      <c r="A39" s="210" t="s">
        <v>110</v>
      </c>
      <c r="B39" s="102"/>
      <c r="C39" s="102"/>
      <c r="D39" s="102"/>
      <c r="E39" s="102"/>
      <c r="F39" s="181"/>
      <c r="G39" s="18"/>
      <c r="H39" s="4"/>
      <c r="I39" s="4"/>
      <c r="J39" s="19"/>
    </row>
    <row r="40" spans="1:12" ht="15.75" customHeight="1" x14ac:dyDescent="0.25">
      <c r="A40" s="204" t="s">
        <v>111</v>
      </c>
      <c r="B40" s="111"/>
      <c r="C40" s="111"/>
      <c r="D40" s="111"/>
      <c r="E40" s="111"/>
      <c r="F40" s="127"/>
      <c r="G40" s="18"/>
      <c r="H40" s="4"/>
      <c r="I40" s="4"/>
      <c r="J40" s="19"/>
    </row>
    <row r="41" spans="1:12" ht="15.75" customHeight="1" x14ac:dyDescent="0.25">
      <c r="A41" s="205" t="s">
        <v>112</v>
      </c>
      <c r="B41" s="117"/>
      <c r="C41" s="117"/>
      <c r="D41" s="117"/>
      <c r="E41" s="117"/>
      <c r="F41" s="118"/>
      <c r="G41" s="206" t="s">
        <v>113</v>
      </c>
      <c r="H41" s="185"/>
      <c r="I41" s="185"/>
      <c r="J41" s="184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zoomScaleNormal="100" workbookViewId="0">
      <selection activeCell="U20" sqref="U20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3"/>
      <c r="B1" s="218" t="s">
        <v>40</v>
      </c>
      <c r="C1" s="219"/>
      <c r="D1" s="219"/>
      <c r="E1" s="219"/>
      <c r="F1" s="219"/>
      <c r="G1" s="219"/>
      <c r="H1" s="219"/>
      <c r="I1" s="219"/>
      <c r="J1" s="219"/>
      <c r="K1" s="220"/>
      <c r="R1" s="224"/>
      <c r="S1" s="102"/>
      <c r="T1" s="102"/>
      <c r="U1" s="102"/>
      <c r="V1" s="102"/>
      <c r="W1" s="225"/>
      <c r="X1" s="102"/>
      <c r="Y1" s="102"/>
    </row>
    <row r="2" spans="1:25" ht="36.75" thickBot="1" x14ac:dyDescent="0.6">
      <c r="A2" s="53"/>
      <c r="B2" s="221"/>
      <c r="C2" s="222"/>
      <c r="D2" s="222"/>
      <c r="E2" s="222"/>
      <c r="F2" s="222"/>
      <c r="G2" s="222"/>
      <c r="H2" s="222"/>
      <c r="I2" s="222"/>
      <c r="J2" s="222"/>
      <c r="K2" s="223"/>
    </row>
    <row r="3" spans="1:25" x14ac:dyDescent="0.25">
      <c r="A3" s="54"/>
      <c r="B3" s="226" t="s">
        <v>114</v>
      </c>
      <c r="C3" s="105"/>
      <c r="D3" s="105"/>
      <c r="E3" s="105"/>
      <c r="F3" s="105"/>
      <c r="G3" s="105"/>
      <c r="H3" s="105"/>
      <c r="I3" s="105"/>
      <c r="J3" s="105"/>
      <c r="K3" s="106"/>
    </row>
    <row r="4" spans="1:25" x14ac:dyDescent="0.25">
      <c r="A4" s="54"/>
      <c r="B4" s="227" t="s">
        <v>115</v>
      </c>
      <c r="C4" s="102"/>
      <c r="D4" s="102"/>
      <c r="E4" s="102"/>
      <c r="F4" s="102"/>
      <c r="G4" s="102"/>
      <c r="H4" s="102"/>
      <c r="I4" s="102"/>
      <c r="J4" s="102"/>
      <c r="K4" s="181"/>
    </row>
    <row r="5" spans="1:25" x14ac:dyDescent="0.25">
      <c r="A5" s="47"/>
      <c r="B5" s="194" t="s">
        <v>116</v>
      </c>
      <c r="C5" s="185"/>
      <c r="D5" s="185"/>
      <c r="E5" s="185"/>
      <c r="F5" s="185"/>
      <c r="G5" s="185"/>
      <c r="H5" s="185"/>
      <c r="I5" s="185"/>
      <c r="J5" s="185"/>
      <c r="K5" s="184"/>
    </row>
    <row r="6" spans="1:25" x14ac:dyDescent="0.25">
      <c r="A6" s="4"/>
      <c r="B6" s="31"/>
      <c r="C6" s="16"/>
      <c r="D6" s="16"/>
      <c r="E6" s="16"/>
      <c r="F6" s="16"/>
      <c r="G6" s="16"/>
      <c r="H6" s="16"/>
      <c r="I6" s="16"/>
      <c r="J6" s="16"/>
      <c r="K6" s="17"/>
    </row>
    <row r="7" spans="1:25" ht="18.75" x14ac:dyDescent="0.3">
      <c r="A7" s="55"/>
      <c r="B7" s="214" t="s">
        <v>117</v>
      </c>
      <c r="C7" s="102"/>
      <c r="D7" s="102"/>
      <c r="E7" s="102"/>
      <c r="F7" s="102"/>
      <c r="G7" s="102"/>
      <c r="H7" s="102"/>
      <c r="I7" s="102"/>
      <c r="J7" s="102"/>
      <c r="K7" s="181"/>
    </row>
    <row r="8" spans="1:25" x14ac:dyDescent="0.25">
      <c r="A8" s="4"/>
      <c r="B8" s="18"/>
      <c r="C8" s="4"/>
      <c r="D8" s="4"/>
      <c r="E8" s="4"/>
      <c r="F8" s="4"/>
      <c r="G8" s="4"/>
      <c r="H8" s="4"/>
      <c r="I8" s="4"/>
      <c r="J8" s="4"/>
      <c r="K8" s="19"/>
    </row>
    <row r="9" spans="1:25" x14ac:dyDescent="0.25">
      <c r="A9" s="4"/>
      <c r="B9" s="18" t="s">
        <v>118</v>
      </c>
      <c r="C9" s="217">
        <f ca="1">TODAY()</f>
        <v>46252</v>
      </c>
      <c r="D9" s="217"/>
      <c r="E9" s="4"/>
      <c r="F9" s="4"/>
      <c r="G9" s="4"/>
      <c r="H9" s="4"/>
      <c r="I9" s="4"/>
      <c r="J9" s="4"/>
      <c r="K9" s="19"/>
    </row>
    <row r="10" spans="1:25" x14ac:dyDescent="0.25">
      <c r="A10" s="4"/>
      <c r="B10" s="18" t="s">
        <v>119</v>
      </c>
      <c r="C10" s="56" t="s">
        <v>167</v>
      </c>
      <c r="D10" s="4"/>
      <c r="E10" s="4"/>
      <c r="F10" s="4"/>
      <c r="G10" s="4"/>
      <c r="H10" s="4"/>
      <c r="I10" s="4"/>
      <c r="J10" s="4"/>
      <c r="K10" s="19"/>
    </row>
    <row r="11" spans="1:25" x14ac:dyDescent="0.25">
      <c r="A11" s="4"/>
      <c r="B11" s="18"/>
      <c r="C11" s="4"/>
      <c r="D11" s="4"/>
      <c r="E11" s="4"/>
      <c r="F11" s="4"/>
      <c r="G11" s="4"/>
      <c r="H11" s="4"/>
      <c r="I11" s="4"/>
      <c r="J11" s="4"/>
      <c r="K11" s="19"/>
    </row>
    <row r="12" spans="1:25" x14ac:dyDescent="0.25">
      <c r="A12" s="4"/>
      <c r="B12" s="18" t="s">
        <v>120</v>
      </c>
      <c r="C12" s="4"/>
      <c r="D12" s="4"/>
      <c r="E12" s="4"/>
      <c r="F12" s="4"/>
      <c r="G12" s="4"/>
      <c r="H12" s="4"/>
      <c r="I12" s="4"/>
      <c r="J12" s="4"/>
      <c r="K12" s="19"/>
    </row>
    <row r="13" spans="1:25" x14ac:dyDescent="0.25">
      <c r="A13" s="15"/>
      <c r="B13" s="215" t="s">
        <v>168</v>
      </c>
      <c r="C13" s="102"/>
      <c r="D13" s="102"/>
      <c r="E13" s="102"/>
      <c r="F13" s="102"/>
      <c r="G13" s="102"/>
      <c r="H13" s="4"/>
      <c r="I13" s="4"/>
      <c r="J13" s="4"/>
      <c r="K13" s="19"/>
    </row>
    <row r="14" spans="1:25" x14ac:dyDescent="0.25">
      <c r="A14" s="57"/>
      <c r="B14" s="190" t="s">
        <v>169</v>
      </c>
      <c r="C14" s="102"/>
      <c r="D14" s="102"/>
      <c r="E14" s="102"/>
      <c r="F14" s="102"/>
      <c r="G14" s="102"/>
      <c r="H14" s="4"/>
      <c r="I14" s="4"/>
      <c r="J14" s="4"/>
      <c r="K14" s="19"/>
    </row>
    <row r="15" spans="1:25" ht="63.75" customHeight="1" x14ac:dyDescent="0.25">
      <c r="A15" s="57"/>
      <c r="B15" s="191"/>
      <c r="C15" s="102"/>
      <c r="D15" s="102"/>
      <c r="E15" s="102"/>
      <c r="F15" s="102"/>
      <c r="G15" s="102"/>
      <c r="H15" s="4"/>
      <c r="I15" s="4"/>
      <c r="J15" s="4"/>
      <c r="K15" s="19"/>
    </row>
    <row r="16" spans="1:25" x14ac:dyDescent="0.25">
      <c r="A16" s="4"/>
      <c r="B16" s="18" t="s">
        <v>121</v>
      </c>
      <c r="C16" s="4"/>
      <c r="D16" s="4"/>
      <c r="E16" s="4"/>
      <c r="F16" s="4"/>
      <c r="G16" s="4"/>
      <c r="H16" s="4"/>
      <c r="I16" s="4"/>
      <c r="J16" s="4"/>
      <c r="K16" s="19"/>
      <c r="V16" t="s">
        <v>163</v>
      </c>
    </row>
    <row r="17" spans="1:18" ht="15.75" thickBot="1" x14ac:dyDescent="0.3">
      <c r="A17" s="4"/>
      <c r="B17" s="27"/>
      <c r="C17" s="29"/>
      <c r="D17" s="29"/>
      <c r="E17" s="29"/>
      <c r="F17" s="29"/>
      <c r="G17" s="29"/>
      <c r="H17" s="29"/>
      <c r="I17" s="29"/>
      <c r="J17" s="29"/>
      <c r="K17" s="26"/>
      <c r="O17" t="s">
        <v>150</v>
      </c>
      <c r="P17" t="s">
        <v>151</v>
      </c>
      <c r="Q17" t="s">
        <v>103</v>
      </c>
    </row>
    <row r="18" spans="1:18" ht="15.75" thickBot="1" x14ac:dyDescent="0.3">
      <c r="A18" s="48"/>
      <c r="B18" s="130" t="s">
        <v>122</v>
      </c>
      <c r="C18" s="133"/>
      <c r="D18" s="133"/>
      <c r="E18" s="216"/>
      <c r="F18" s="130" t="s">
        <v>123</v>
      </c>
      <c r="G18" s="132"/>
      <c r="H18" s="130" t="s">
        <v>124</v>
      </c>
      <c r="I18" s="132"/>
      <c r="J18" s="130" t="s">
        <v>125</v>
      </c>
      <c r="K18" s="132"/>
      <c r="N18" t="s">
        <v>158</v>
      </c>
      <c r="O18">
        <v>0</v>
      </c>
      <c r="P18">
        <v>170</v>
      </c>
      <c r="Q18">
        <f>O18*P18</f>
        <v>0</v>
      </c>
    </row>
    <row r="19" spans="1:18" ht="15.75" customHeight="1" thickBot="1" x14ac:dyDescent="0.3">
      <c r="A19" s="3"/>
      <c r="B19" s="211" t="s">
        <v>149</v>
      </c>
      <c r="C19" s="238"/>
      <c r="D19" s="238"/>
      <c r="E19" s="239"/>
      <c r="F19" s="230">
        <v>119.82</v>
      </c>
      <c r="G19" s="231"/>
      <c r="H19" s="232">
        <v>5007.7</v>
      </c>
      <c r="I19" s="132"/>
      <c r="J19" s="236">
        <f>H19*F19</f>
        <v>600022.61399999994</v>
      </c>
      <c r="K19" s="132"/>
      <c r="N19" t="s">
        <v>164</v>
      </c>
      <c r="O19">
        <v>4800</v>
      </c>
      <c r="P19">
        <v>125</v>
      </c>
      <c r="Q19" s="68">
        <f>O19*P19</f>
        <v>600000</v>
      </c>
    </row>
    <row r="20" spans="1:18" ht="15.75" customHeight="1" x14ac:dyDescent="0.25">
      <c r="A20" s="47"/>
      <c r="B20" s="208"/>
      <c r="C20" s="102"/>
      <c r="D20" s="102"/>
      <c r="E20" s="102"/>
      <c r="F20" s="225"/>
      <c r="G20" s="237"/>
      <c r="H20" s="242" t="s">
        <v>160</v>
      </c>
      <c r="I20" s="243"/>
      <c r="J20" s="240">
        <f>J19*0.001</f>
        <v>600.02261399999998</v>
      </c>
      <c r="K20" s="241"/>
      <c r="M20" s="69"/>
      <c r="O20" s="74">
        <f>O18+O19</f>
        <v>4800</v>
      </c>
      <c r="P20">
        <v>0</v>
      </c>
      <c r="Q20" s="75">
        <f>O20*P20</f>
        <v>0</v>
      </c>
    </row>
    <row r="21" spans="1:18" ht="15.75" customHeight="1" thickBot="1" x14ac:dyDescent="0.3">
      <c r="A21" s="3"/>
      <c r="B21" s="206"/>
      <c r="C21" s="185"/>
      <c r="D21" s="185"/>
      <c r="E21" s="185"/>
      <c r="F21" s="29"/>
      <c r="G21" s="58"/>
      <c r="H21" s="245" t="s">
        <v>103</v>
      </c>
      <c r="I21" s="246"/>
      <c r="J21" s="228">
        <f>SUM(J19:K20)</f>
        <v>600622.63661399996</v>
      </c>
      <c r="K21" s="229"/>
      <c r="Q21" s="67">
        <f>Q18+Q19+Q20</f>
        <v>600000</v>
      </c>
    </row>
    <row r="22" spans="1:18" ht="15.75" customHeight="1" thickBot="1" x14ac:dyDescent="0.3">
      <c r="A22" s="47"/>
      <c r="B22" s="208"/>
      <c r="C22" s="102"/>
      <c r="D22" s="102"/>
      <c r="E22" s="102"/>
      <c r="F22" s="4"/>
      <c r="G22" s="4"/>
      <c r="H22" s="233"/>
      <c r="I22" s="102"/>
      <c r="J22" s="225"/>
      <c r="K22" s="181"/>
      <c r="N22" s="69"/>
    </row>
    <row r="23" spans="1:18" ht="15.75" customHeight="1" thickBot="1" x14ac:dyDescent="0.3">
      <c r="A23" s="48"/>
      <c r="B23" s="234" t="s">
        <v>126</v>
      </c>
      <c r="C23" s="131"/>
      <c r="D23" s="42"/>
      <c r="E23" s="42"/>
      <c r="F23" s="42"/>
      <c r="G23" s="42"/>
      <c r="H23" s="42"/>
      <c r="I23" s="42"/>
      <c r="J23" s="235">
        <f>J21</f>
        <v>600622.63661399996</v>
      </c>
      <c r="K23" s="132"/>
      <c r="Q23" s="78">
        <f>Q21/O25</f>
        <v>119.81538844947706</v>
      </c>
      <c r="R23" s="77" t="s">
        <v>151</v>
      </c>
    </row>
    <row r="24" spans="1:18" ht="15.75" customHeight="1" x14ac:dyDescent="0.25">
      <c r="A24" s="4"/>
      <c r="B24" s="18"/>
      <c r="C24" s="4"/>
      <c r="D24" s="4"/>
      <c r="E24" s="4"/>
      <c r="F24" s="4"/>
      <c r="G24" s="4"/>
      <c r="H24" s="4"/>
      <c r="I24" s="4"/>
      <c r="J24" s="4"/>
      <c r="K24" s="19"/>
      <c r="O24" s="68"/>
      <c r="Q24" s="76"/>
    </row>
    <row r="25" spans="1:18" ht="15.75" customHeight="1" x14ac:dyDescent="0.25">
      <c r="A25" s="59"/>
      <c r="B25" s="244" t="s">
        <v>127</v>
      </c>
      <c r="C25" s="102"/>
      <c r="D25" s="4"/>
      <c r="E25" s="4"/>
      <c r="F25" s="4"/>
      <c r="G25" s="4"/>
      <c r="H25" s="4"/>
      <c r="I25" s="4"/>
      <c r="J25" s="4"/>
      <c r="K25" s="19"/>
      <c r="M25" t="s">
        <v>153</v>
      </c>
      <c r="N25" s="73">
        <v>465.4</v>
      </c>
      <c r="O25" s="80">
        <f>N25*10.76</f>
        <v>5007.7039999999997</v>
      </c>
      <c r="P25" s="77" t="s">
        <v>155</v>
      </c>
    </row>
    <row r="26" spans="1:18" ht="15.75" customHeight="1" x14ac:dyDescent="0.25">
      <c r="A26" s="4"/>
      <c r="B26" s="18" t="s">
        <v>128</v>
      </c>
      <c r="C26" s="4"/>
      <c r="D26" s="4" t="s">
        <v>146</v>
      </c>
      <c r="E26" s="4"/>
      <c r="F26" s="4"/>
      <c r="G26" s="4"/>
      <c r="H26" s="4"/>
      <c r="I26" s="4"/>
      <c r="J26" s="4"/>
      <c r="K26" s="19"/>
      <c r="M26" t="s">
        <v>154</v>
      </c>
      <c r="O26" s="74">
        <v>4800</v>
      </c>
    </row>
    <row r="27" spans="1:18" ht="15.75" customHeight="1" x14ac:dyDescent="0.25">
      <c r="A27" s="4"/>
      <c r="B27" s="18" t="s">
        <v>129</v>
      </c>
      <c r="C27" s="4"/>
      <c r="D27" s="4"/>
      <c r="E27" s="4"/>
      <c r="F27" s="4"/>
      <c r="G27" s="4"/>
      <c r="H27" s="4"/>
      <c r="I27" s="4"/>
      <c r="J27" s="4"/>
      <c r="K27" s="19"/>
      <c r="M27" t="s">
        <v>152</v>
      </c>
      <c r="O27" s="74">
        <f>O25-O26</f>
        <v>207.70399999999972</v>
      </c>
    </row>
    <row r="28" spans="1:18" ht="15.75" customHeight="1" x14ac:dyDescent="0.25">
      <c r="A28" s="4"/>
      <c r="B28" s="18" t="s">
        <v>130</v>
      </c>
      <c r="C28" s="4"/>
      <c r="D28" s="4"/>
      <c r="E28" s="4"/>
      <c r="F28" s="4"/>
      <c r="G28" s="4"/>
      <c r="H28" s="4"/>
      <c r="I28" s="4"/>
      <c r="J28" s="4"/>
      <c r="K28" s="19"/>
    </row>
    <row r="29" spans="1:18" ht="15.75" customHeight="1" x14ac:dyDescent="0.25">
      <c r="A29" s="4"/>
      <c r="B29" s="18" t="s">
        <v>131</v>
      </c>
      <c r="C29" s="4"/>
      <c r="D29" s="4" t="s">
        <v>147</v>
      </c>
      <c r="E29" s="4"/>
      <c r="F29" s="4"/>
      <c r="G29" s="4"/>
      <c r="H29" s="4"/>
      <c r="I29" s="4"/>
      <c r="J29" s="4"/>
      <c r="K29" s="19"/>
    </row>
    <row r="30" spans="1:18" ht="15.75" customHeight="1" x14ac:dyDescent="0.25">
      <c r="A30" s="4"/>
      <c r="B30" s="18" t="s">
        <v>132</v>
      </c>
      <c r="C30" s="4"/>
      <c r="D30" s="4"/>
      <c r="E30" s="4"/>
      <c r="F30" s="4"/>
      <c r="G30" s="4"/>
      <c r="H30" s="4"/>
      <c r="I30" s="4"/>
      <c r="J30" s="4"/>
      <c r="K30" s="19"/>
    </row>
    <row r="31" spans="1:18" ht="15.75" customHeight="1" x14ac:dyDescent="0.25">
      <c r="A31" s="4"/>
      <c r="B31" s="18" t="s">
        <v>133</v>
      </c>
      <c r="C31" s="4"/>
      <c r="D31" s="4"/>
      <c r="E31" s="4"/>
      <c r="F31" s="4"/>
      <c r="G31" s="4"/>
      <c r="H31" s="4"/>
      <c r="I31" s="4"/>
      <c r="J31" s="4"/>
      <c r="K31" s="19"/>
    </row>
    <row r="32" spans="1:18" ht="15.75" customHeight="1" x14ac:dyDescent="0.25">
      <c r="A32" s="4"/>
      <c r="B32" s="18" t="s">
        <v>134</v>
      </c>
      <c r="C32" s="4"/>
      <c r="D32" s="4" t="s">
        <v>135</v>
      </c>
      <c r="E32" s="4"/>
      <c r="F32" s="4"/>
      <c r="G32" s="4"/>
      <c r="H32" s="4"/>
      <c r="I32" s="4"/>
      <c r="J32" s="4"/>
      <c r="K32" s="19"/>
    </row>
    <row r="33" spans="1:11" ht="15.75" customHeight="1" x14ac:dyDescent="0.25">
      <c r="A33" s="4"/>
      <c r="B33" s="18"/>
      <c r="C33" s="4"/>
      <c r="D33" s="1" t="s">
        <v>136</v>
      </c>
      <c r="E33" s="4"/>
      <c r="F33" s="4"/>
      <c r="G33" s="4"/>
      <c r="H33" s="4"/>
      <c r="I33" s="4"/>
      <c r="J33" s="4"/>
      <c r="K33" s="19"/>
    </row>
    <row r="34" spans="1:11" ht="15.75" customHeight="1" x14ac:dyDescent="0.25">
      <c r="A34" s="4"/>
      <c r="B34" s="18"/>
      <c r="C34" s="4"/>
      <c r="D34" s="4" t="s">
        <v>137</v>
      </c>
      <c r="E34" s="4"/>
      <c r="F34" s="4"/>
      <c r="G34" s="4"/>
      <c r="H34" s="4"/>
      <c r="I34" s="4"/>
      <c r="J34" s="4"/>
      <c r="K34" s="19"/>
    </row>
    <row r="35" spans="1:11" ht="15.75" customHeight="1" x14ac:dyDescent="0.25">
      <c r="A35" s="60"/>
      <c r="B35" s="196" t="s">
        <v>138</v>
      </c>
      <c r="C35" s="102"/>
      <c r="D35" s="102"/>
      <c r="E35" s="102"/>
      <c r="F35" s="102"/>
      <c r="G35" s="102"/>
      <c r="H35" s="4"/>
      <c r="I35" s="4"/>
      <c r="J35" s="4"/>
      <c r="K35" s="19"/>
    </row>
    <row r="36" spans="1:11" ht="15.75" customHeight="1" x14ac:dyDescent="0.25">
      <c r="A36" s="60"/>
      <c r="B36" s="196" t="s">
        <v>139</v>
      </c>
      <c r="C36" s="102"/>
      <c r="D36" s="102"/>
      <c r="E36" s="102"/>
      <c r="F36" s="102"/>
      <c r="G36" s="102"/>
      <c r="H36" s="4"/>
      <c r="I36" s="4"/>
      <c r="J36" s="4"/>
      <c r="K36" s="19"/>
    </row>
    <row r="37" spans="1:11" ht="15.75" customHeight="1" x14ac:dyDescent="0.25">
      <c r="A37" s="34"/>
      <c r="B37" s="33" t="s">
        <v>140</v>
      </c>
      <c r="C37" s="61" t="str">
        <f>'input data'!B5</f>
        <v>AD2403260504856</v>
      </c>
      <c r="D37" s="34"/>
      <c r="E37" s="34"/>
      <c r="F37" s="34"/>
      <c r="G37" s="34"/>
      <c r="H37" s="4"/>
      <c r="I37" s="4"/>
      <c r="J37" s="4"/>
      <c r="K37" s="19"/>
    </row>
    <row r="38" spans="1:11" ht="15.75" customHeight="1" x14ac:dyDescent="0.25">
      <c r="A38" s="4"/>
      <c r="B38" s="18" t="s">
        <v>141</v>
      </c>
      <c r="C38" s="4"/>
      <c r="D38" s="4"/>
      <c r="E38" s="4"/>
      <c r="F38" s="4"/>
      <c r="G38" s="4"/>
      <c r="H38" s="4"/>
      <c r="I38" s="4"/>
      <c r="J38" s="4"/>
      <c r="K38" s="19"/>
    </row>
    <row r="39" spans="1:11" ht="15.75" customHeight="1" x14ac:dyDescent="0.25">
      <c r="A39" s="4"/>
      <c r="B39" s="18"/>
      <c r="C39" s="4"/>
      <c r="D39" s="4"/>
      <c r="E39" s="4"/>
      <c r="F39" s="4"/>
      <c r="G39" s="4"/>
      <c r="H39" s="4"/>
      <c r="I39" s="4"/>
      <c r="J39" s="4"/>
      <c r="K39" s="19"/>
    </row>
    <row r="40" spans="1:11" ht="15.75" customHeight="1" x14ac:dyDescent="0.25">
      <c r="A40" s="4"/>
      <c r="B40" s="18"/>
      <c r="C40" s="4"/>
      <c r="D40" s="4"/>
      <c r="E40" s="4"/>
      <c r="F40" s="4"/>
      <c r="G40" s="4"/>
      <c r="H40" s="4"/>
      <c r="I40" s="4"/>
      <c r="J40" s="4"/>
      <c r="K40" s="19"/>
    </row>
    <row r="41" spans="1:11" ht="15.75" customHeight="1" x14ac:dyDescent="0.25">
      <c r="A41" s="4"/>
      <c r="B41" s="27"/>
      <c r="C41" s="29"/>
      <c r="D41" s="29"/>
      <c r="E41" s="29"/>
      <c r="F41" s="29"/>
      <c r="G41" s="29"/>
      <c r="H41" s="29"/>
      <c r="I41" s="29"/>
      <c r="J41" s="29"/>
      <c r="K41" s="26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company data</vt:lpstr>
      <vt:lpstr>input data</vt:lpstr>
      <vt:lpstr>Invoice</vt:lpstr>
      <vt:lpstr>Peacking List</vt:lpstr>
      <vt:lpstr>PO</vt:lpstr>
      <vt:lpstr>Invoice!Print_Area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2026-08-18T12:29:42Z</cp:lastPrinted>
  <dcterms:created xsi:type="dcterms:W3CDTF">2022-11-23T06:47:43Z</dcterms:created>
  <dcterms:modified xsi:type="dcterms:W3CDTF">2026-08-18T13:22:02Z</dcterms:modified>
</cp:coreProperties>
</file>
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22 BK022 Sept AA STONE INVESTMENT TRADING COMPANY (VK) Absolute Long Line Polish (RJSL)M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J20" i="5" l="1"/>
  <c r="Q19" i="5" l="1"/>
  <c r="Q18" i="5" l="1"/>
  <c r="H10" i="6" l="1"/>
  <c r="I29" i="4" l="1"/>
  <c r="D29" i="4"/>
  <c r="D26" i="4"/>
  <c r="A26" i="4"/>
  <c r="D24" i="4"/>
  <c r="D22" i="4"/>
  <c r="I20" i="4"/>
  <c r="A15" i="4"/>
  <c r="I3" i="4"/>
  <c r="O25" i="5" l="1"/>
  <c r="O20" i="5" s="1"/>
  <c r="Q20" i="5" s="1"/>
  <c r="Q21" i="5" s="1"/>
  <c r="H28" i="6"/>
  <c r="B29" i="4" l="1"/>
  <c r="C30" i="6"/>
  <c r="A30" i="6"/>
  <c r="A33" i="4" s="1"/>
  <c r="F28" i="6"/>
  <c r="I28" i="6" s="1"/>
  <c r="B28" i="6"/>
  <c r="H25" i="6"/>
  <c r="E25" i="6"/>
  <c r="C25" i="6"/>
  <c r="H22" i="6"/>
  <c r="C22" i="6"/>
  <c r="A15" i="6"/>
  <c r="H12" i="6"/>
  <c r="E12" i="6"/>
  <c r="A12" i="6"/>
  <c r="E10" i="6"/>
  <c r="H6" i="6"/>
  <c r="H4" i="6"/>
  <c r="I36" i="6" l="1"/>
  <c r="A37" i="6"/>
  <c r="B5" i="2" l="1"/>
  <c r="B3" i="2" l="1"/>
  <c r="E4" i="6" l="1"/>
  <c r="G3" i="4"/>
  <c r="C9" i="5" l="1"/>
  <c r="Q23" i="5" l="1"/>
  <c r="J19" i="5" l="1"/>
  <c r="C33" i="4" l="1"/>
  <c r="A12" i="4"/>
  <c r="G5" i="4" l="1"/>
  <c r="C37" i="5"/>
  <c r="I30" i="4"/>
  <c r="C35" i="4"/>
  <c r="G26" i="4"/>
  <c r="G22" i="4"/>
  <c r="J21" i="5" l="1"/>
  <c r="J23" i="5" s="1"/>
</calcChain>
</file>

<file path=xl/sharedStrings.xml><?xml version="1.0" encoding="utf-8"?>
<sst xmlns="http://schemas.openxmlformats.org/spreadsheetml/2006/main" count="208" uniqueCount="169">
  <si>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</si>
  <si>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</si>
  <si>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</si>
  <si>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</si>
  <si>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</si>
  <si>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</si>
  <si>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</si>
  <si>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</si>
  <si>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</si>
  <si>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</si>
  <si>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</si>
  <si>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</si>
  <si>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</si>
  <si>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</si>
  <si>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</si>
  <si>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</si>
  <si>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</si>
  <si>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</si>
  <si>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</si>
  <si>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</si>
  <si>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</si>
  <si>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</si>
  <si>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</si>
  <si>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</si>
  <si>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</si>
  <si>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</si>
  <si>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</si>
  <si>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</si>
  <si>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</si>
  <si>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</si>
  <si>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</si>
  <si>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</si>
  <si>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</si>
  <si>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</si>
  <si>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</si>
  <si>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</si>
  <si>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</si>
  <si>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</si>
  <si>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</si>
  <si>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</si>
  <si>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</si>
  <si>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</si>
  <si>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</si>
  <si>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</si>
  <si>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</si>
  <si>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</si>
  <si>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</si>
  <si>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</si>
  <si>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</si>
  <si>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</si>
  <si>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</si>
  <si>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</si>
  <si>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</si>
  <si>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</si>
  <si>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</si>
  <si>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</si>
  <si>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</si>
  <si>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</si>
  <si>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</si>
  <si>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</si>
  <si>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</si>
  <si>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</si>
  <si>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</si>
  <si>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</si>
  <si>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</si>
  <si>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</si>
  <si>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</si>
  <si>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</si>
  <si>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</si>
  <si>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</si>
  <si>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</si>
  <si>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</si>
  <si>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</si>
  <si>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</si>
  <si>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</si>
  <si>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</si>
  <si>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</si>
  <si>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</si>
  <si>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</si>
  <si>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</si>
  <si>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</si>
  <si>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</si>
  <si>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</si>
  <si>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</si>
  <si>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</si>
  <si>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</si>
  <si>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</si>
  <si>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</si>
  <si>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</si>
  <si>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</si>
  <si>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</si>
  <si>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</si>
  <si>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</si>
  <si>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</si>
  <si>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</si>
  <si>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</si>
  <si>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</si>
  <si>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</si>
  <si>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</si>
  <si>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</si>
  <si>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</si>
  <si>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</si>
  <si>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</si>
  <si>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</si>
  <si>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</si>
  <si>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</si>
  <si>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</si>
  <si>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</si>
  <si>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</si>
  <si>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</si>
  <si>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</si>
  <si>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</si>
  <si>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</si>
  <si>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</si>
  <si>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</si>
  <si>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</si>
  <si>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</si>
  <si>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</si>
  <si>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</si>
  <si>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</si>
  <si>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</si>
  <si>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</si>
  <si>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</si>
  <si>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</si>
  <si>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</si>
  <si>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</si>
  <si>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</si>
  <si>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</si>
  <si>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</si>
  <si>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</si>
  <si>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</si>
  <si>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</si>
  <si>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</si>
  <si>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</si>
  <si>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</si>
  <si>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</si>
  <si>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</si>
  <si>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</si>
  <si>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</si>
  <si>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</si>
  <si>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</si>
  <si>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</si>
  <si>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</si>
  <si>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</si>
  <si>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</si>
  <si>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</si>
  <si>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</si>
  <si>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</si>
  <si>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</si>
  <si>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</si>
  <si>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</si>
  <si>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</si>
  <si>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buyer</t>
  </si>
  <si>
    <t>SQ FEET</t>
  </si>
  <si>
    <t>26-27</t>
  </si>
  <si>
    <t>DA NANG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</si>
  <si>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</si>
  <si>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</si>
  <si>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 xml:space="preserve"> </t>
  </si>
  <si>
    <t>long</t>
  </si>
  <si>
    <t>marking</t>
  </si>
  <si>
    <t>Extra</t>
  </si>
  <si>
    <t>22</t>
  </si>
  <si>
    <t>CSNU2293910</t>
  </si>
  <si>
    <t>SRI VINAYAKA STONES</t>
  </si>
  <si>
    <t>PO 022/26-27</t>
  </si>
  <si>
    <t>SY. NO. 137A/9
GURRALAPADUKHAMMAM
Khammam, TELANGANA – 507003
G. S. TIN. NO: 36ABGFS6006H1Z7</t>
  </si>
  <si>
    <t>GST 18%</t>
  </si>
  <si>
    <t>BANK DETAILS: 
ACCOUNT NAME : B K  EXPORTS
BANK NAME : BANK OF BARODA
ACCOUNT NUMBER : 14970200000658
SWIFT CODE : BARBINBBVAT
IFSC CODE : BARB0MANEAS (fifth digit zero)
BRANCH : MANINAGAR (EAST)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</si>
</sst>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4" fillId="0" borderId="2" xfId="0" applyFont="1" applyBorder="1" applyAlignment="1">
      <alignment horizontal="left"/>
    </xf>
    <xf numFmtId="0" fontId="8" fillId="0" borderId="45" xfId="0" applyFont="1" applyBorder="1"/>
    <xf numFmtId="0" fontId="6" fillId="0" borderId="43" xfId="0" applyFont="1" applyBorder="1" applyAlignment="1">
      <alignment horizontal="left" wrapText="1"/>
    </xf>
    <xf numFmtId="0" fontId="0" fillId="0" borderId="16" xfId="0" applyFont="1" applyBorder="1" applyAlignment="1"/>
    <xf numFmtId="0" fontId="8" fillId="0" borderId="17" xfId="0" applyFont="1" applyBorder="1"/>
    <xf numFmtId="0" fontId="8" fillId="0" borderId="43" xfId="0" applyFont="1" applyBorder="1"/>
    <xf numFmtId="0" fontId="15" fillId="0" borderId="43" xfId="0" applyFont="1" applyBorder="1" applyAlignment="1">
      <alignment horizontal="left" vertical="top" wrapText="1"/>
    </xf>
    <xf numFmtId="0" fontId="8" fillId="0" borderId="38" xfId="0" applyFont="1" applyBorder="1"/>
    <xf numFmtId="0" fontId="8" fillId="0" borderId="39" xfId="0" applyFont="1" applyBorder="1"/>
    <xf numFmtId="0" fontId="8" fillId="0" borderId="49" xfId="0" applyFont="1" applyBorder="1"/>
    <xf numFmtId="0" fontId="6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8" fillId="0" borderId="15" xfId="0" applyFont="1" applyBorder="1"/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4" fillId="0" borderId="2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8" fillId="0" borderId="20" xfId="0" applyFont="1" applyBorder="1"/>
    <xf numFmtId="0" fontId="8" fillId="0" borderId="44" xfId="0" applyFont="1" applyBorder="1"/>
    <xf numFmtId="0" fontId="6" fillId="0" borderId="51" xfId="0" applyFont="1" applyBorder="1" applyAlignment="1">
      <alignment horizontal="center"/>
    </xf>
    <xf numFmtId="0" fontId="8" fillId="0" borderId="19" xfId="0" applyFont="1" applyBorder="1"/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8" fillId="0" borderId="18" xfId="0" applyFont="1" applyBorder="1"/>
    <xf numFmtId="0" fontId="4" fillId="0" borderId="16" xfId="0" applyFont="1" applyBorder="1" applyAlignment="1">
      <alignment horizontal="center" vertical="center" wrapText="1"/>
    </xf>
    <xf numFmtId="0" fontId="8" fillId="0" borderId="46" xfId="0" applyFont="1" applyBorder="1"/>
    <xf numFmtId="0" fontId="4" fillId="0" borderId="2" xfId="0" applyFont="1" applyBorder="1" applyAlignment="1">
      <alignment horizontal="center" vertical="center" wrapText="1"/>
    </xf>
    <xf numFmtId="0" fontId="8" fillId="0" borderId="50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8" fillId="0" borderId="16" xfId="0" applyFont="1" applyBorder="1"/>
    <xf numFmtId="0" fontId="4" fillId="0" borderId="15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8" fillId="0" borderId="1" xfId="0" applyFont="1" applyBorder="1"/>
    <xf numFmtId="0" fontId="8" fillId="0" borderId="8" xfId="0" applyFont="1" applyBorder="1"/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8" fillId="0" borderId="7" xfId="0" applyFont="1" applyBorder="1"/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1" fillId="0" borderId="9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0" t="s">
        <v>154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7" workbookViewId="0">
      <selection activeCell="C27" sqref="C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162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BK022/26-27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46282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0" t="s">
        <v>21</v>
      </c>
      <c r="B7" s="102" t="s">
        <v>156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1"/>
      <c r="B8" s="101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1"/>
      <c r="B9" s="101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1"/>
      <c r="B10" s="101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1"/>
      <c r="B11" s="101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1"/>
      <c r="B12" s="101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155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155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 t="s">
        <v>163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213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428.68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23.3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abSelected="1" topLeftCell="A16" zoomScaleNormal="100" workbookViewId="0">
      <selection activeCell="M35" sqref="M35"/>
    </sheetView>
  </sheetViews>
  <sheetFormatPr defaultColWidth="14.42578125" defaultRowHeight="15" customHeight="1" x14ac:dyDescent="0.25"/>
  <cols>
    <col min="1" max="1" width="8.7109375" style="81" customWidth="1"/>
    <col min="2" max="2" width="8.28515625" style="81" customWidth="1"/>
    <col min="3" max="3" width="8.7109375" style="81" customWidth="1"/>
    <col min="4" max="4" width="18.28515625" style="81" customWidth="1"/>
    <col min="5" max="5" width="9.7109375" style="81" customWidth="1"/>
    <col min="6" max="6" width="6.5703125" style="81" customWidth="1"/>
    <col min="7" max="7" width="4.7109375" style="81" customWidth="1"/>
    <col min="8" max="8" width="12.5703125" style="81" bestFit="1" customWidth="1"/>
    <col min="9" max="9" width="8.7109375" style="81" customWidth="1"/>
    <col min="10" max="10" width="11.42578125" style="81" customWidth="1"/>
    <col min="11" max="15" width="8.7109375" style="81" customWidth="1"/>
    <col min="16" max="16" width="10.28515625" style="81" bestFit="1" customWidth="1"/>
    <col min="17" max="17" width="8.7109375" style="81" customWidth="1"/>
    <col min="18" max="18" width="14.85546875" style="81" bestFit="1" customWidth="1"/>
    <col min="19" max="26" width="8.7109375" style="81" customWidth="1"/>
    <col min="27" max="16384" width="14.42578125" style="81"/>
  </cols>
  <sheetData>
    <row r="1" spans="1:10" x14ac:dyDescent="0.25">
      <c r="A1" s="167" t="s">
        <v>157</v>
      </c>
      <c r="B1" s="113"/>
      <c r="C1" s="113"/>
      <c r="D1" s="113"/>
      <c r="E1" s="113"/>
      <c r="F1" s="113"/>
      <c r="G1" s="113"/>
      <c r="H1" s="113"/>
      <c r="I1" s="113"/>
      <c r="J1" s="113"/>
    </row>
    <row r="2" spans="1:10" ht="16.5" customHeight="1" thickBot="1" x14ac:dyDescent="0.3">
      <c r="A2" s="157"/>
      <c r="B2" s="157"/>
      <c r="C2" s="157"/>
      <c r="D2" s="157"/>
      <c r="E2" s="157"/>
      <c r="F2" s="157"/>
      <c r="G2" s="157"/>
      <c r="H2" s="157"/>
      <c r="I2" s="157"/>
      <c r="J2" s="157"/>
    </row>
    <row r="3" spans="1:10" x14ac:dyDescent="0.25">
      <c r="A3" s="83" t="s">
        <v>37</v>
      </c>
      <c r="B3" s="84"/>
      <c r="C3" s="84"/>
      <c r="D3" s="85"/>
      <c r="E3" s="168" t="s">
        <v>38</v>
      </c>
      <c r="F3" s="169"/>
      <c r="G3" s="170"/>
      <c r="H3" s="168" t="s">
        <v>39</v>
      </c>
      <c r="I3" s="169"/>
      <c r="J3" s="171"/>
    </row>
    <row r="4" spans="1:10" ht="15.75" thickBot="1" x14ac:dyDescent="0.3">
      <c r="A4" s="86" t="s">
        <v>40</v>
      </c>
      <c r="B4" s="64"/>
      <c r="C4" s="64"/>
      <c r="D4" s="66"/>
      <c r="E4" s="172" t="str">
        <f>'input data'!B3</f>
        <v>BK022/26-27</v>
      </c>
      <c r="F4" s="143"/>
      <c r="G4" s="140"/>
      <c r="H4" s="173">
        <f>'input data'!B4</f>
        <v>46282</v>
      </c>
      <c r="I4" s="174"/>
      <c r="J4" s="175"/>
    </row>
    <row r="5" spans="1:10" x14ac:dyDescent="0.25">
      <c r="A5" s="87" t="s">
        <v>41</v>
      </c>
      <c r="B5" s="64"/>
      <c r="C5" s="64"/>
      <c r="D5" s="66"/>
      <c r="E5" s="138" t="s">
        <v>42</v>
      </c>
      <c r="F5" s="108"/>
      <c r="G5" s="109"/>
      <c r="H5" s="138" t="s">
        <v>43</v>
      </c>
      <c r="I5" s="108"/>
      <c r="J5" s="111"/>
    </row>
    <row r="6" spans="1:10" ht="15.75" thickBot="1" x14ac:dyDescent="0.3">
      <c r="A6" s="87" t="s">
        <v>44</v>
      </c>
      <c r="B6" s="64"/>
      <c r="C6" s="64"/>
      <c r="D6" s="66"/>
      <c r="E6" s="176"/>
      <c r="F6" s="143"/>
      <c r="G6" s="140"/>
      <c r="H6" s="177" t="str">
        <f>'input data'!B5</f>
        <v>AD2403260504856</v>
      </c>
      <c r="I6" s="143"/>
      <c r="J6" s="141"/>
    </row>
    <row r="7" spans="1:10" x14ac:dyDescent="0.25">
      <c r="A7" s="87" t="s">
        <v>45</v>
      </c>
      <c r="B7" s="64"/>
      <c r="C7" s="64"/>
      <c r="D7" s="66"/>
      <c r="E7" s="138" t="s">
        <v>46</v>
      </c>
      <c r="F7" s="108"/>
      <c r="G7" s="109"/>
      <c r="H7" s="138" t="s">
        <v>47</v>
      </c>
      <c r="I7" s="108"/>
      <c r="J7" s="111"/>
    </row>
    <row r="8" spans="1:10" ht="15.75" thickBot="1" x14ac:dyDescent="0.3">
      <c r="A8" s="86" t="s">
        <v>48</v>
      </c>
      <c r="B8" s="64"/>
      <c r="C8" s="64"/>
      <c r="D8" s="66"/>
      <c r="E8" s="176" t="s">
        <v>49</v>
      </c>
      <c r="F8" s="143"/>
      <c r="G8" s="140"/>
      <c r="H8" s="139" t="s">
        <v>50</v>
      </c>
      <c r="I8" s="143"/>
      <c r="J8" s="141"/>
    </row>
    <row r="9" spans="1:10" x14ac:dyDescent="0.25">
      <c r="A9" s="88" t="s">
        <v>51</v>
      </c>
      <c r="B9" s="64"/>
      <c r="C9" s="64"/>
      <c r="D9" s="66"/>
      <c r="E9" s="138" t="s">
        <v>52</v>
      </c>
      <c r="F9" s="108"/>
      <c r="G9" s="109"/>
      <c r="H9" s="138" t="s">
        <v>53</v>
      </c>
      <c r="I9" s="108"/>
      <c r="J9" s="111"/>
    </row>
    <row r="10" spans="1:10" ht="15.75" thickBot="1" x14ac:dyDescent="0.3">
      <c r="A10" s="88" t="s">
        <v>54</v>
      </c>
      <c r="B10" s="64"/>
      <c r="C10" s="64"/>
      <c r="D10" s="66"/>
      <c r="E10" s="161" t="str">
        <f>'input data'!B14</f>
        <v>Loose packing</v>
      </c>
      <c r="F10" s="113"/>
      <c r="G10" s="114"/>
      <c r="H10" s="161" t="str">
        <f>'input data'!B13 &amp; " x " &amp; 'input data'!B15</f>
        <v>1 x FCL</v>
      </c>
      <c r="I10" s="113"/>
      <c r="J10" s="150"/>
    </row>
    <row r="11" spans="1:10" ht="15.75" thickBot="1" x14ac:dyDescent="0.3">
      <c r="A11" s="162" t="s">
        <v>55</v>
      </c>
      <c r="B11" s="108"/>
      <c r="C11" s="108"/>
      <c r="D11" s="109"/>
      <c r="E11" s="163" t="s">
        <v>56</v>
      </c>
      <c r="F11" s="121"/>
      <c r="G11" s="122"/>
      <c r="H11" s="164" t="s">
        <v>57</v>
      </c>
      <c r="I11" s="121"/>
      <c r="J11" s="165"/>
    </row>
    <row r="12" spans="1:10" ht="15" customHeight="1" x14ac:dyDescent="0.25">
      <c r="A12" s="146" t="str">
        <f>'input data'!B6</f>
        <v>To the Order</v>
      </c>
      <c r="B12" s="113"/>
      <c r="C12" s="113"/>
      <c r="D12" s="114"/>
      <c r="E12" s="147" t="str">
        <f>'input data'!B16</f>
        <v>CNF</v>
      </c>
      <c r="F12" s="113"/>
      <c r="G12" s="114"/>
      <c r="H12" s="149" t="str">
        <f>'input data'!B17</f>
        <v>100% Against Documents</v>
      </c>
      <c r="I12" s="113"/>
      <c r="J12" s="150"/>
    </row>
    <row r="13" spans="1:10" ht="15.75" thickBot="1" x14ac:dyDescent="0.3">
      <c r="A13" s="86"/>
      <c r="B13" s="64"/>
      <c r="C13" s="64"/>
      <c r="D13" s="66"/>
      <c r="E13" s="148"/>
      <c r="F13" s="143"/>
      <c r="G13" s="140"/>
      <c r="H13" s="143"/>
      <c r="I13" s="143"/>
      <c r="J13" s="141"/>
    </row>
    <row r="14" spans="1:10" x14ac:dyDescent="0.25">
      <c r="A14" s="89" t="s">
        <v>58</v>
      </c>
      <c r="B14" s="16"/>
      <c r="C14" s="16"/>
      <c r="D14" s="17"/>
      <c r="E14" s="151" t="s">
        <v>168</v>
      </c>
      <c r="F14" s="108"/>
      <c r="G14" s="108"/>
      <c r="H14" s="108"/>
      <c r="I14" s="108"/>
      <c r="J14" s="111"/>
    </row>
    <row r="15" spans="1:10" x14ac:dyDescent="0.25">
      <c r="A15" s="154" t="str">
        <f>'input data'!B7</f>
        <v xml:space="preserve">A-A STONE INVESTMENT TRADING COMPANY 
LIMITED
 34/5 TRAN KHANH DU STREET, TAN DINH WARD, 
HOCHIMINH CITY, VIETNAM
 TAX:0317458134
 MAIL: AASTONEDOCS@GMAIL.COM
</v>
      </c>
      <c r="B15" s="113"/>
      <c r="C15" s="113"/>
      <c r="D15" s="114"/>
      <c r="E15" s="135"/>
      <c r="F15" s="113"/>
      <c r="G15" s="113"/>
      <c r="H15" s="113"/>
      <c r="I15" s="113"/>
      <c r="J15" s="150"/>
    </row>
    <row r="16" spans="1:10" x14ac:dyDescent="0.25">
      <c r="A16" s="115"/>
      <c r="B16" s="113"/>
      <c r="C16" s="113"/>
      <c r="D16" s="114"/>
      <c r="E16" s="135"/>
      <c r="F16" s="113"/>
      <c r="G16" s="113"/>
      <c r="H16" s="113"/>
      <c r="I16" s="113"/>
      <c r="J16" s="150"/>
    </row>
    <row r="17" spans="1:20" x14ac:dyDescent="0.25">
      <c r="A17" s="115"/>
      <c r="B17" s="113"/>
      <c r="C17" s="113"/>
      <c r="D17" s="114"/>
      <c r="E17" s="135"/>
      <c r="F17" s="113"/>
      <c r="G17" s="113"/>
      <c r="H17" s="113"/>
      <c r="I17" s="113"/>
      <c r="J17" s="150"/>
    </row>
    <row r="18" spans="1:20" x14ac:dyDescent="0.25">
      <c r="A18" s="115"/>
      <c r="B18" s="113"/>
      <c r="C18" s="113"/>
      <c r="D18" s="114"/>
      <c r="E18" s="135"/>
      <c r="F18" s="113"/>
      <c r="G18" s="113"/>
      <c r="H18" s="113"/>
      <c r="I18" s="113"/>
      <c r="J18" s="150"/>
    </row>
    <row r="19" spans="1:20" x14ac:dyDescent="0.25">
      <c r="A19" s="115"/>
      <c r="B19" s="113"/>
      <c r="C19" s="113"/>
      <c r="D19" s="114"/>
      <c r="E19" s="135"/>
      <c r="F19" s="113"/>
      <c r="G19" s="113"/>
      <c r="H19" s="113"/>
      <c r="I19" s="113"/>
      <c r="J19" s="150"/>
    </row>
    <row r="20" spans="1:20" ht="48" customHeight="1" thickBot="1" x14ac:dyDescent="0.3">
      <c r="A20" s="117"/>
      <c r="B20" s="118"/>
      <c r="C20" s="118"/>
      <c r="D20" s="119"/>
      <c r="E20" s="152"/>
      <c r="F20" s="118"/>
      <c r="G20" s="118"/>
      <c r="H20" s="118"/>
      <c r="I20" s="118"/>
      <c r="J20" s="153"/>
    </row>
    <row r="21" spans="1:20" ht="15.75" customHeight="1" x14ac:dyDescent="0.25">
      <c r="A21" s="155" t="s">
        <v>59</v>
      </c>
      <c r="B21" s="114"/>
      <c r="C21" s="156" t="s">
        <v>28</v>
      </c>
      <c r="D21" s="114"/>
      <c r="E21" s="156" t="s">
        <v>60</v>
      </c>
      <c r="F21" s="157"/>
      <c r="G21" s="114"/>
      <c r="H21" s="156" t="s">
        <v>32</v>
      </c>
      <c r="I21" s="157"/>
      <c r="J21" s="150"/>
    </row>
    <row r="22" spans="1:20" ht="14.25" customHeight="1" x14ac:dyDescent="0.25">
      <c r="A22" s="155" t="s">
        <v>61</v>
      </c>
      <c r="B22" s="114"/>
      <c r="C22" s="158" t="str">
        <f>'input data'!B19</f>
        <v>CHENNAI</v>
      </c>
      <c r="D22" s="114"/>
      <c r="E22" s="159" t="s">
        <v>62</v>
      </c>
      <c r="F22" s="113"/>
      <c r="G22" s="114"/>
      <c r="H22" s="159" t="str">
        <f>'input data'!B23</f>
        <v>VIETNAM</v>
      </c>
      <c r="I22" s="113"/>
      <c r="J22" s="150"/>
    </row>
    <row r="23" spans="1:20" ht="15" customHeight="1" thickBot="1" x14ac:dyDescent="0.3">
      <c r="A23" s="160"/>
      <c r="B23" s="114"/>
      <c r="C23" s="148"/>
      <c r="D23" s="140"/>
      <c r="E23" s="148"/>
      <c r="F23" s="143"/>
      <c r="G23" s="140"/>
      <c r="H23" s="148"/>
      <c r="I23" s="143"/>
      <c r="J23" s="141"/>
    </row>
    <row r="24" spans="1:20" ht="15.75" customHeight="1" x14ac:dyDescent="0.25">
      <c r="A24" s="144" t="s">
        <v>63</v>
      </c>
      <c r="B24" s="109"/>
      <c r="C24" s="145" t="s">
        <v>29</v>
      </c>
      <c r="D24" s="109"/>
      <c r="E24" s="138" t="s">
        <v>30</v>
      </c>
      <c r="F24" s="108"/>
      <c r="G24" s="109"/>
      <c r="H24" s="145" t="s">
        <v>31</v>
      </c>
      <c r="I24" s="108"/>
      <c r="J24" s="111"/>
    </row>
    <row r="25" spans="1:20" ht="15.75" customHeight="1" thickBot="1" x14ac:dyDescent="0.3">
      <c r="A25" s="142"/>
      <c r="B25" s="140"/>
      <c r="C25" s="139" t="str">
        <f>'input data'!B20</f>
        <v>CHENNAI</v>
      </c>
      <c r="D25" s="140"/>
      <c r="E25" s="139" t="str">
        <f>'input data'!B21</f>
        <v>DA NANG</v>
      </c>
      <c r="F25" s="143"/>
      <c r="G25" s="140"/>
      <c r="H25" s="139" t="str">
        <f>'input data'!B22</f>
        <v>DA NANG</v>
      </c>
      <c r="I25" s="143"/>
      <c r="J25" s="141"/>
    </row>
    <row r="26" spans="1:20" ht="15.75" customHeight="1" x14ac:dyDescent="0.25">
      <c r="A26" s="132" t="s">
        <v>64</v>
      </c>
      <c r="B26" s="134" t="s">
        <v>65</v>
      </c>
      <c r="C26" s="108"/>
      <c r="D26" s="109"/>
      <c r="E26" s="136" t="s">
        <v>66</v>
      </c>
      <c r="F26" s="138" t="s">
        <v>67</v>
      </c>
      <c r="G26" s="109"/>
      <c r="H26" s="22" t="s">
        <v>36</v>
      </c>
      <c r="I26" s="138" t="s">
        <v>68</v>
      </c>
      <c r="J26" s="111"/>
    </row>
    <row r="27" spans="1:20" ht="15.75" customHeight="1" thickBot="1" x14ac:dyDescent="0.3">
      <c r="A27" s="133"/>
      <c r="B27" s="135"/>
      <c r="C27" s="113"/>
      <c r="D27" s="114"/>
      <c r="E27" s="137"/>
      <c r="F27" s="139" t="s">
        <v>69</v>
      </c>
      <c r="G27" s="140"/>
      <c r="H27" s="70" t="s">
        <v>69</v>
      </c>
      <c r="I27" s="139" t="s">
        <v>70</v>
      </c>
      <c r="J27" s="141"/>
    </row>
    <row r="28" spans="1:20" ht="15.75" customHeight="1" thickBot="1" x14ac:dyDescent="0.3">
      <c r="A28" s="90">
        <v>1</v>
      </c>
      <c r="B28" s="120" t="str">
        <f>'input data'!B18</f>
        <v>NATURAL POLISHED GRANITE SLABS</v>
      </c>
      <c r="C28" s="121"/>
      <c r="D28" s="122"/>
      <c r="E28" s="25">
        <v>68022390</v>
      </c>
      <c r="F28" s="123">
        <f>'input data'!B26</f>
        <v>428.68</v>
      </c>
      <c r="G28" s="121"/>
      <c r="H28" s="82">
        <f>'input data'!B27</f>
        <v>23.3</v>
      </c>
      <c r="I28" s="124">
        <f>F28*H28</f>
        <v>9988.2440000000006</v>
      </c>
      <c r="J28" s="125"/>
      <c r="O28" s="71"/>
      <c r="P28" s="71"/>
      <c r="Q28" s="71"/>
    </row>
    <row r="29" spans="1:20" ht="15.75" customHeight="1" x14ac:dyDescent="0.25">
      <c r="A29" s="86" t="s">
        <v>33</v>
      </c>
      <c r="B29" s="64"/>
      <c r="C29" s="64" t="s">
        <v>34</v>
      </c>
      <c r="D29" s="64" t="s">
        <v>71</v>
      </c>
      <c r="E29" s="64" t="s">
        <v>72</v>
      </c>
      <c r="F29" s="64"/>
      <c r="G29" s="64"/>
      <c r="H29" s="126" t="s">
        <v>148</v>
      </c>
      <c r="I29" s="64"/>
      <c r="J29" s="91"/>
      <c r="S29" s="166"/>
      <c r="T29" s="166"/>
    </row>
    <row r="30" spans="1:20" ht="15.75" customHeight="1" x14ac:dyDescent="0.25">
      <c r="A30" s="128" t="str">
        <f>UPPER('input data'!B24)</f>
        <v>CSNU2293910</v>
      </c>
      <c r="B30" s="113"/>
      <c r="C30" s="92">
        <f>'input data'!B25</f>
        <v>213</v>
      </c>
      <c r="D30" s="64" t="s">
        <v>73</v>
      </c>
      <c r="E30" s="64" t="s">
        <v>74</v>
      </c>
      <c r="F30" s="64"/>
      <c r="G30" s="64"/>
      <c r="H30" s="126"/>
      <c r="I30" s="64"/>
      <c r="J30" s="91"/>
    </row>
    <row r="31" spans="1:20" ht="15.75" customHeight="1" x14ac:dyDescent="0.25">
      <c r="A31" s="86"/>
      <c r="B31" s="64"/>
      <c r="C31" s="64"/>
      <c r="D31" s="64"/>
      <c r="E31" s="64"/>
      <c r="F31" s="64"/>
      <c r="G31" s="64"/>
      <c r="H31" s="126"/>
      <c r="I31" s="64"/>
      <c r="J31" s="91"/>
    </row>
    <row r="32" spans="1:20" ht="15.75" customHeight="1" x14ac:dyDescent="0.25">
      <c r="A32" s="86"/>
      <c r="B32" s="64"/>
      <c r="C32" s="64"/>
      <c r="D32" s="64"/>
      <c r="E32" s="64"/>
      <c r="F32" s="64"/>
      <c r="G32" s="64"/>
      <c r="H32" s="126"/>
      <c r="I32" s="64"/>
      <c r="J32" s="91"/>
    </row>
    <row r="33" spans="1:10" ht="15.75" customHeight="1" x14ac:dyDescent="0.25">
      <c r="A33" s="86"/>
      <c r="B33" s="64"/>
      <c r="C33" s="64"/>
      <c r="D33" s="64"/>
      <c r="E33" s="64"/>
      <c r="F33" s="64"/>
      <c r="G33" s="64"/>
      <c r="H33" s="126"/>
      <c r="I33" s="64"/>
      <c r="J33" s="91"/>
    </row>
    <row r="34" spans="1:10" ht="15.75" customHeight="1" thickBot="1" x14ac:dyDescent="0.3">
      <c r="A34" s="86"/>
      <c r="B34" s="64"/>
      <c r="C34" s="64"/>
      <c r="D34" s="64"/>
      <c r="E34" s="64"/>
      <c r="F34" s="129"/>
      <c r="G34" s="113"/>
      <c r="H34" s="126"/>
      <c r="I34" s="64"/>
      <c r="J34" s="91"/>
    </row>
    <row r="35" spans="1:10" ht="15.75" customHeight="1" thickBot="1" x14ac:dyDescent="0.3">
      <c r="A35" s="93"/>
      <c r="B35" s="65"/>
      <c r="C35" s="65"/>
      <c r="D35" s="65"/>
      <c r="E35" s="65"/>
      <c r="F35" s="65"/>
      <c r="G35" s="65"/>
      <c r="H35" s="127"/>
      <c r="I35" s="130"/>
      <c r="J35" s="131"/>
    </row>
    <row r="36" spans="1:10" ht="15.75" customHeight="1" x14ac:dyDescent="0.25">
      <c r="A36" s="89" t="s">
        <v>75</v>
      </c>
      <c r="B36" s="16"/>
      <c r="C36" s="16"/>
      <c r="D36" s="16"/>
      <c r="E36" s="16"/>
      <c r="F36" s="16"/>
      <c r="G36" s="16"/>
      <c r="H36" s="66"/>
      <c r="I36" s="103">
        <f>I28</f>
        <v>9988.2440000000006</v>
      </c>
      <c r="J36" s="104"/>
    </row>
    <row r="37" spans="1:10" ht="15.75" customHeight="1" thickBot="1" x14ac:dyDescent="0.3">
      <c r="A37" s="94" t="str">
        <f>SpellNumberUSD(I36)</f>
        <v>Nine Thousand Nine Hundred Eighty Eight Dollars and Twenty Four Cents</v>
      </c>
      <c r="B37" s="65"/>
      <c r="C37" s="65"/>
      <c r="D37" s="65"/>
      <c r="E37" s="65"/>
      <c r="F37" s="65"/>
      <c r="G37" s="65"/>
      <c r="H37" s="95"/>
      <c r="I37" s="105"/>
      <c r="J37" s="106"/>
    </row>
    <row r="38" spans="1:10" ht="15.75" customHeight="1" x14ac:dyDescent="0.25">
      <c r="A38" s="107" t="s">
        <v>76</v>
      </c>
      <c r="B38" s="108"/>
      <c r="C38" s="108"/>
      <c r="D38" s="109"/>
      <c r="E38" s="110" t="s">
        <v>77</v>
      </c>
      <c r="F38" s="108"/>
      <c r="G38" s="108"/>
      <c r="H38" s="108"/>
      <c r="I38" s="108"/>
      <c r="J38" s="111"/>
    </row>
    <row r="39" spans="1:10" ht="19.5" customHeight="1" x14ac:dyDescent="0.25">
      <c r="A39" s="112" t="s">
        <v>78</v>
      </c>
      <c r="B39" s="113"/>
      <c r="C39" s="113"/>
      <c r="D39" s="114"/>
      <c r="E39" s="96" t="s">
        <v>79</v>
      </c>
      <c r="F39" s="64"/>
      <c r="G39" s="64"/>
      <c r="H39" s="64"/>
      <c r="I39" s="64"/>
      <c r="J39" s="91"/>
    </row>
    <row r="40" spans="1:10" ht="19.5" customHeight="1" x14ac:dyDescent="0.25">
      <c r="A40" s="115"/>
      <c r="B40" s="113"/>
      <c r="C40" s="113"/>
      <c r="D40" s="114"/>
      <c r="E40" s="96"/>
      <c r="F40" s="64"/>
      <c r="G40" s="64"/>
      <c r="H40" s="64"/>
      <c r="I40" s="64"/>
      <c r="J40" s="91"/>
    </row>
    <row r="41" spans="1:10" ht="15.75" customHeight="1" x14ac:dyDescent="0.25">
      <c r="A41" s="116" t="s">
        <v>80</v>
      </c>
      <c r="B41" s="113"/>
      <c r="C41" s="113"/>
      <c r="D41" s="114"/>
      <c r="E41" s="96"/>
      <c r="F41" s="64"/>
      <c r="G41" s="64"/>
      <c r="H41" s="64"/>
      <c r="I41" s="64"/>
      <c r="J41" s="91"/>
    </row>
    <row r="42" spans="1:10" ht="18.75" customHeight="1" thickBot="1" x14ac:dyDescent="0.3">
      <c r="A42" s="117"/>
      <c r="B42" s="118"/>
      <c r="C42" s="118"/>
      <c r="D42" s="119"/>
      <c r="E42" s="97" t="s">
        <v>81</v>
      </c>
      <c r="F42" s="98"/>
      <c r="G42" s="98"/>
      <c r="H42" s="98"/>
      <c r="I42" s="98"/>
      <c r="J42" s="99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  <mergeCell ref="E10:G10"/>
    <mergeCell ref="H10:J10"/>
    <mergeCell ref="A11:D11"/>
    <mergeCell ref="E11:G11"/>
    <mergeCell ref="H11:J11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A12:D12"/>
    <mergeCell ref="E12:G13"/>
    <mergeCell ref="H12:J13"/>
    <mergeCell ref="E14:J20"/>
    <mergeCell ref="A15:D20"/>
    <mergeCell ref="A25:B25"/>
    <mergeCell ref="C25:D25"/>
    <mergeCell ref="E25:G25"/>
    <mergeCell ref="H25:J25"/>
    <mergeCell ref="A24:B24"/>
    <mergeCell ref="C24:D24"/>
    <mergeCell ref="E24:G24"/>
    <mergeCell ref="H24:J24"/>
    <mergeCell ref="A26:A27"/>
    <mergeCell ref="B26:D27"/>
    <mergeCell ref="E26:E27"/>
    <mergeCell ref="F26:G26"/>
    <mergeCell ref="I26:J26"/>
    <mergeCell ref="F27:G27"/>
    <mergeCell ref="I27:J27"/>
    <mergeCell ref="B28:D28"/>
    <mergeCell ref="F28:G28"/>
    <mergeCell ref="I28:J28"/>
    <mergeCell ref="H29:H35"/>
    <mergeCell ref="A30:B30"/>
    <mergeCell ref="F34:G34"/>
    <mergeCell ref="I35:J35"/>
    <mergeCell ref="I36:J37"/>
    <mergeCell ref="A38:D38"/>
    <mergeCell ref="E38:J38"/>
    <mergeCell ref="A39:D40"/>
    <mergeCell ref="A41:D42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workbookViewId="0">
      <selection activeCell="G43" sqref="G43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1" t="s">
        <v>82</v>
      </c>
      <c r="B1" s="101"/>
      <c r="C1" s="101"/>
      <c r="D1" s="101"/>
      <c r="E1" s="101"/>
      <c r="F1" s="101"/>
      <c r="G1" s="101"/>
      <c r="H1" s="101"/>
      <c r="I1" s="101"/>
      <c r="J1" s="101"/>
    </row>
    <row r="2" spans="1:10" x14ac:dyDescent="0.25">
      <c r="A2" s="110" t="s">
        <v>83</v>
      </c>
      <c r="B2" s="108"/>
      <c r="C2" s="108"/>
      <c r="D2" s="108"/>
      <c r="E2" s="108"/>
      <c r="F2" s="109"/>
      <c r="G2" s="138" t="s">
        <v>38</v>
      </c>
      <c r="H2" s="109"/>
      <c r="I2" s="202" t="s">
        <v>39</v>
      </c>
      <c r="J2" s="109"/>
    </row>
    <row r="3" spans="1:10" ht="15.75" x14ac:dyDescent="0.25">
      <c r="A3" s="203" t="s">
        <v>84</v>
      </c>
      <c r="B3" s="101"/>
      <c r="C3" s="101"/>
      <c r="D3" s="101"/>
      <c r="E3" s="101"/>
      <c r="F3" s="180"/>
      <c r="G3" s="204" t="str">
        <f>'input data'!B3</f>
        <v>BK022/26-27</v>
      </c>
      <c r="H3" s="185"/>
      <c r="I3" s="205">
        <f>'input data'!B4</f>
        <v>46282</v>
      </c>
      <c r="J3" s="206"/>
    </row>
    <row r="4" spans="1:10" x14ac:dyDescent="0.25">
      <c r="A4" s="18" t="s">
        <v>85</v>
      </c>
      <c r="B4" s="4"/>
      <c r="C4" s="4"/>
      <c r="D4" s="4"/>
      <c r="E4" s="4"/>
      <c r="F4" s="19"/>
      <c r="G4" s="202" t="s">
        <v>43</v>
      </c>
      <c r="H4" s="108"/>
      <c r="I4" s="108"/>
      <c r="J4" s="109"/>
    </row>
    <row r="5" spans="1:10" x14ac:dyDescent="0.25">
      <c r="A5" s="18" t="s">
        <v>86</v>
      </c>
      <c r="B5" s="4"/>
      <c r="C5" s="4"/>
      <c r="D5" s="4"/>
      <c r="E5" s="4"/>
      <c r="F5" s="19"/>
      <c r="G5" s="195" t="str">
        <f>'input data'!B5</f>
        <v>AD2403260504856</v>
      </c>
      <c r="H5" s="184"/>
      <c r="I5" s="184"/>
      <c r="J5" s="185"/>
    </row>
    <row r="6" spans="1:10" x14ac:dyDescent="0.25">
      <c r="A6" s="207" t="s">
        <v>87</v>
      </c>
      <c r="B6" s="101"/>
      <c r="C6" s="101"/>
      <c r="D6" s="101"/>
      <c r="E6" s="101"/>
      <c r="F6" s="19"/>
      <c r="G6" s="21"/>
      <c r="H6" s="28"/>
      <c r="I6" s="28"/>
      <c r="J6" s="30"/>
    </row>
    <row r="7" spans="1:10" x14ac:dyDescent="0.25">
      <c r="A7" s="18" t="s">
        <v>88</v>
      </c>
      <c r="B7" s="4"/>
      <c r="C7" s="4"/>
      <c r="D7" s="4"/>
      <c r="E7" s="4"/>
      <c r="F7" s="19"/>
      <c r="G7" s="31" t="s">
        <v>89</v>
      </c>
      <c r="H7" s="16"/>
      <c r="I7" s="16"/>
      <c r="J7" s="17"/>
    </row>
    <row r="8" spans="1:10" ht="15.75" x14ac:dyDescent="0.25">
      <c r="A8" s="32" t="s">
        <v>90</v>
      </c>
      <c r="B8" s="4"/>
      <c r="C8" s="4"/>
      <c r="D8" s="4"/>
      <c r="E8" s="4"/>
      <c r="F8" s="19"/>
      <c r="G8" s="33" t="s">
        <v>91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92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208" t="s">
        <v>55</v>
      </c>
      <c r="B11" s="108"/>
      <c r="C11" s="108"/>
      <c r="D11" s="108"/>
      <c r="E11" s="108"/>
      <c r="F11" s="17"/>
      <c r="G11" s="31" t="s">
        <v>93</v>
      </c>
      <c r="H11" s="16"/>
      <c r="I11" s="16"/>
      <c r="J11" s="17"/>
    </row>
    <row r="12" spans="1:10" x14ac:dyDescent="0.25">
      <c r="A12" s="209" t="str">
        <f>'input data'!B6</f>
        <v>To the Order</v>
      </c>
      <c r="B12" s="101"/>
      <c r="C12" s="101"/>
      <c r="D12" s="101"/>
      <c r="E12" s="101"/>
      <c r="F12" s="19"/>
      <c r="G12" s="18"/>
      <c r="H12" s="4"/>
      <c r="I12" s="4"/>
      <c r="J12" s="19"/>
    </row>
    <row r="13" spans="1:10" x14ac:dyDescent="0.25">
      <c r="A13" s="198"/>
      <c r="B13" s="184"/>
      <c r="C13" s="184"/>
      <c r="D13" s="184"/>
      <c r="E13" s="184"/>
      <c r="F13" s="26"/>
      <c r="G13" s="18"/>
      <c r="H13" s="4"/>
      <c r="I13" s="4"/>
      <c r="J13" s="19"/>
    </row>
    <row r="14" spans="1:10" x14ac:dyDescent="0.25">
      <c r="A14" s="208" t="s">
        <v>58</v>
      </c>
      <c r="B14" s="108"/>
      <c r="C14" s="108"/>
      <c r="D14" s="108"/>
      <c r="E14" s="108"/>
      <c r="F14" s="109"/>
      <c r="G14" s="18"/>
      <c r="H14" s="4"/>
      <c r="I14" s="4"/>
      <c r="J14" s="19"/>
    </row>
    <row r="15" spans="1:10" x14ac:dyDescent="0.25">
      <c r="A15" s="210" t="str">
        <f>'input data'!B7</f>
        <v xml:space="preserve">A-A STONE INVESTMENT TRADING COMPANY 
LIMITED
 34/5 TRAN KHANH DU STREET, TAN DINH WARD, 
HOCHIMINH CITY, VIETNAM
 TAX:0317458134
 MAIL: AASTONEDOCS@GMAIL.COM
</v>
      </c>
      <c r="B15" s="101"/>
      <c r="C15" s="101"/>
      <c r="D15" s="101"/>
      <c r="E15" s="101"/>
      <c r="F15" s="180"/>
      <c r="G15" s="18"/>
      <c r="H15" s="4"/>
      <c r="I15" s="4"/>
      <c r="J15" s="19"/>
    </row>
    <row r="16" spans="1:10" x14ac:dyDescent="0.25">
      <c r="A16" s="211"/>
      <c r="B16" s="101"/>
      <c r="C16" s="101"/>
      <c r="D16" s="101"/>
      <c r="E16" s="101"/>
      <c r="F16" s="180"/>
      <c r="G16" s="18"/>
      <c r="H16" s="4"/>
      <c r="I16" s="4"/>
      <c r="J16" s="19"/>
    </row>
    <row r="17" spans="1:10" x14ac:dyDescent="0.25">
      <c r="A17" s="211"/>
      <c r="B17" s="101"/>
      <c r="C17" s="101"/>
      <c r="D17" s="101"/>
      <c r="E17" s="101"/>
      <c r="F17" s="180"/>
      <c r="G17" s="18"/>
      <c r="H17" s="4"/>
      <c r="I17" s="4"/>
      <c r="J17" s="19"/>
    </row>
    <row r="18" spans="1:10" ht="37.5" customHeight="1" x14ac:dyDescent="0.25">
      <c r="A18" s="211"/>
      <c r="B18" s="101"/>
      <c r="C18" s="101"/>
      <c r="D18" s="101"/>
      <c r="E18" s="101"/>
      <c r="F18" s="180"/>
      <c r="G18" s="197" t="s">
        <v>94</v>
      </c>
      <c r="H18" s="109"/>
      <c r="I18" s="199" t="s">
        <v>95</v>
      </c>
      <c r="J18" s="109"/>
    </row>
    <row r="19" spans="1:10" ht="15" customHeight="1" x14ac:dyDescent="0.25">
      <c r="A19" s="211"/>
      <c r="B19" s="101"/>
      <c r="C19" s="101"/>
      <c r="D19" s="101"/>
      <c r="E19" s="101"/>
      <c r="F19" s="180"/>
      <c r="G19" s="198"/>
      <c r="H19" s="185"/>
      <c r="I19" s="184"/>
      <c r="J19" s="185"/>
    </row>
    <row r="20" spans="1:10" ht="30.75" customHeight="1" x14ac:dyDescent="0.25">
      <c r="A20" s="198"/>
      <c r="B20" s="184"/>
      <c r="C20" s="184"/>
      <c r="D20" s="184"/>
      <c r="E20" s="184"/>
      <c r="F20" s="185"/>
      <c r="G20" s="200" t="s">
        <v>62</v>
      </c>
      <c r="H20" s="185"/>
      <c r="I20" s="200" t="str">
        <f>'input data'!B23</f>
        <v>VIETNAM</v>
      </c>
      <c r="J20" s="185"/>
    </row>
    <row r="21" spans="1:10" ht="15.75" customHeight="1" x14ac:dyDescent="0.25">
      <c r="A21" s="193" t="s">
        <v>96</v>
      </c>
      <c r="B21" s="108"/>
      <c r="C21" s="109"/>
      <c r="D21" s="193" t="s">
        <v>97</v>
      </c>
      <c r="E21" s="108"/>
      <c r="F21" s="109"/>
      <c r="G21" s="212" t="s">
        <v>98</v>
      </c>
      <c r="H21" s="121"/>
      <c r="I21" s="121"/>
      <c r="J21" s="122"/>
    </row>
    <row r="22" spans="1:10" ht="15.75" customHeight="1" x14ac:dyDescent="0.25">
      <c r="A22" s="194"/>
      <c r="B22" s="184"/>
      <c r="C22" s="185"/>
      <c r="D22" s="195" t="str">
        <f>'input data'!B19</f>
        <v>CHENNAI</v>
      </c>
      <c r="E22" s="184"/>
      <c r="F22" s="185"/>
      <c r="G22" s="196" t="str">
        <f>'input data'!B16</f>
        <v>CNF</v>
      </c>
      <c r="H22" s="184"/>
      <c r="I22" s="184"/>
      <c r="J22" s="185"/>
    </row>
    <row r="23" spans="1:10" ht="15.75" customHeight="1" x14ac:dyDescent="0.25">
      <c r="A23" s="193" t="s">
        <v>99</v>
      </c>
      <c r="B23" s="108"/>
      <c r="C23" s="109"/>
      <c r="D23" s="193" t="s">
        <v>100</v>
      </c>
      <c r="E23" s="108"/>
      <c r="F23" s="109"/>
      <c r="G23" s="38"/>
      <c r="H23" s="39"/>
      <c r="I23" s="39"/>
      <c r="J23" s="40"/>
    </row>
    <row r="24" spans="1:10" ht="15.75" customHeight="1" x14ac:dyDescent="0.25">
      <c r="A24" s="194"/>
      <c r="B24" s="184"/>
      <c r="C24" s="185"/>
      <c r="D24" s="195" t="str">
        <f>'input data'!B20</f>
        <v>CHENNAI</v>
      </c>
      <c r="E24" s="184"/>
      <c r="F24" s="185"/>
      <c r="G24" s="27"/>
      <c r="H24" s="29"/>
      <c r="I24" s="29"/>
      <c r="J24" s="26"/>
    </row>
    <row r="25" spans="1:10" ht="15.75" customHeight="1" x14ac:dyDescent="0.25">
      <c r="A25" s="193" t="s">
        <v>30</v>
      </c>
      <c r="B25" s="108"/>
      <c r="C25" s="109"/>
      <c r="D25" s="193" t="s">
        <v>31</v>
      </c>
      <c r="E25" s="108"/>
      <c r="F25" s="109"/>
      <c r="G25" s="178" t="s">
        <v>101</v>
      </c>
      <c r="H25" s="121"/>
      <c r="I25" s="121"/>
      <c r="J25" s="122"/>
    </row>
    <row r="26" spans="1:10" ht="15.75" customHeight="1" x14ac:dyDescent="0.25">
      <c r="A26" s="179" t="str">
        <f>'input data'!B21</f>
        <v>DA NANG</v>
      </c>
      <c r="B26" s="101"/>
      <c r="C26" s="180"/>
      <c r="D26" s="179" t="str">
        <f>'input data'!B22</f>
        <v>DA NANG</v>
      </c>
      <c r="E26" s="101"/>
      <c r="F26" s="180"/>
      <c r="G26" s="197" t="str">
        <f>'input data'!B17</f>
        <v>100% Against Documents</v>
      </c>
      <c r="H26" s="108"/>
      <c r="I26" s="108"/>
      <c r="J26" s="109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95" t="s">
        <v>102</v>
      </c>
      <c r="C28" s="185"/>
      <c r="D28" s="195" t="s">
        <v>65</v>
      </c>
      <c r="E28" s="184"/>
      <c r="F28" s="184"/>
      <c r="G28" s="44"/>
      <c r="H28" s="45"/>
      <c r="I28" s="195" t="s">
        <v>69</v>
      </c>
      <c r="J28" s="185"/>
    </row>
    <row r="29" spans="1:10" ht="15.75" customHeight="1" thickBot="1" x14ac:dyDescent="0.3">
      <c r="A29" s="24">
        <v>1</v>
      </c>
      <c r="B29" s="120">
        <f>Invoice!E28</f>
        <v>68022390</v>
      </c>
      <c r="C29" s="122"/>
      <c r="D29" s="190" t="str">
        <f>'input data'!B18</f>
        <v>NATURAL POLISHED GRANITE SLABS</v>
      </c>
      <c r="E29" s="121"/>
      <c r="F29" s="121"/>
      <c r="G29" s="121"/>
      <c r="H29" s="122"/>
      <c r="I29" s="191">
        <f>'input data'!B26</f>
        <v>428.68</v>
      </c>
      <c r="J29" s="122"/>
    </row>
    <row r="30" spans="1:10" ht="15.75" customHeight="1" thickBot="1" x14ac:dyDescent="0.3">
      <c r="A30" s="46" t="s">
        <v>103</v>
      </c>
      <c r="B30" s="42"/>
      <c r="C30" s="42"/>
      <c r="D30" s="42"/>
      <c r="E30" s="42"/>
      <c r="F30" s="42"/>
      <c r="G30" s="42"/>
      <c r="H30" s="42"/>
      <c r="I30" s="192">
        <f>SUM(I29:I29)</f>
        <v>428.68</v>
      </c>
      <c r="J30" s="122"/>
    </row>
    <row r="31" spans="1:10" ht="15.75" customHeight="1" x14ac:dyDescent="0.25">
      <c r="A31" s="32"/>
      <c r="B31" s="4"/>
      <c r="C31" s="4"/>
      <c r="D31" s="4"/>
      <c r="E31" s="4"/>
      <c r="F31" s="4"/>
      <c r="G31" s="4"/>
      <c r="H31" s="4"/>
      <c r="I31" s="28"/>
      <c r="J31" s="30"/>
    </row>
    <row r="32" spans="1:10" ht="15.75" customHeight="1" x14ac:dyDescent="0.25">
      <c r="A32" s="179" t="s">
        <v>104</v>
      </c>
      <c r="B32" s="101"/>
      <c r="C32" s="28" t="s">
        <v>34</v>
      </c>
      <c r="D32" s="186" t="s">
        <v>71</v>
      </c>
      <c r="E32" s="101"/>
      <c r="F32" s="28" t="s">
        <v>72</v>
      </c>
      <c r="G32" s="28"/>
      <c r="H32" s="4"/>
      <c r="I32" s="28"/>
      <c r="J32" s="30"/>
    </row>
    <row r="33" spans="1:12" ht="15.75" customHeight="1" x14ac:dyDescent="0.25">
      <c r="A33" s="187" t="str">
        <f>Invoice!A30</f>
        <v>CSNU2293910</v>
      </c>
      <c r="B33" s="101"/>
      <c r="C33" s="47">
        <f>'input data'!B25</f>
        <v>213</v>
      </c>
      <c r="D33" s="188" t="s">
        <v>105</v>
      </c>
      <c r="E33" s="101"/>
      <c r="F33" s="47" t="s">
        <v>106</v>
      </c>
      <c r="G33" s="47"/>
      <c r="H33" s="4"/>
      <c r="I33" s="4"/>
      <c r="J33" s="19"/>
    </row>
    <row r="34" spans="1:12" ht="15.75" customHeight="1" x14ac:dyDescent="0.25">
      <c r="A34" s="20"/>
      <c r="B34" s="48"/>
      <c r="C34" s="48"/>
      <c r="D34" s="48"/>
      <c r="E34" s="48"/>
      <c r="F34" s="48"/>
      <c r="G34" s="48"/>
      <c r="H34" s="48"/>
      <c r="I34" s="48"/>
      <c r="J34" s="49"/>
    </row>
    <row r="35" spans="1:12" ht="15.75" customHeight="1" x14ac:dyDescent="0.25">
      <c r="A35" s="20" t="s">
        <v>107</v>
      </c>
      <c r="B35" s="48"/>
      <c r="C35" s="48" t="str">
        <f>'input data'!B14</f>
        <v>Loose packing</v>
      </c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108</v>
      </c>
      <c r="B36" s="48"/>
      <c r="C36" s="48"/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50"/>
      <c r="B37" s="51"/>
      <c r="C37" s="51"/>
      <c r="D37" s="51"/>
      <c r="E37" s="51"/>
      <c r="F37" s="51"/>
      <c r="G37" s="51"/>
      <c r="H37" s="51"/>
      <c r="I37" s="51"/>
      <c r="J37" s="52"/>
      <c r="L37" s="78"/>
    </row>
    <row r="38" spans="1:12" ht="15.75" customHeight="1" x14ac:dyDescent="0.25">
      <c r="A38" s="110" t="s">
        <v>109</v>
      </c>
      <c r="B38" s="108"/>
      <c r="C38" s="108"/>
      <c r="D38" s="108"/>
      <c r="E38" s="108"/>
      <c r="F38" s="109"/>
      <c r="G38" s="110" t="s">
        <v>77</v>
      </c>
      <c r="H38" s="108"/>
      <c r="I38" s="108"/>
      <c r="J38" s="109"/>
    </row>
    <row r="39" spans="1:12" ht="15.75" customHeight="1" x14ac:dyDescent="0.25">
      <c r="A39" s="189" t="s">
        <v>110</v>
      </c>
      <c r="B39" s="101"/>
      <c r="C39" s="101"/>
      <c r="D39" s="101"/>
      <c r="E39" s="101"/>
      <c r="F39" s="180"/>
      <c r="G39" s="18"/>
      <c r="H39" s="4"/>
      <c r="I39" s="4"/>
      <c r="J39" s="19"/>
    </row>
    <row r="40" spans="1:12" ht="15.75" customHeight="1" x14ac:dyDescent="0.25">
      <c r="A40" s="181" t="s">
        <v>111</v>
      </c>
      <c r="B40" s="157"/>
      <c r="C40" s="157"/>
      <c r="D40" s="157"/>
      <c r="E40" s="157"/>
      <c r="F40" s="114"/>
      <c r="G40" s="18"/>
      <c r="H40" s="4"/>
      <c r="I40" s="4"/>
      <c r="J40" s="19"/>
    </row>
    <row r="41" spans="1:12" ht="15.75" customHeight="1" x14ac:dyDescent="0.25">
      <c r="A41" s="182" t="s">
        <v>112</v>
      </c>
      <c r="B41" s="143"/>
      <c r="C41" s="143"/>
      <c r="D41" s="143"/>
      <c r="E41" s="143"/>
      <c r="F41" s="140"/>
      <c r="G41" s="183" t="s">
        <v>113</v>
      </c>
      <c r="H41" s="184"/>
      <c r="I41" s="184"/>
      <c r="J41" s="185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U26" sqref="U26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33" t="s">
        <v>40</v>
      </c>
      <c r="C1" s="234"/>
      <c r="D1" s="234"/>
      <c r="E1" s="234"/>
      <c r="F1" s="234"/>
      <c r="G1" s="234"/>
      <c r="H1" s="234"/>
      <c r="I1" s="234"/>
      <c r="J1" s="234"/>
      <c r="K1" s="235"/>
      <c r="R1" s="239"/>
      <c r="S1" s="101"/>
      <c r="T1" s="101"/>
      <c r="U1" s="101"/>
      <c r="V1" s="101"/>
      <c r="W1" s="224"/>
      <c r="X1" s="101"/>
      <c r="Y1" s="101"/>
    </row>
    <row r="2" spans="1:25" ht="36.75" thickBot="1" x14ac:dyDescent="0.6">
      <c r="A2" s="53"/>
      <c r="B2" s="236"/>
      <c r="C2" s="237"/>
      <c r="D2" s="237"/>
      <c r="E2" s="237"/>
      <c r="F2" s="237"/>
      <c r="G2" s="237"/>
      <c r="H2" s="237"/>
      <c r="I2" s="237"/>
      <c r="J2" s="237"/>
      <c r="K2" s="238"/>
    </row>
    <row r="3" spans="1:25" x14ac:dyDescent="0.25">
      <c r="A3" s="54"/>
      <c r="B3" s="240" t="s">
        <v>114</v>
      </c>
      <c r="C3" s="108"/>
      <c r="D3" s="108"/>
      <c r="E3" s="108"/>
      <c r="F3" s="108"/>
      <c r="G3" s="108"/>
      <c r="H3" s="108"/>
      <c r="I3" s="108"/>
      <c r="J3" s="108"/>
      <c r="K3" s="109"/>
    </row>
    <row r="4" spans="1:25" x14ac:dyDescent="0.25">
      <c r="A4" s="54"/>
      <c r="B4" s="241" t="s">
        <v>115</v>
      </c>
      <c r="C4" s="101"/>
      <c r="D4" s="101"/>
      <c r="E4" s="101"/>
      <c r="F4" s="101"/>
      <c r="G4" s="101"/>
      <c r="H4" s="101"/>
      <c r="I4" s="101"/>
      <c r="J4" s="101"/>
      <c r="K4" s="180"/>
    </row>
    <row r="5" spans="1:25" x14ac:dyDescent="0.25">
      <c r="A5" s="47"/>
      <c r="B5" s="194" t="s">
        <v>116</v>
      </c>
      <c r="C5" s="184"/>
      <c r="D5" s="184"/>
      <c r="E5" s="184"/>
      <c r="F5" s="184"/>
      <c r="G5" s="184"/>
      <c r="H5" s="184"/>
      <c r="I5" s="184"/>
      <c r="J5" s="184"/>
      <c r="K5" s="185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42" t="s">
        <v>117</v>
      </c>
      <c r="C7" s="101"/>
      <c r="D7" s="101"/>
      <c r="E7" s="101"/>
      <c r="F7" s="101"/>
      <c r="G7" s="101"/>
      <c r="H7" s="101"/>
      <c r="I7" s="101"/>
      <c r="J7" s="101"/>
      <c r="K7" s="180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118</v>
      </c>
      <c r="C9" s="245">
        <f ca="1">TODAY()</f>
        <v>46283</v>
      </c>
      <c r="D9" s="245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119</v>
      </c>
      <c r="C10" s="56" t="s">
        <v>165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120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43" t="s">
        <v>164</v>
      </c>
      <c r="C13" s="101"/>
      <c r="D13" s="101"/>
      <c r="E13" s="101"/>
      <c r="F13" s="101"/>
      <c r="G13" s="101"/>
      <c r="H13" s="4"/>
      <c r="I13" s="4"/>
      <c r="J13" s="4"/>
      <c r="K13" s="19"/>
    </row>
    <row r="14" spans="1:25" x14ac:dyDescent="0.25">
      <c r="A14" s="57"/>
      <c r="B14" s="210" t="s">
        <v>166</v>
      </c>
      <c r="C14" s="101"/>
      <c r="D14" s="101"/>
      <c r="E14" s="101"/>
      <c r="F14" s="101"/>
      <c r="G14" s="101"/>
      <c r="H14" s="4"/>
      <c r="I14" s="4"/>
      <c r="J14" s="4"/>
      <c r="K14" s="19"/>
    </row>
    <row r="15" spans="1:25" ht="63.75" customHeight="1" x14ac:dyDescent="0.25">
      <c r="A15" s="57"/>
      <c r="B15" s="211"/>
      <c r="C15" s="101"/>
      <c r="D15" s="101"/>
      <c r="E15" s="101"/>
      <c r="F15" s="101"/>
      <c r="G15" s="101"/>
      <c r="H15" s="4"/>
      <c r="I15" s="4"/>
      <c r="J15" s="4"/>
      <c r="K15" s="19"/>
    </row>
    <row r="16" spans="1:25" x14ac:dyDescent="0.25">
      <c r="A16" s="4"/>
      <c r="B16" s="18" t="s">
        <v>121</v>
      </c>
      <c r="C16" s="4"/>
      <c r="D16" s="4"/>
      <c r="E16" s="4"/>
      <c r="F16" s="4"/>
      <c r="G16" s="4"/>
      <c r="H16" s="4"/>
      <c r="I16" s="4"/>
      <c r="J16" s="4"/>
      <c r="K16" s="19"/>
      <c r="V16" t="s">
        <v>158</v>
      </c>
    </row>
    <row r="17" spans="1:18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150</v>
      </c>
      <c r="P17" t="s">
        <v>151</v>
      </c>
      <c r="Q17" t="s">
        <v>103</v>
      </c>
    </row>
    <row r="18" spans="1:18" ht="15.75" thickBot="1" x14ac:dyDescent="0.3">
      <c r="A18" s="48"/>
      <c r="B18" s="163" t="s">
        <v>122</v>
      </c>
      <c r="C18" s="164"/>
      <c r="D18" s="164"/>
      <c r="E18" s="244"/>
      <c r="F18" s="163" t="s">
        <v>123</v>
      </c>
      <c r="G18" s="122"/>
      <c r="H18" s="163" t="s">
        <v>124</v>
      </c>
      <c r="I18" s="122"/>
      <c r="J18" s="163" t="s">
        <v>125</v>
      </c>
      <c r="K18" s="122"/>
      <c r="N18" t="s">
        <v>160</v>
      </c>
      <c r="O18">
        <v>0</v>
      </c>
      <c r="P18">
        <v>0</v>
      </c>
      <c r="Q18">
        <f>O18</f>
        <v>0</v>
      </c>
    </row>
    <row r="19" spans="1:18" ht="15.75" customHeight="1" thickBot="1" x14ac:dyDescent="0.3">
      <c r="A19" s="3"/>
      <c r="B19" s="190" t="s">
        <v>149</v>
      </c>
      <c r="C19" s="229"/>
      <c r="D19" s="229"/>
      <c r="E19" s="230"/>
      <c r="F19" s="220">
        <v>172.55</v>
      </c>
      <c r="G19" s="221"/>
      <c r="H19" s="222">
        <v>4612.6000000000004</v>
      </c>
      <c r="I19" s="122"/>
      <c r="J19" s="227">
        <f>H19*F19</f>
        <v>795904.13000000012</v>
      </c>
      <c r="K19" s="122"/>
      <c r="N19" t="s">
        <v>159</v>
      </c>
      <c r="O19">
        <v>4548</v>
      </c>
      <c r="P19">
        <v>175</v>
      </c>
      <c r="Q19" s="68">
        <f>O19*P19</f>
        <v>795900</v>
      </c>
    </row>
    <row r="20" spans="1:18" ht="15.75" customHeight="1" x14ac:dyDescent="0.25">
      <c r="A20" s="47"/>
      <c r="B20" s="187"/>
      <c r="C20" s="101"/>
      <c r="D20" s="101"/>
      <c r="E20" s="101"/>
      <c r="F20" s="224"/>
      <c r="G20" s="228"/>
      <c r="H20" s="213" t="s">
        <v>167</v>
      </c>
      <c r="I20" s="214"/>
      <c r="J20" s="231">
        <f>J19*0.18</f>
        <v>143262.74340000001</v>
      </c>
      <c r="K20" s="232"/>
      <c r="M20" s="69"/>
      <c r="N20" t="s">
        <v>161</v>
      </c>
      <c r="O20" s="74">
        <f>O25-O19</f>
        <v>64.596800000000258</v>
      </c>
      <c r="P20">
        <v>0</v>
      </c>
      <c r="Q20" s="74">
        <f>O20*P20</f>
        <v>0</v>
      </c>
    </row>
    <row r="21" spans="1:18" ht="15.75" customHeight="1" thickBot="1" x14ac:dyDescent="0.3">
      <c r="A21" s="3"/>
      <c r="B21" s="183"/>
      <c r="C21" s="184"/>
      <c r="D21" s="184"/>
      <c r="E21" s="184"/>
      <c r="F21" s="29"/>
      <c r="G21" s="58"/>
      <c r="H21" s="216" t="s">
        <v>103</v>
      </c>
      <c r="I21" s="217"/>
      <c r="J21" s="218">
        <f>SUM(J19:K20)</f>
        <v>939166.87340000016</v>
      </c>
      <c r="K21" s="219"/>
      <c r="Q21" s="67">
        <f>SUM(Q18:Q20)</f>
        <v>795900</v>
      </c>
    </row>
    <row r="22" spans="1:18" ht="15.75" customHeight="1" thickBot="1" x14ac:dyDescent="0.3">
      <c r="A22" s="47"/>
      <c r="B22" s="187"/>
      <c r="C22" s="101"/>
      <c r="D22" s="101"/>
      <c r="E22" s="101"/>
      <c r="F22" s="4"/>
      <c r="G22" s="4"/>
      <c r="H22" s="223"/>
      <c r="I22" s="101"/>
      <c r="J22" s="224"/>
      <c r="K22" s="180"/>
      <c r="N22" s="69"/>
    </row>
    <row r="23" spans="1:18" ht="15.75" customHeight="1" thickBot="1" x14ac:dyDescent="0.3">
      <c r="A23" s="48"/>
      <c r="B23" s="225" t="s">
        <v>126</v>
      </c>
      <c r="C23" s="121"/>
      <c r="D23" s="42"/>
      <c r="E23" s="42"/>
      <c r="F23" s="42"/>
      <c r="G23" s="42"/>
      <c r="H23" s="42"/>
      <c r="I23" s="42"/>
      <c r="J23" s="226">
        <f>J21</f>
        <v>939166.87340000016</v>
      </c>
      <c r="K23" s="122"/>
      <c r="Q23" s="77">
        <f>Q21/O25</f>
        <v>172.54922433280964</v>
      </c>
      <c r="R23" s="76" t="s">
        <v>151</v>
      </c>
    </row>
    <row r="24" spans="1:18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5"/>
    </row>
    <row r="25" spans="1:18" ht="15.75" customHeight="1" x14ac:dyDescent="0.25">
      <c r="A25" s="59"/>
      <c r="B25" s="215" t="s">
        <v>127</v>
      </c>
      <c r="C25" s="101"/>
      <c r="D25" s="4"/>
      <c r="E25" s="4"/>
      <c r="F25" s="4"/>
      <c r="G25" s="4"/>
      <c r="H25" s="4"/>
      <c r="I25" s="4"/>
      <c r="J25" s="4"/>
      <c r="K25" s="19"/>
      <c r="M25" t="s">
        <v>152</v>
      </c>
      <c r="N25" s="73">
        <v>428.68</v>
      </c>
      <c r="O25" s="79">
        <f>N25*10.76</f>
        <v>4612.5968000000003</v>
      </c>
      <c r="P25" s="76" t="s">
        <v>153</v>
      </c>
    </row>
    <row r="26" spans="1:18" ht="15.75" customHeight="1" x14ac:dyDescent="0.25">
      <c r="A26" s="4"/>
      <c r="B26" s="18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19"/>
      <c r="O26" s="74"/>
    </row>
    <row r="27" spans="1:18" ht="15.75" customHeight="1" x14ac:dyDescent="0.25">
      <c r="A27" s="4"/>
      <c r="B27" s="18" t="s">
        <v>129</v>
      </c>
      <c r="C27" s="4"/>
      <c r="D27" s="4"/>
      <c r="E27" s="4"/>
      <c r="F27" s="4"/>
      <c r="G27" s="4"/>
      <c r="H27" s="4"/>
      <c r="I27" s="4"/>
      <c r="J27" s="4"/>
      <c r="K27" s="19"/>
      <c r="O27" s="74"/>
    </row>
    <row r="28" spans="1:18" ht="15.75" customHeight="1" x14ac:dyDescent="0.25">
      <c r="A28" s="4"/>
      <c r="B28" s="18" t="s">
        <v>130</v>
      </c>
      <c r="C28" s="4"/>
      <c r="D28" s="4"/>
      <c r="E28" s="4"/>
      <c r="F28" s="4"/>
      <c r="G28" s="4"/>
      <c r="H28" s="4"/>
      <c r="I28" s="4"/>
      <c r="J28" s="4"/>
      <c r="K28" s="19"/>
    </row>
    <row r="29" spans="1:18" ht="15.75" customHeight="1" x14ac:dyDescent="0.25">
      <c r="A29" s="4"/>
      <c r="B29" s="18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19"/>
    </row>
    <row r="30" spans="1:18" ht="15.75" customHeight="1" x14ac:dyDescent="0.25">
      <c r="A30" s="4"/>
      <c r="B30" s="18" t="s">
        <v>132</v>
      </c>
      <c r="C30" s="4"/>
      <c r="D30" s="4"/>
      <c r="E30" s="4"/>
      <c r="F30" s="4"/>
      <c r="G30" s="4"/>
      <c r="H30" s="4"/>
      <c r="I30" s="4"/>
      <c r="J30" s="4"/>
      <c r="K30" s="19"/>
    </row>
    <row r="31" spans="1:18" ht="15.75" customHeight="1" x14ac:dyDescent="0.25">
      <c r="A31" s="4"/>
      <c r="B31" s="18" t="s">
        <v>133</v>
      </c>
      <c r="C31" s="4"/>
      <c r="D31" s="4"/>
      <c r="E31" s="4"/>
      <c r="F31" s="4"/>
      <c r="G31" s="4"/>
      <c r="H31" s="4"/>
      <c r="I31" s="4"/>
      <c r="J31" s="4"/>
      <c r="K31" s="19"/>
    </row>
    <row r="32" spans="1:18" ht="15.75" customHeight="1" x14ac:dyDescent="0.25">
      <c r="A32" s="4"/>
      <c r="B32" s="18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136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137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203" t="s">
        <v>138</v>
      </c>
      <c r="C35" s="101"/>
      <c r="D35" s="101"/>
      <c r="E35" s="101"/>
      <c r="F35" s="101"/>
      <c r="G35" s="101"/>
      <c r="H35" s="4"/>
      <c r="I35" s="4"/>
      <c r="J35" s="4"/>
      <c r="K35" s="19"/>
    </row>
    <row r="36" spans="1:11" ht="15.75" customHeight="1" x14ac:dyDescent="0.25">
      <c r="A36" s="60"/>
      <c r="B36" s="203" t="s">
        <v>139</v>
      </c>
      <c r="C36" s="101"/>
      <c r="D36" s="101"/>
      <c r="E36" s="101"/>
      <c r="F36" s="101"/>
      <c r="G36" s="101"/>
      <c r="H36" s="4"/>
      <c r="I36" s="4"/>
      <c r="J36" s="4"/>
      <c r="K36" s="19"/>
    </row>
    <row r="37" spans="1:11" ht="15.75" customHeight="1" x14ac:dyDescent="0.25">
      <c r="A37" s="34"/>
      <c r="B37" s="33" t="s">
        <v>140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141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2026-09-17T06:53:03Z</cp:lastPrinted>
  <dcterms:created xsi:type="dcterms:W3CDTF">2022-11-23T06:47:43Z</dcterms:created>
  <dcterms:modified xsi:type="dcterms:W3CDTF">2026-09-18T05:16:39Z</dcterms:modified>
</cp:coreProperties>
</file>
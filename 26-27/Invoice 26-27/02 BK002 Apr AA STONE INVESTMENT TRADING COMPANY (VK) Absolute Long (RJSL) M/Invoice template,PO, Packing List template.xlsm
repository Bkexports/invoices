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2 BK002 Apr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H28" i="6" l="1"/>
  <c r="B29" i="4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E4" i="6"/>
  <c r="I28" i="6" l="1"/>
  <c r="I36" i="6" s="1"/>
  <c r="J20" i="5"/>
  <c r="A37" i="6"/>
  <c r="O25" i="5" l="1"/>
  <c r="O20" i="5"/>
  <c r="B5" i="2" l="1"/>
  <c r="B3" i="2" l="1"/>
  <c r="Q19" i="5" l="1"/>
  <c r="Q18" i="5"/>
  <c r="C9" i="5" l="1"/>
  <c r="F28" i="3" l="1"/>
  <c r="I28" i="3" l="1"/>
  <c r="I33" i="3" s="1"/>
  <c r="Q20" i="5"/>
  <c r="O27" i="5" l="1"/>
  <c r="Q21" i="5" l="1"/>
  <c r="Q23" i="5" s="1"/>
  <c r="J19" i="5" l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<sst xmlns="http://schemas.openxmlformats.org/spreadsheetml/2006/main" count="266" uniqueCount="171">
  <si>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</si>
  <si>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</si>
  <si>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</si>
  <si>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</si>
  <si>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</si>
  <si>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</si>
  <si>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</si>
  <si>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</si>
  <si>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</si>
  <si>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</si>
  <si>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</si>
  <si>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</si>
  <si>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</si>
  <si>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</si>
  <si>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</si>
  <si>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</si>
  <si>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</si>
  <si>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</si>
  <si>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</si>
  <si>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</si>
  <si>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</si>
  <si>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</si>
  <si>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</si>
  <si>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</si>
  <si>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</si>
  <si>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</si>
  <si>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</si>
  <si>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</si>
  <si>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</si>
  <si>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</si>
  <si>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</si>
  <si>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</si>
  <si>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</si>
  <si>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</si>
  <si>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</si>
  <si>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</si>
  <si>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</si>
  <si>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</si>
  <si>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</si>
  <si>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</si>
  <si>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</si>
  <si>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</si>
  <si>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</si>
  <si>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</si>
  <si>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</si>
  <si>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</si>
  <si>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</si>
  <si>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</si>
  <si>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</si>
  <si>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</si>
  <si>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</si>
  <si>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</si>
  <si>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</si>
  <si>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</si>
  <si>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</si>
  <si>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</si>
  <si>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</si>
  <si>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</si>
  <si>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</si>
  <si>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</si>
  <si>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</si>
  <si>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</si>
  <si>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</si>
  <si>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</si>
  <si>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</si>
  <si>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</si>
  <si>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</si>
  <si>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</si>
  <si>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</si>
  <si>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</si>
  <si>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</si>
  <si>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</si>
  <si>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</si>
  <si>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</si>
  <si>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</si>
  <si>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</si>
  <si>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</si>
  <si>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</si>
  <si>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</si>
  <si>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</si>
  <si>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</si>
  <si>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</si>
  <si>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</si>
  <si>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</si>
  <si>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</si>
  <si>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</si>
  <si>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</si>
  <si>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</si>
  <si>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</si>
  <si>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</si>
  <si>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</si>
  <si>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</si>
  <si>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</si>
  <si>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</si>
  <si>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</si>
  <si>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</si>
  <si>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</si>
  <si>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</si>
  <si>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</si>
  <si>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</si>
  <si>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</si>
  <si>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</si>
  <si>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</si>
  <si>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</si>
  <si>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</si>
  <si>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</si>
  <si>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</si>
  <si>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</si>
  <si>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</si>
  <si>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</si>
  <si>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</si>
  <si>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</si>
  <si>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</si>
  <si>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</si>
  <si>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</si>
  <si>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</si>
  <si>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</si>
  <si>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</si>
  <si>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</si>
  <si>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</si>
  <si>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</si>
  <si>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</si>
  <si>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</si>
  <si>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</si>
  <si>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</si>
  <si>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</si>
  <si>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</si>
  <si>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</si>
  <si>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</si>
  <si>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</si>
  <si>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</si>
  <si>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</si>
  <si>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</si>
  <si>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</si>
  <si>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</si>
  <si>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</si>
  <si>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</si>
  <si>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</si>
  <si>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</si>
  <si>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</si>
  <si>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</si>
  <si>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</si>
  <si>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</si>
  <si>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</si>
  <si>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</si>
  <si>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</si>
  <si>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</si>
  <si>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</si>
  <si>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</si>
  <si>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</si>
  <si>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</si>
  <si>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</si>
  <si>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</si>
  <si>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</si>
  <si>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</si>
  <si>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</si>
  <si>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</si>
  <si>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</si>
  <si>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</si>
  <si>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</si>
  <si>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</si>
  <si>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02</t>
  </si>
  <si>
    <t>DA NANG</t>
  </si>
  <si>
    <t>PO 002/26-27</t>
  </si>
  <si>
    <t>VIJAYRAM STONEX</t>
  </si>
  <si>
    <t>SY NO134/AA2 134/AA,
GURRALAPADU,
KHAMMAM RURAL, Khammam,
GSTIN/UIN: 36AAJFV4215D1ZC
State Name: Telangana, Code: 36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</si>
  <si>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</si>
  <si>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</si>
  <si>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</si>
  <si>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>OOCU0410520</t>
  </si>
  <si>
    <t xml:space="preserve">TAX INVOICE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</si>
</sst>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4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8" fillId="0" borderId="39" xfId="0" applyFont="1" applyBorder="1"/>
    <xf numFmtId="0" fontId="8" fillId="0" borderId="40" xfId="0" applyFont="1" applyBorder="1"/>
    <xf numFmtId="0" fontId="8" fillId="0" borderId="41" xfId="0" applyFont="1" applyBorder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6" fontId="6" fillId="0" borderId="34" xfId="0" applyNumberFormat="1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13" fillId="0" borderId="2" xfId="0" applyNumberFormat="1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0" fontId="6" fillId="0" borderId="44" xfId="0" applyFont="1" applyBorder="1"/>
    <xf numFmtId="164" fontId="6" fillId="0" borderId="19" xfId="0" applyNumberFormat="1" applyFont="1" applyBorder="1" applyAlignment="1">
      <alignment horizontal="center"/>
    </xf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9" fillId="0" borderId="44" xfId="0" applyFont="1" applyBorder="1"/>
    <xf numFmtId="0" fontId="8" fillId="0" borderId="46" xfId="0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8" fillId="0" borderId="45" xfId="0" applyFont="1" applyBorder="1"/>
    <xf numFmtId="0" fontId="4" fillId="0" borderId="19" xfId="0" applyFont="1" applyBorder="1" applyAlignment="1">
      <alignment horizontal="center"/>
    </xf>
    <xf numFmtId="0" fontId="10" fillId="2" borderId="44" xfId="0" applyFont="1" applyFill="1" applyBorder="1"/>
    <xf numFmtId="0" fontId="6" fillId="0" borderId="16" xfId="0" applyFont="1" applyBorder="1" applyAlignment="1">
      <alignment horizontal="center"/>
    </xf>
    <xf numFmtId="0" fontId="8" fillId="0" borderId="47" xfId="0" applyFont="1" applyBorder="1"/>
    <xf numFmtId="0" fontId="4" fillId="0" borderId="48" xfId="0" applyFont="1" applyBorder="1" applyAlignment="1">
      <alignment horizontal="left"/>
    </xf>
    <xf numFmtId="0" fontId="8" fillId="0" borderId="49" xfId="0" applyFont="1" applyBorder="1"/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8" fillId="0" borderId="19" xfId="0" applyFont="1" applyBorder="1"/>
    <xf numFmtId="0" fontId="4" fillId="0" borderId="48" xfId="0" applyFont="1" applyBorder="1"/>
    <xf numFmtId="0" fontId="6" fillId="0" borderId="44" xfId="0" applyFont="1" applyBorder="1" applyAlignment="1">
      <alignment horizontal="left" vertical="top" wrapText="1"/>
    </xf>
    <xf numFmtId="0" fontId="8" fillId="0" borderId="16" xfId="0" applyFont="1" applyBorder="1"/>
    <xf numFmtId="0" fontId="8" fillId="0" borderId="44" xfId="0" applyFont="1" applyBorder="1"/>
    <xf numFmtId="0" fontId="8" fillId="0" borderId="50" xfId="0" applyFont="1" applyBorder="1"/>
    <xf numFmtId="0" fontId="8" fillId="0" borderId="51" xfId="0" applyFont="1" applyBorder="1"/>
    <xf numFmtId="0" fontId="11" fillId="0" borderId="44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6" fillId="0" borderId="55" xfId="0" applyFont="1" applyBorder="1" applyAlignment="1">
      <alignment horizontal="center"/>
    </xf>
    <xf numFmtId="166" fontId="8" fillId="0" borderId="49" xfId="0" applyNumberFormat="1" applyFont="1" applyBorder="1"/>
    <xf numFmtId="0" fontId="6" fillId="0" borderId="47" xfId="0" applyFont="1" applyBorder="1"/>
    <xf numFmtId="0" fontId="6" fillId="0" borderId="44" xfId="0" applyFont="1" applyBorder="1" applyAlignment="1">
      <alignment horizontal="center"/>
    </xf>
    <xf numFmtId="0" fontId="6" fillId="0" borderId="17" xfId="0" applyFont="1" applyBorder="1" applyAlignment="1">
      <alignment horizontal="left"/>
    </xf>
    <xf numFmtId="0" fontId="4" fillId="0" borderId="17" xfId="0" applyFont="1" applyBorder="1" applyAlignment="1">
      <alignment horizontal="center"/>
    </xf>
    <xf numFmtId="0" fontId="6" fillId="0" borderId="52" xfId="0" applyFont="1" applyBorder="1"/>
    <xf numFmtId="0" fontId="8" fillId="0" borderId="49" xfId="0" applyNumberFormat="1" applyFont="1" applyBorder="1"/>
    <xf numFmtId="166" fontId="8" fillId="0" borderId="46" xfId="0" applyNumberFormat="1" applyFont="1" applyBorder="1"/>
    <xf numFmtId="0" fontId="4" fillId="0" borderId="52" xfId="0" applyFont="1" applyBorder="1" applyAlignment="1"/>
    <xf numFmtId="0" fontId="6" fillId="0" borderId="21" xfId="0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6" fillId="0" borderId="44" xfId="0" applyFont="1" applyBorder="1" applyAlignment="1">
      <alignment horizontal="left" wrapText="1"/>
    </xf>
    <xf numFmtId="0" fontId="6" fillId="0" borderId="16" xfId="0" applyFont="1" applyBorder="1"/>
    <xf numFmtId="0" fontId="15" fillId="0" borderId="44" xfId="0" applyFont="1" applyBorder="1" applyAlignment="1">
      <alignment horizontal="left" vertical="top" wrapText="1"/>
    </xf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B5" sqref="B5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BK002/26-27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46127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9" t="s">
        <v>21</v>
      </c>
      <c r="B7" s="91" t="s">
        <v>168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90"/>
      <c r="B8" s="90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90"/>
      <c r="B9" s="90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90"/>
      <c r="B10" s="90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90"/>
      <c r="B11" s="90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90"/>
      <c r="B12" s="90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162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162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169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235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445.05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000"/>
  <sheetViews>
    <sheetView zoomScaleNormal="100" workbookViewId="0">
      <selection activeCell="M11" sqref="M11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26" width="8.7109375" style="88" customWidth="1"/>
    <col min="27" max="16384" width="14.42578125" style="88"/>
  </cols>
  <sheetData>
    <row r="1" spans="1:10" x14ac:dyDescent="0.25">
      <c r="A1" s="211" t="s">
        <v>170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10" ht="16.5" customHeight="1" thickBot="1" x14ac:dyDescent="0.3">
      <c r="A2" s="124"/>
      <c r="B2" s="124"/>
      <c r="C2" s="124"/>
      <c r="D2" s="124"/>
      <c r="E2" s="124"/>
      <c r="F2" s="124"/>
      <c r="G2" s="124"/>
      <c r="H2" s="124"/>
      <c r="I2" s="124"/>
      <c r="J2" s="124"/>
    </row>
    <row r="3" spans="1:10" x14ac:dyDescent="0.25">
      <c r="A3" s="213" t="s">
        <v>37</v>
      </c>
      <c r="B3" s="214"/>
      <c r="C3" s="214"/>
      <c r="D3" s="215"/>
      <c r="E3" s="216" t="s">
        <v>38</v>
      </c>
      <c r="F3" s="217"/>
      <c r="G3" s="218"/>
      <c r="H3" s="216" t="s">
        <v>39</v>
      </c>
      <c r="I3" s="217"/>
      <c r="J3" s="219"/>
    </row>
    <row r="4" spans="1:10" ht="15.75" thickBot="1" x14ac:dyDescent="0.3">
      <c r="A4" s="220" t="s">
        <v>40</v>
      </c>
      <c r="B4" s="68"/>
      <c r="C4" s="68"/>
      <c r="D4" s="70"/>
      <c r="E4" s="221" t="str">
        <f>'input data'!B3</f>
        <v>BK002/26-27</v>
      </c>
      <c r="F4" s="127"/>
      <c r="G4" s="128"/>
      <c r="H4" s="222">
        <f>'input data'!B4</f>
        <v>46127</v>
      </c>
      <c r="I4" s="223"/>
      <c r="J4" s="224"/>
    </row>
    <row r="5" spans="1:10" x14ac:dyDescent="0.25">
      <c r="A5" s="225" t="s">
        <v>41</v>
      </c>
      <c r="B5" s="68"/>
      <c r="C5" s="68"/>
      <c r="D5" s="70"/>
      <c r="E5" s="114" t="s">
        <v>42</v>
      </c>
      <c r="F5" s="93"/>
      <c r="G5" s="94"/>
      <c r="H5" s="114" t="s">
        <v>43</v>
      </c>
      <c r="I5" s="93"/>
      <c r="J5" s="226"/>
    </row>
    <row r="6" spans="1:10" ht="15.75" thickBot="1" x14ac:dyDescent="0.3">
      <c r="A6" s="225" t="s">
        <v>44</v>
      </c>
      <c r="B6" s="68"/>
      <c r="C6" s="68"/>
      <c r="D6" s="70"/>
      <c r="E6" s="227"/>
      <c r="F6" s="127"/>
      <c r="G6" s="128"/>
      <c r="H6" s="228" t="str">
        <f>'input data'!B5</f>
        <v>AD2403260504856</v>
      </c>
      <c r="I6" s="127"/>
      <c r="J6" s="229"/>
    </row>
    <row r="7" spans="1:10" x14ac:dyDescent="0.25">
      <c r="A7" s="225" t="s">
        <v>45</v>
      </c>
      <c r="B7" s="68"/>
      <c r="C7" s="68"/>
      <c r="D7" s="70"/>
      <c r="E7" s="114" t="s">
        <v>46</v>
      </c>
      <c r="F7" s="93"/>
      <c r="G7" s="94"/>
      <c r="H7" s="114" t="s">
        <v>47</v>
      </c>
      <c r="I7" s="93"/>
      <c r="J7" s="226"/>
    </row>
    <row r="8" spans="1:10" ht="15.75" thickBot="1" x14ac:dyDescent="0.3">
      <c r="A8" s="220" t="s">
        <v>48</v>
      </c>
      <c r="B8" s="68"/>
      <c r="C8" s="68"/>
      <c r="D8" s="70"/>
      <c r="E8" s="227" t="s">
        <v>49</v>
      </c>
      <c r="F8" s="127"/>
      <c r="G8" s="128"/>
      <c r="H8" s="230" t="s">
        <v>50</v>
      </c>
      <c r="I8" s="127"/>
      <c r="J8" s="229"/>
    </row>
    <row r="9" spans="1:10" x14ac:dyDescent="0.25">
      <c r="A9" s="231" t="s">
        <v>51</v>
      </c>
      <c r="B9" s="68"/>
      <c r="C9" s="68"/>
      <c r="D9" s="70"/>
      <c r="E9" s="114" t="s">
        <v>52</v>
      </c>
      <c r="F9" s="93"/>
      <c r="G9" s="94"/>
      <c r="H9" s="114" t="s">
        <v>53</v>
      </c>
      <c r="I9" s="93"/>
      <c r="J9" s="226"/>
    </row>
    <row r="10" spans="1:10" ht="15.75" thickBot="1" x14ac:dyDescent="0.3">
      <c r="A10" s="231" t="s">
        <v>54</v>
      </c>
      <c r="B10" s="68"/>
      <c r="C10" s="68"/>
      <c r="D10" s="70"/>
      <c r="E10" s="232" t="str">
        <f>'input data'!B14</f>
        <v>Loose packing</v>
      </c>
      <c r="F10" s="178"/>
      <c r="G10" s="125"/>
      <c r="H10" s="232" t="str">
        <f>'input data'!B13 &amp; " " &amp; 'input data'!B15</f>
        <v>1 FCL</v>
      </c>
      <c r="I10" s="178"/>
      <c r="J10" s="233"/>
    </row>
    <row r="11" spans="1:10" ht="15.75" thickBot="1" x14ac:dyDescent="0.3">
      <c r="A11" s="234" t="s">
        <v>55</v>
      </c>
      <c r="B11" s="93"/>
      <c r="C11" s="93"/>
      <c r="D11" s="94"/>
      <c r="E11" s="140" t="s">
        <v>56</v>
      </c>
      <c r="F11" s="109"/>
      <c r="G11" s="110"/>
      <c r="H11" s="141" t="s">
        <v>57</v>
      </c>
      <c r="I11" s="109"/>
      <c r="J11" s="235"/>
    </row>
    <row r="12" spans="1:10" ht="15" customHeight="1" x14ac:dyDescent="0.25">
      <c r="A12" s="236" t="str">
        <f>'input data'!B6</f>
        <v>To the Order</v>
      </c>
      <c r="B12" s="178"/>
      <c r="C12" s="178"/>
      <c r="D12" s="125"/>
      <c r="E12" s="237" t="str">
        <f>'input data'!B16</f>
        <v>CNF</v>
      </c>
      <c r="F12" s="178"/>
      <c r="G12" s="125"/>
      <c r="H12" s="238" t="str">
        <f>'input data'!B17</f>
        <v>100% Against Documents</v>
      </c>
      <c r="I12" s="178"/>
      <c r="J12" s="233"/>
    </row>
    <row r="13" spans="1:10" ht="15.75" thickBot="1" x14ac:dyDescent="0.3">
      <c r="A13" s="220"/>
      <c r="B13" s="68"/>
      <c r="C13" s="68"/>
      <c r="D13" s="70"/>
      <c r="E13" s="239"/>
      <c r="F13" s="127"/>
      <c r="G13" s="128"/>
      <c r="H13" s="127"/>
      <c r="I13" s="127"/>
      <c r="J13" s="229"/>
    </row>
    <row r="14" spans="1:10" x14ac:dyDescent="0.25">
      <c r="A14" s="240" t="s">
        <v>58</v>
      </c>
      <c r="B14" s="17"/>
      <c r="C14" s="17"/>
      <c r="D14" s="18"/>
      <c r="E14" s="200" t="s">
        <v>156</v>
      </c>
      <c r="F14" s="93"/>
      <c r="G14" s="93"/>
      <c r="H14" s="93"/>
      <c r="I14" s="93"/>
      <c r="J14" s="226"/>
    </row>
    <row r="15" spans="1:10" x14ac:dyDescent="0.25">
      <c r="A15" s="241" t="str">
        <f>'input data'!B7</f>
        <v xml:space="preserve">A-A STONE INVESTMENT TRADING COMPANY 
LIMITED
 34/5 TRAN KHANH DU STREET, TAN DINH WARD, 
HOCHIMINH CITY, VIETNAM
 TAX:0317458134
 MAIL: AASTONEDOCS@GMAIL.COM
</v>
      </c>
      <c r="B15" s="178"/>
      <c r="C15" s="178"/>
      <c r="D15" s="125"/>
      <c r="E15" s="242"/>
      <c r="F15" s="178"/>
      <c r="G15" s="178"/>
      <c r="H15" s="178"/>
      <c r="I15" s="178"/>
      <c r="J15" s="233"/>
    </row>
    <row r="16" spans="1:10" x14ac:dyDescent="0.25">
      <c r="A16" s="243"/>
      <c r="B16" s="178"/>
      <c r="C16" s="178"/>
      <c r="D16" s="125"/>
      <c r="E16" s="242"/>
      <c r="F16" s="178"/>
      <c r="G16" s="178"/>
      <c r="H16" s="178"/>
      <c r="I16" s="178"/>
      <c r="J16" s="233"/>
    </row>
    <row r="17" spans="1:15" x14ac:dyDescent="0.25">
      <c r="A17" s="243"/>
      <c r="B17" s="178"/>
      <c r="C17" s="178"/>
      <c r="D17" s="125"/>
      <c r="E17" s="242"/>
      <c r="F17" s="178"/>
      <c r="G17" s="178"/>
      <c r="H17" s="178"/>
      <c r="I17" s="178"/>
      <c r="J17" s="233"/>
    </row>
    <row r="18" spans="1:15" x14ac:dyDescent="0.25">
      <c r="A18" s="243"/>
      <c r="B18" s="178"/>
      <c r="C18" s="178"/>
      <c r="D18" s="125"/>
      <c r="E18" s="242"/>
      <c r="F18" s="178"/>
      <c r="G18" s="178"/>
      <c r="H18" s="178"/>
      <c r="I18" s="178"/>
      <c r="J18" s="233"/>
    </row>
    <row r="19" spans="1:15" x14ac:dyDescent="0.25">
      <c r="A19" s="243"/>
      <c r="B19" s="178"/>
      <c r="C19" s="178"/>
      <c r="D19" s="125"/>
      <c r="E19" s="242"/>
      <c r="F19" s="178"/>
      <c r="G19" s="178"/>
      <c r="H19" s="178"/>
      <c r="I19" s="178"/>
      <c r="J19" s="233"/>
    </row>
    <row r="20" spans="1:15" ht="48" customHeight="1" thickBot="1" x14ac:dyDescent="0.3">
      <c r="A20" s="193"/>
      <c r="B20" s="194"/>
      <c r="C20" s="194"/>
      <c r="D20" s="244"/>
      <c r="E20" s="245"/>
      <c r="F20" s="194"/>
      <c r="G20" s="194"/>
      <c r="H20" s="194"/>
      <c r="I20" s="194"/>
      <c r="J20" s="195"/>
    </row>
    <row r="21" spans="1:15" ht="15.75" customHeight="1" x14ac:dyDescent="0.25">
      <c r="A21" s="246" t="s">
        <v>59</v>
      </c>
      <c r="B21" s="125"/>
      <c r="C21" s="212" t="s">
        <v>28</v>
      </c>
      <c r="D21" s="125"/>
      <c r="E21" s="212" t="s">
        <v>60</v>
      </c>
      <c r="F21" s="124"/>
      <c r="G21" s="125"/>
      <c r="H21" s="212" t="s">
        <v>32</v>
      </c>
      <c r="I21" s="124"/>
      <c r="J21" s="233"/>
    </row>
    <row r="22" spans="1:15" ht="14.25" customHeight="1" x14ac:dyDescent="0.25">
      <c r="A22" s="246" t="s">
        <v>61</v>
      </c>
      <c r="B22" s="125"/>
      <c r="C22" s="247" t="str">
        <f>'input data'!B19</f>
        <v>CHENNAI</v>
      </c>
      <c r="D22" s="125"/>
      <c r="E22" s="248" t="s">
        <v>62</v>
      </c>
      <c r="F22" s="178"/>
      <c r="G22" s="125"/>
      <c r="H22" s="248" t="str">
        <f>'input data'!B23</f>
        <v>VIETNAM</v>
      </c>
      <c r="I22" s="178"/>
      <c r="J22" s="233"/>
    </row>
    <row r="23" spans="1:15" ht="15" customHeight="1" thickBot="1" x14ac:dyDescent="0.3">
      <c r="A23" s="249"/>
      <c r="B23" s="125"/>
      <c r="C23" s="239"/>
      <c r="D23" s="128"/>
      <c r="E23" s="239"/>
      <c r="F23" s="127"/>
      <c r="G23" s="128"/>
      <c r="H23" s="239"/>
      <c r="I23" s="127"/>
      <c r="J23" s="229"/>
    </row>
    <row r="24" spans="1:15" ht="15.75" customHeight="1" x14ac:dyDescent="0.25">
      <c r="A24" s="250" t="s">
        <v>63</v>
      </c>
      <c r="B24" s="94"/>
      <c r="C24" s="205" t="s">
        <v>29</v>
      </c>
      <c r="D24" s="94"/>
      <c r="E24" s="114" t="s">
        <v>30</v>
      </c>
      <c r="F24" s="93"/>
      <c r="G24" s="94"/>
      <c r="H24" s="205" t="s">
        <v>31</v>
      </c>
      <c r="I24" s="93"/>
      <c r="J24" s="226"/>
    </row>
    <row r="25" spans="1:15" ht="15.75" customHeight="1" thickBot="1" x14ac:dyDescent="0.3">
      <c r="A25" s="251"/>
      <c r="B25" s="128"/>
      <c r="C25" s="230" t="str">
        <f>'input data'!B20</f>
        <v>CHENNAI</v>
      </c>
      <c r="D25" s="128"/>
      <c r="E25" s="230" t="str">
        <f>'input data'!B21</f>
        <v>DA NANG</v>
      </c>
      <c r="F25" s="127"/>
      <c r="G25" s="128"/>
      <c r="H25" s="230" t="str">
        <f>'input data'!B22</f>
        <v>DA NANG</v>
      </c>
      <c r="I25" s="127"/>
      <c r="J25" s="229"/>
    </row>
    <row r="26" spans="1:15" ht="15.75" customHeight="1" x14ac:dyDescent="0.25">
      <c r="A26" s="252" t="s">
        <v>64</v>
      </c>
      <c r="B26" s="175" t="s">
        <v>65</v>
      </c>
      <c r="C26" s="93"/>
      <c r="D26" s="94"/>
      <c r="E26" s="173" t="s">
        <v>66</v>
      </c>
      <c r="F26" s="114" t="s">
        <v>67</v>
      </c>
      <c r="G26" s="94"/>
      <c r="H26" s="25" t="s">
        <v>36</v>
      </c>
      <c r="I26" s="114" t="s">
        <v>68</v>
      </c>
      <c r="J26" s="226"/>
    </row>
    <row r="27" spans="1:15" ht="15.75" customHeight="1" thickBot="1" x14ac:dyDescent="0.3">
      <c r="A27" s="253"/>
      <c r="B27" s="242"/>
      <c r="C27" s="178"/>
      <c r="D27" s="125"/>
      <c r="E27" s="174"/>
      <c r="F27" s="230" t="s">
        <v>69</v>
      </c>
      <c r="G27" s="128"/>
      <c r="H27" s="74" t="s">
        <v>69</v>
      </c>
      <c r="I27" s="230" t="s">
        <v>70</v>
      </c>
      <c r="J27" s="229"/>
    </row>
    <row r="28" spans="1:15" ht="15.75" customHeight="1" thickBot="1" x14ac:dyDescent="0.3">
      <c r="A28" s="254">
        <v>1</v>
      </c>
      <c r="B28" s="134" t="str">
        <f>'input data'!B18</f>
        <v>NATURAL POLISHED GRANITE SLABS</v>
      </c>
      <c r="C28" s="109"/>
      <c r="D28" s="110"/>
      <c r="E28" s="28">
        <v>68022390</v>
      </c>
      <c r="F28" s="177">
        <f>'input data'!B26</f>
        <v>445.05</v>
      </c>
      <c r="G28" s="109"/>
      <c r="H28" s="208">
        <f>'input data'!B27</f>
        <v>22.8</v>
      </c>
      <c r="I28" s="209">
        <f>F28*H28</f>
        <v>10147.140000000001</v>
      </c>
      <c r="J28" s="255"/>
      <c r="O28" s="75"/>
    </row>
    <row r="29" spans="1:15" ht="15.75" customHeight="1" x14ac:dyDescent="0.25">
      <c r="A29" s="220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88" t="s">
        <v>148</v>
      </c>
      <c r="I29" s="68"/>
      <c r="J29" s="256"/>
    </row>
    <row r="30" spans="1:15" ht="15.75" customHeight="1" x14ac:dyDescent="0.25">
      <c r="A30" s="257" t="str">
        <f>UPPER('input data'!B24)</f>
        <v>OOCU0410520</v>
      </c>
      <c r="B30" s="178"/>
      <c r="C30" s="258">
        <f>'input data'!B25</f>
        <v>235</v>
      </c>
      <c r="D30" s="68" t="s">
        <v>73</v>
      </c>
      <c r="E30" s="68" t="s">
        <v>74</v>
      </c>
      <c r="F30" s="68"/>
      <c r="G30" s="68"/>
      <c r="H30" s="188"/>
      <c r="I30" s="68"/>
      <c r="J30" s="256"/>
    </row>
    <row r="31" spans="1:15" ht="15.75" customHeight="1" x14ac:dyDescent="0.25">
      <c r="A31" s="220"/>
      <c r="B31" s="68"/>
      <c r="C31" s="68"/>
      <c r="D31" s="68"/>
      <c r="E31" s="68"/>
      <c r="F31" s="68"/>
      <c r="G31" s="68"/>
      <c r="H31" s="188"/>
      <c r="I31" s="68"/>
      <c r="J31" s="256"/>
    </row>
    <row r="32" spans="1:15" ht="15.75" customHeight="1" x14ac:dyDescent="0.25">
      <c r="A32" s="220"/>
      <c r="B32" s="68"/>
      <c r="C32" s="68"/>
      <c r="D32" s="68"/>
      <c r="E32" s="68"/>
      <c r="F32" s="68"/>
      <c r="G32" s="68"/>
      <c r="H32" s="188"/>
      <c r="I32" s="68"/>
      <c r="J32" s="256"/>
    </row>
    <row r="33" spans="1:10" ht="15.75" customHeight="1" x14ac:dyDescent="0.25">
      <c r="A33" s="220"/>
      <c r="B33" s="68"/>
      <c r="C33" s="68"/>
      <c r="D33" s="68"/>
      <c r="E33" s="68"/>
      <c r="F33" s="68"/>
      <c r="G33" s="68"/>
      <c r="H33" s="188"/>
      <c r="I33" s="68"/>
      <c r="J33" s="256"/>
    </row>
    <row r="34" spans="1:10" ht="15.75" customHeight="1" thickBot="1" x14ac:dyDescent="0.3">
      <c r="A34" s="220"/>
      <c r="B34" s="68"/>
      <c r="C34" s="68"/>
      <c r="D34" s="68"/>
      <c r="E34" s="68"/>
      <c r="F34" s="259"/>
      <c r="G34" s="178"/>
      <c r="H34" s="188"/>
      <c r="I34" s="68"/>
      <c r="J34" s="256"/>
    </row>
    <row r="35" spans="1:10" ht="15.75" customHeight="1" thickBot="1" x14ac:dyDescent="0.3">
      <c r="A35" s="260"/>
      <c r="B35" s="69"/>
      <c r="C35" s="69"/>
      <c r="D35" s="69"/>
      <c r="E35" s="69"/>
      <c r="F35" s="69"/>
      <c r="G35" s="69"/>
      <c r="H35" s="189"/>
      <c r="I35" s="184"/>
      <c r="J35" s="261"/>
    </row>
    <row r="36" spans="1:10" ht="15.75" customHeight="1" x14ac:dyDescent="0.25">
      <c r="A36" s="240" t="s">
        <v>75</v>
      </c>
      <c r="B36" s="17"/>
      <c r="C36" s="17"/>
      <c r="D36" s="17"/>
      <c r="E36" s="17"/>
      <c r="F36" s="17"/>
      <c r="G36" s="17"/>
      <c r="H36" s="70"/>
      <c r="I36" s="210">
        <f>I28</f>
        <v>10147.140000000001</v>
      </c>
      <c r="J36" s="262"/>
    </row>
    <row r="37" spans="1:10" ht="15.75" customHeight="1" thickBot="1" x14ac:dyDescent="0.3">
      <c r="A37" s="263" t="str">
        <f>SpellNumberUSD(I36)</f>
        <v>Ten Thousand One Hundred Forty Seven Dollars and Fourteen Cents</v>
      </c>
      <c r="B37" s="69"/>
      <c r="C37" s="69"/>
      <c r="D37" s="69"/>
      <c r="E37" s="69"/>
      <c r="F37" s="69"/>
      <c r="G37" s="69"/>
      <c r="H37" s="264"/>
      <c r="I37" s="265"/>
      <c r="J37" s="266"/>
    </row>
    <row r="38" spans="1:10" ht="15.75" customHeight="1" x14ac:dyDescent="0.25">
      <c r="A38" s="267" t="s">
        <v>76</v>
      </c>
      <c r="B38" s="93"/>
      <c r="C38" s="93"/>
      <c r="D38" s="94"/>
      <c r="E38" s="113" t="s">
        <v>77</v>
      </c>
      <c r="F38" s="93"/>
      <c r="G38" s="93"/>
      <c r="H38" s="93"/>
      <c r="I38" s="93"/>
      <c r="J38" s="226"/>
    </row>
    <row r="39" spans="1:10" ht="19.5" customHeight="1" x14ac:dyDescent="0.25">
      <c r="A39" s="268" t="s">
        <v>78</v>
      </c>
      <c r="B39" s="178"/>
      <c r="C39" s="178"/>
      <c r="D39" s="125"/>
      <c r="E39" s="269" t="s">
        <v>79</v>
      </c>
      <c r="F39" s="68"/>
      <c r="G39" s="68"/>
      <c r="H39" s="68"/>
      <c r="I39" s="68"/>
      <c r="J39" s="256"/>
    </row>
    <row r="40" spans="1:10" ht="19.5" customHeight="1" x14ac:dyDescent="0.25">
      <c r="A40" s="243"/>
      <c r="B40" s="178"/>
      <c r="C40" s="178"/>
      <c r="D40" s="125"/>
      <c r="E40" s="269"/>
      <c r="F40" s="68"/>
      <c r="G40" s="68"/>
      <c r="H40" s="68"/>
      <c r="I40" s="68"/>
      <c r="J40" s="256"/>
    </row>
    <row r="41" spans="1:10" ht="15.75" customHeight="1" x14ac:dyDescent="0.25">
      <c r="A41" s="270" t="s">
        <v>80</v>
      </c>
      <c r="B41" s="178"/>
      <c r="C41" s="178"/>
      <c r="D41" s="125"/>
      <c r="E41" s="269"/>
      <c r="F41" s="68"/>
      <c r="G41" s="68"/>
      <c r="H41" s="68"/>
      <c r="I41" s="68"/>
      <c r="J41" s="256"/>
    </row>
    <row r="42" spans="1:10" ht="18.75" customHeight="1" thickBot="1" x14ac:dyDescent="0.3">
      <c r="A42" s="193"/>
      <c r="B42" s="194"/>
      <c r="C42" s="194"/>
      <c r="D42" s="244"/>
      <c r="E42" s="271" t="s">
        <v>81</v>
      </c>
      <c r="F42" s="272"/>
      <c r="G42" s="272"/>
      <c r="H42" s="272"/>
      <c r="I42" s="272"/>
      <c r="J42" s="273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1">
    <mergeCell ref="I36:J37"/>
    <mergeCell ref="A38:D38"/>
    <mergeCell ref="E38:J38"/>
    <mergeCell ref="A39:D40"/>
    <mergeCell ref="A41:D42"/>
    <mergeCell ref="I27:J27"/>
    <mergeCell ref="B28:D28"/>
    <mergeCell ref="F28:G28"/>
    <mergeCell ref="I28:J28"/>
    <mergeCell ref="H29:H35"/>
    <mergeCell ref="A30:B30"/>
    <mergeCell ref="F34:G34"/>
    <mergeCell ref="I35:J35"/>
    <mergeCell ref="A25:B25"/>
    <mergeCell ref="C25:D25"/>
    <mergeCell ref="E25:G25"/>
    <mergeCell ref="H25:J25"/>
    <mergeCell ref="A26:A27"/>
    <mergeCell ref="B26:D27"/>
    <mergeCell ref="E26:E27"/>
    <mergeCell ref="F26:G26"/>
    <mergeCell ref="I26:J26"/>
    <mergeCell ref="F27:G27"/>
    <mergeCell ref="A22:B22"/>
    <mergeCell ref="C22:D23"/>
    <mergeCell ref="E22:G23"/>
    <mergeCell ref="H22:J23"/>
    <mergeCell ref="A23:B23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E9:G9"/>
    <mergeCell ref="H9:J9"/>
    <mergeCell ref="E10:G10"/>
    <mergeCell ref="H10:J10"/>
    <mergeCell ref="A11:D11"/>
    <mergeCell ref="E11:G11"/>
    <mergeCell ref="H11:J11"/>
    <mergeCell ref="E6:G6"/>
    <mergeCell ref="H6:J6"/>
    <mergeCell ref="E7:G7"/>
    <mergeCell ref="H7:J7"/>
    <mergeCell ref="E8:G8"/>
    <mergeCell ref="H8:J8"/>
    <mergeCell ref="A1:J2"/>
    <mergeCell ref="E3:G3"/>
    <mergeCell ref="H3:J3"/>
    <mergeCell ref="E4:G4"/>
    <mergeCell ref="H4:J4"/>
    <mergeCell ref="E5:G5"/>
    <mergeCell ref="H5:J5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workbookViewId="0">
      <selection activeCell="C33" sqref="C3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12" t="s">
        <v>82</v>
      </c>
      <c r="B1" s="90"/>
      <c r="C1" s="90"/>
      <c r="D1" s="90"/>
      <c r="E1" s="90"/>
      <c r="F1" s="90"/>
      <c r="G1" s="90"/>
      <c r="H1" s="90"/>
      <c r="I1" s="90"/>
      <c r="J1" s="90"/>
    </row>
    <row r="2" spans="1:10" x14ac:dyDescent="0.25">
      <c r="A2" s="113" t="s">
        <v>83</v>
      </c>
      <c r="B2" s="93"/>
      <c r="C2" s="93"/>
      <c r="D2" s="93"/>
      <c r="E2" s="93"/>
      <c r="F2" s="94"/>
      <c r="G2" s="114" t="s">
        <v>38</v>
      </c>
      <c r="H2" s="94"/>
      <c r="I2" s="92" t="s">
        <v>39</v>
      </c>
      <c r="J2" s="94"/>
    </row>
    <row r="3" spans="1:10" ht="15.75" x14ac:dyDescent="0.25">
      <c r="A3" s="115" t="s">
        <v>84</v>
      </c>
      <c r="B3" s="90"/>
      <c r="C3" s="90"/>
      <c r="D3" s="90"/>
      <c r="E3" s="90"/>
      <c r="F3" s="96"/>
      <c r="G3" s="116" t="str">
        <f>'indian rupees igst'!E4</f>
        <v>BK002/26-27</v>
      </c>
      <c r="H3" s="99"/>
      <c r="I3" s="117">
        <f>'indian rupees igst'!H4</f>
        <v>46127</v>
      </c>
      <c r="J3" s="118"/>
    </row>
    <row r="4" spans="1:10" x14ac:dyDescent="0.25">
      <c r="A4" s="19" t="s">
        <v>85</v>
      </c>
      <c r="B4" s="4"/>
      <c r="C4" s="4"/>
      <c r="D4" s="4"/>
      <c r="E4" s="4"/>
      <c r="F4" s="20"/>
      <c r="G4" s="92" t="s">
        <v>43</v>
      </c>
      <c r="H4" s="93"/>
      <c r="I4" s="93"/>
      <c r="J4" s="94"/>
    </row>
    <row r="5" spans="1:10" x14ac:dyDescent="0.25">
      <c r="A5" s="19" t="s">
        <v>86</v>
      </c>
      <c r="B5" s="4"/>
      <c r="C5" s="4"/>
      <c r="D5" s="4"/>
      <c r="E5" s="4"/>
      <c r="F5" s="20"/>
      <c r="G5" s="98" t="str">
        <f>'input data'!B5</f>
        <v>AD2403260504856</v>
      </c>
      <c r="H5" s="100"/>
      <c r="I5" s="100"/>
      <c r="J5" s="99"/>
    </row>
    <row r="6" spans="1:10" x14ac:dyDescent="0.25">
      <c r="A6" s="101" t="s">
        <v>87</v>
      </c>
      <c r="B6" s="90"/>
      <c r="C6" s="90"/>
      <c r="D6" s="90"/>
      <c r="E6" s="90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02" t="s">
        <v>55</v>
      </c>
      <c r="B11" s="93"/>
      <c r="C11" s="93"/>
      <c r="D11" s="93"/>
      <c r="E11" s="93"/>
      <c r="F11" s="18"/>
      <c r="G11" s="35" t="s">
        <v>93</v>
      </c>
      <c r="H11" s="17"/>
      <c r="I11" s="17"/>
      <c r="J11" s="18"/>
    </row>
    <row r="12" spans="1:10" x14ac:dyDescent="0.25">
      <c r="A12" s="103" t="str">
        <f>'input data'!B6</f>
        <v>To the Order</v>
      </c>
      <c r="B12" s="90"/>
      <c r="C12" s="90"/>
      <c r="D12" s="90"/>
      <c r="E12" s="90"/>
      <c r="F12" s="20"/>
      <c r="G12" s="19"/>
      <c r="H12" s="4"/>
      <c r="I12" s="4"/>
      <c r="J12" s="20"/>
    </row>
    <row r="13" spans="1:10" x14ac:dyDescent="0.25">
      <c r="A13" s="104"/>
      <c r="B13" s="100"/>
      <c r="C13" s="100"/>
      <c r="D13" s="100"/>
      <c r="E13" s="100"/>
      <c r="F13" s="29"/>
      <c r="G13" s="19"/>
      <c r="H13" s="4"/>
      <c r="I13" s="4"/>
      <c r="J13" s="20"/>
    </row>
    <row r="14" spans="1:10" x14ac:dyDescent="0.25">
      <c r="A14" s="102" t="s">
        <v>58</v>
      </c>
      <c r="B14" s="93"/>
      <c r="C14" s="93"/>
      <c r="D14" s="93"/>
      <c r="E14" s="93"/>
      <c r="F14" s="94"/>
      <c r="G14" s="19"/>
      <c r="H14" s="4"/>
      <c r="I14" s="4"/>
      <c r="J14" s="20"/>
    </row>
    <row r="15" spans="1:10" x14ac:dyDescent="0.25">
      <c r="A15" s="105" t="str">
        <f>'indian rupees igst'!A15</f>
        <v xml:space="preserve">A-A STONE INVESTMENT TRADING COMPANY 
LIMITED
 34/5 TRAN KHANH DU STREET, TAN DINH WARD, 
HOCHIMINH CITY, VIETNAM
 TAX:0317458134
 MAIL: AASTONEDOCS@GMAIL.COM
</v>
      </c>
      <c r="B15" s="90"/>
      <c r="C15" s="90"/>
      <c r="D15" s="90"/>
      <c r="E15" s="90"/>
      <c r="F15" s="96"/>
      <c r="G15" s="19"/>
      <c r="H15" s="4"/>
      <c r="I15" s="4"/>
      <c r="J15" s="20"/>
    </row>
    <row r="16" spans="1:10" x14ac:dyDescent="0.25">
      <c r="A16" s="106"/>
      <c r="B16" s="90"/>
      <c r="C16" s="90"/>
      <c r="D16" s="90"/>
      <c r="E16" s="90"/>
      <c r="F16" s="96"/>
      <c r="G16" s="19"/>
      <c r="H16" s="4"/>
      <c r="I16" s="4"/>
      <c r="J16" s="20"/>
    </row>
    <row r="17" spans="1:10" x14ac:dyDescent="0.25">
      <c r="A17" s="106"/>
      <c r="B17" s="90"/>
      <c r="C17" s="90"/>
      <c r="D17" s="90"/>
      <c r="E17" s="90"/>
      <c r="F17" s="96"/>
      <c r="G17" s="19"/>
      <c r="H17" s="4"/>
      <c r="I17" s="4"/>
      <c r="J17" s="20"/>
    </row>
    <row r="18" spans="1:10" ht="37.5" customHeight="1" x14ac:dyDescent="0.25">
      <c r="A18" s="106"/>
      <c r="B18" s="90"/>
      <c r="C18" s="90"/>
      <c r="D18" s="90"/>
      <c r="E18" s="90"/>
      <c r="F18" s="96"/>
      <c r="G18" s="97" t="s">
        <v>94</v>
      </c>
      <c r="H18" s="94"/>
      <c r="I18" s="120" t="s">
        <v>95</v>
      </c>
      <c r="J18" s="94"/>
    </row>
    <row r="19" spans="1:10" ht="15" customHeight="1" x14ac:dyDescent="0.25">
      <c r="A19" s="106"/>
      <c r="B19" s="90"/>
      <c r="C19" s="90"/>
      <c r="D19" s="90"/>
      <c r="E19" s="90"/>
      <c r="F19" s="96"/>
      <c r="G19" s="104"/>
      <c r="H19" s="99"/>
      <c r="I19" s="100"/>
      <c r="J19" s="99"/>
    </row>
    <row r="20" spans="1:10" ht="30.75" customHeight="1" x14ac:dyDescent="0.25">
      <c r="A20" s="104"/>
      <c r="B20" s="100"/>
      <c r="C20" s="100"/>
      <c r="D20" s="100"/>
      <c r="E20" s="100"/>
      <c r="F20" s="99"/>
      <c r="G20" s="121" t="s">
        <v>62</v>
      </c>
      <c r="H20" s="99"/>
      <c r="I20" s="121" t="str">
        <f>'indian rupees igst'!H22</f>
        <v>VIETNAM</v>
      </c>
      <c r="J20" s="99"/>
    </row>
    <row r="21" spans="1:10" ht="15.75" customHeight="1" x14ac:dyDescent="0.25">
      <c r="A21" s="107" t="s">
        <v>96</v>
      </c>
      <c r="B21" s="93"/>
      <c r="C21" s="94"/>
      <c r="D21" s="107" t="s">
        <v>97</v>
      </c>
      <c r="E21" s="93"/>
      <c r="F21" s="94"/>
      <c r="G21" s="108" t="s">
        <v>98</v>
      </c>
      <c r="H21" s="109"/>
      <c r="I21" s="109"/>
      <c r="J21" s="110"/>
    </row>
    <row r="22" spans="1:10" ht="15.75" customHeight="1" x14ac:dyDescent="0.25">
      <c r="A22" s="111"/>
      <c r="B22" s="100"/>
      <c r="C22" s="99"/>
      <c r="D22" s="98" t="str">
        <f>'indian rupees igst'!C22</f>
        <v>CHENNAI</v>
      </c>
      <c r="E22" s="100"/>
      <c r="F22" s="99"/>
      <c r="G22" s="119" t="str">
        <f>'input data'!B16</f>
        <v>CNF</v>
      </c>
      <c r="H22" s="100"/>
      <c r="I22" s="100"/>
      <c r="J22" s="99"/>
    </row>
    <row r="23" spans="1:10" ht="15.75" customHeight="1" x14ac:dyDescent="0.25">
      <c r="A23" s="107" t="s">
        <v>99</v>
      </c>
      <c r="B23" s="93"/>
      <c r="C23" s="94"/>
      <c r="D23" s="107" t="s">
        <v>100</v>
      </c>
      <c r="E23" s="93"/>
      <c r="F23" s="94"/>
      <c r="G23" s="42"/>
      <c r="H23" s="43"/>
      <c r="I23" s="43"/>
      <c r="J23" s="44"/>
    </row>
    <row r="24" spans="1:10" ht="15.75" customHeight="1" x14ac:dyDescent="0.25">
      <c r="A24" s="111"/>
      <c r="B24" s="100"/>
      <c r="C24" s="99"/>
      <c r="D24" s="98" t="str">
        <f>'indian rupees igst'!C25</f>
        <v>CHENNAI</v>
      </c>
      <c r="E24" s="100"/>
      <c r="F24" s="99"/>
      <c r="G24" s="30"/>
      <c r="H24" s="32"/>
      <c r="I24" s="32"/>
      <c r="J24" s="29"/>
    </row>
    <row r="25" spans="1:10" ht="15.75" customHeight="1" x14ac:dyDescent="0.25">
      <c r="A25" s="107" t="s">
        <v>30</v>
      </c>
      <c r="B25" s="93"/>
      <c r="C25" s="94"/>
      <c r="D25" s="107" t="s">
        <v>31</v>
      </c>
      <c r="E25" s="93"/>
      <c r="F25" s="94"/>
      <c r="G25" s="122" t="s">
        <v>101</v>
      </c>
      <c r="H25" s="109"/>
      <c r="I25" s="109"/>
      <c r="J25" s="110"/>
    </row>
    <row r="26" spans="1:10" ht="15.75" customHeight="1" x14ac:dyDescent="0.25">
      <c r="A26" s="95" t="str">
        <f>'indian rupees igst'!E25</f>
        <v>DA NANG</v>
      </c>
      <c r="B26" s="90"/>
      <c r="C26" s="96"/>
      <c r="D26" s="95" t="str">
        <f>'indian rupees igst'!H25</f>
        <v>DA NANG</v>
      </c>
      <c r="E26" s="90"/>
      <c r="F26" s="96"/>
      <c r="G26" s="97" t="str">
        <f>'input data'!B17</f>
        <v>100% Against Documents</v>
      </c>
      <c r="H26" s="93"/>
      <c r="I26" s="93"/>
      <c r="J26" s="94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98" t="s">
        <v>102</v>
      </c>
      <c r="C28" s="99"/>
      <c r="D28" s="98" t="s">
        <v>65</v>
      </c>
      <c r="E28" s="100"/>
      <c r="F28" s="100"/>
      <c r="G28" s="48"/>
      <c r="H28" s="49"/>
      <c r="I28" s="98" t="s">
        <v>69</v>
      </c>
      <c r="J28" s="99"/>
    </row>
    <row r="29" spans="1:10" ht="15.75" customHeight="1" thickBot="1" x14ac:dyDescent="0.3">
      <c r="A29" s="27">
        <v>1</v>
      </c>
      <c r="B29" s="134">
        <f>Invoice!E28</f>
        <v>68022390</v>
      </c>
      <c r="C29" s="110"/>
      <c r="D29" s="135" t="str">
        <f>'indian rupees igst'!B28</f>
        <v>NATURAL POLISHED GRANITE SLABS</v>
      </c>
      <c r="E29" s="109"/>
      <c r="F29" s="109"/>
      <c r="G29" s="109"/>
      <c r="H29" s="110"/>
      <c r="I29" s="136">
        <f>'indian rupees igst'!F28</f>
        <v>445.05</v>
      </c>
      <c r="J29" s="110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137">
        <f>SUM(I29:I29)</f>
        <v>445.05</v>
      </c>
      <c r="J30" s="110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95" t="s">
        <v>104</v>
      </c>
      <c r="B32" s="90"/>
      <c r="C32" s="31" t="s">
        <v>34</v>
      </c>
      <c r="D32" s="130" t="s">
        <v>71</v>
      </c>
      <c r="E32" s="90"/>
      <c r="F32" s="31" t="s">
        <v>72</v>
      </c>
      <c r="G32" s="31"/>
      <c r="H32" s="4"/>
      <c r="I32" s="31"/>
      <c r="J32" s="34"/>
    </row>
    <row r="33" spans="1:12" ht="15.75" customHeight="1" x14ac:dyDescent="0.25">
      <c r="A33" s="131" t="str">
        <f>Invoice!A30</f>
        <v>OOCU0410520</v>
      </c>
      <c r="B33" s="90"/>
      <c r="C33" s="51">
        <f>'input data'!B25</f>
        <v>235</v>
      </c>
      <c r="D33" s="132" t="s">
        <v>105</v>
      </c>
      <c r="E33" s="90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13" t="s">
        <v>109</v>
      </c>
      <c r="B38" s="93"/>
      <c r="C38" s="93"/>
      <c r="D38" s="93"/>
      <c r="E38" s="93"/>
      <c r="F38" s="94"/>
      <c r="G38" s="113" t="s">
        <v>77</v>
      </c>
      <c r="H38" s="93"/>
      <c r="I38" s="93"/>
      <c r="J38" s="94"/>
    </row>
    <row r="39" spans="1:12" ht="15.75" customHeight="1" x14ac:dyDescent="0.25">
      <c r="A39" s="133" t="s">
        <v>110</v>
      </c>
      <c r="B39" s="90"/>
      <c r="C39" s="90"/>
      <c r="D39" s="90"/>
      <c r="E39" s="90"/>
      <c r="F39" s="96"/>
      <c r="G39" s="19"/>
      <c r="H39" s="4"/>
      <c r="I39" s="4"/>
      <c r="J39" s="20"/>
    </row>
    <row r="40" spans="1:12" ht="15.75" customHeight="1" x14ac:dyDescent="0.25">
      <c r="A40" s="123" t="s">
        <v>111</v>
      </c>
      <c r="B40" s="124"/>
      <c r="C40" s="124"/>
      <c r="D40" s="124"/>
      <c r="E40" s="124"/>
      <c r="F40" s="125"/>
      <c r="G40" s="19"/>
      <c r="H40" s="4"/>
      <c r="I40" s="4"/>
      <c r="J40" s="20"/>
    </row>
    <row r="41" spans="1:12" ht="15.75" customHeight="1" x14ac:dyDescent="0.25">
      <c r="A41" s="126" t="s">
        <v>112</v>
      </c>
      <c r="B41" s="127"/>
      <c r="C41" s="127"/>
      <c r="D41" s="127"/>
      <c r="E41" s="127"/>
      <c r="F41" s="128"/>
      <c r="G41" s="129" t="s">
        <v>113</v>
      </c>
      <c r="H41" s="100"/>
      <c r="I41" s="100"/>
      <c r="J41" s="99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7" zoomScaleNormal="100" workbookViewId="0">
      <selection activeCell="O30" sqref="O30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44" t="s">
        <v>40</v>
      </c>
      <c r="C1" s="145"/>
      <c r="D1" s="145"/>
      <c r="E1" s="145"/>
      <c r="F1" s="145"/>
      <c r="G1" s="145"/>
      <c r="H1" s="145"/>
      <c r="I1" s="145"/>
      <c r="J1" s="145"/>
      <c r="K1" s="146"/>
      <c r="R1" s="150"/>
      <c r="S1" s="90"/>
      <c r="T1" s="90"/>
      <c r="U1" s="90"/>
      <c r="V1" s="90"/>
      <c r="W1" s="151"/>
      <c r="X1" s="90"/>
      <c r="Y1" s="90"/>
    </row>
    <row r="2" spans="1:25" ht="36.75" thickBot="1" x14ac:dyDescent="0.6">
      <c r="A2" s="57"/>
      <c r="B2" s="147"/>
      <c r="C2" s="148"/>
      <c r="D2" s="148"/>
      <c r="E2" s="148"/>
      <c r="F2" s="148"/>
      <c r="G2" s="148"/>
      <c r="H2" s="148"/>
      <c r="I2" s="148"/>
      <c r="J2" s="148"/>
      <c r="K2" s="149"/>
    </row>
    <row r="3" spans="1:25" x14ac:dyDescent="0.25">
      <c r="A3" s="58"/>
      <c r="B3" s="152" t="s">
        <v>114</v>
      </c>
      <c r="C3" s="93"/>
      <c r="D3" s="93"/>
      <c r="E3" s="93"/>
      <c r="F3" s="93"/>
      <c r="G3" s="93"/>
      <c r="H3" s="93"/>
      <c r="I3" s="93"/>
      <c r="J3" s="93"/>
      <c r="K3" s="94"/>
    </row>
    <row r="4" spans="1:25" x14ac:dyDescent="0.25">
      <c r="A4" s="58"/>
      <c r="B4" s="153" t="s">
        <v>115</v>
      </c>
      <c r="C4" s="90"/>
      <c r="D4" s="90"/>
      <c r="E4" s="90"/>
      <c r="F4" s="90"/>
      <c r="G4" s="90"/>
      <c r="H4" s="90"/>
      <c r="I4" s="90"/>
      <c r="J4" s="90"/>
      <c r="K4" s="96"/>
    </row>
    <row r="5" spans="1:25" x14ac:dyDescent="0.25">
      <c r="A5" s="51"/>
      <c r="B5" s="111" t="s">
        <v>116</v>
      </c>
      <c r="C5" s="100"/>
      <c r="D5" s="100"/>
      <c r="E5" s="100"/>
      <c r="F5" s="100"/>
      <c r="G5" s="100"/>
      <c r="H5" s="100"/>
      <c r="I5" s="100"/>
      <c r="J5" s="100"/>
      <c r="K5" s="99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38" t="s">
        <v>117</v>
      </c>
      <c r="C7" s="90"/>
      <c r="D7" s="90"/>
      <c r="E7" s="90"/>
      <c r="F7" s="90"/>
      <c r="G7" s="90"/>
      <c r="H7" s="90"/>
      <c r="I7" s="90"/>
      <c r="J7" s="90"/>
      <c r="K7" s="96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143">
        <f ca="1">TODAY()</f>
        <v>46127</v>
      </c>
      <c r="D9" s="143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163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39" t="s">
        <v>164</v>
      </c>
      <c r="C13" s="90"/>
      <c r="D13" s="90"/>
      <c r="E13" s="90"/>
      <c r="F13" s="90"/>
      <c r="G13" s="90"/>
      <c r="H13" s="4"/>
      <c r="I13" s="4"/>
      <c r="J13" s="4"/>
      <c r="K13" s="20"/>
    </row>
    <row r="14" spans="1:25" x14ac:dyDescent="0.25">
      <c r="A14" s="61"/>
      <c r="B14" s="105" t="s">
        <v>165</v>
      </c>
      <c r="C14" s="90"/>
      <c r="D14" s="90"/>
      <c r="E14" s="90"/>
      <c r="F14" s="90"/>
      <c r="G14" s="90"/>
      <c r="H14" s="4"/>
      <c r="I14" s="4"/>
      <c r="J14" s="4"/>
      <c r="K14" s="20"/>
    </row>
    <row r="15" spans="1:25" ht="63.75" customHeight="1" x14ac:dyDescent="0.25">
      <c r="A15" s="61"/>
      <c r="B15" s="106"/>
      <c r="C15" s="90"/>
      <c r="D15" s="90"/>
      <c r="E15" s="90"/>
      <c r="F15" s="90"/>
      <c r="G15" s="90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40" t="s">
        <v>122</v>
      </c>
      <c r="C18" s="141"/>
      <c r="D18" s="141"/>
      <c r="E18" s="142"/>
      <c r="F18" s="140" t="s">
        <v>123</v>
      </c>
      <c r="G18" s="110"/>
      <c r="H18" s="140" t="s">
        <v>124</v>
      </c>
      <c r="I18" s="110"/>
      <c r="J18" s="140" t="s">
        <v>125</v>
      </c>
      <c r="K18" s="110"/>
      <c r="N18" t="s">
        <v>158</v>
      </c>
      <c r="O18">
        <v>0</v>
      </c>
      <c r="P18">
        <v>0</v>
      </c>
      <c r="Q18">
        <f>O18*P18</f>
        <v>0</v>
      </c>
    </row>
    <row r="19" spans="1:18" ht="15.75" customHeight="1" thickBot="1" x14ac:dyDescent="0.3">
      <c r="A19" s="3"/>
      <c r="B19" s="135" t="s">
        <v>149</v>
      </c>
      <c r="C19" s="164"/>
      <c r="D19" s="164"/>
      <c r="E19" s="165"/>
      <c r="F19" s="156">
        <v>156.49</v>
      </c>
      <c r="G19" s="157"/>
      <c r="H19" s="158">
        <v>4788.74</v>
      </c>
      <c r="I19" s="110"/>
      <c r="J19" s="162">
        <f>H19*F19</f>
        <v>749389.92260000005</v>
      </c>
      <c r="K19" s="110"/>
      <c r="N19" t="s">
        <v>166</v>
      </c>
      <c r="O19">
        <v>4683.57</v>
      </c>
      <c r="P19">
        <v>160</v>
      </c>
      <c r="Q19" s="72">
        <f>O19*P19</f>
        <v>749371.2</v>
      </c>
    </row>
    <row r="20" spans="1:18" ht="15.75" customHeight="1" x14ac:dyDescent="0.25">
      <c r="A20" s="51"/>
      <c r="B20" s="131"/>
      <c r="C20" s="90"/>
      <c r="D20" s="90"/>
      <c r="E20" s="90"/>
      <c r="F20" s="151"/>
      <c r="G20" s="163"/>
      <c r="H20" s="168" t="s">
        <v>167</v>
      </c>
      <c r="I20" s="169"/>
      <c r="J20" s="166">
        <f>J19*0.001</f>
        <v>749.38992260000009</v>
      </c>
      <c r="K20" s="167"/>
      <c r="M20" s="73"/>
      <c r="O20" s="78">
        <f>O18+O19</f>
        <v>4683.57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129"/>
      <c r="C21" s="100"/>
      <c r="D21" s="100"/>
      <c r="E21" s="100"/>
      <c r="F21" s="32"/>
      <c r="G21" s="62"/>
      <c r="H21" s="171" t="s">
        <v>103</v>
      </c>
      <c r="I21" s="172"/>
      <c r="J21" s="154">
        <f>SUM(J19:K20)</f>
        <v>750139.31252260006</v>
      </c>
      <c r="K21" s="155"/>
      <c r="Q21" s="71">
        <f>Q18+Q19+Q20</f>
        <v>749371.2</v>
      </c>
    </row>
    <row r="22" spans="1:18" ht="15.75" customHeight="1" thickBot="1" x14ac:dyDescent="0.3">
      <c r="A22" s="51"/>
      <c r="B22" s="131"/>
      <c r="C22" s="90"/>
      <c r="D22" s="90"/>
      <c r="E22" s="90"/>
      <c r="F22" s="4"/>
      <c r="G22" s="4"/>
      <c r="H22" s="159"/>
      <c r="I22" s="90"/>
      <c r="J22" s="151"/>
      <c r="K22" s="96"/>
      <c r="N22" s="73"/>
    </row>
    <row r="23" spans="1:18" ht="15.75" customHeight="1" thickBot="1" x14ac:dyDescent="0.3">
      <c r="A23" s="52"/>
      <c r="B23" s="160" t="s">
        <v>126</v>
      </c>
      <c r="C23" s="109"/>
      <c r="D23" s="46"/>
      <c r="E23" s="46"/>
      <c r="F23" s="46"/>
      <c r="G23" s="46"/>
      <c r="H23" s="46"/>
      <c r="I23" s="46"/>
      <c r="J23" s="161">
        <f>J21</f>
        <v>750139.31252260006</v>
      </c>
      <c r="K23" s="110"/>
      <c r="Q23" s="82">
        <f>Q21/O25</f>
        <v>156.48615564267661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170" t="s">
        <v>127</v>
      </c>
      <c r="C25" s="90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445.05</v>
      </c>
      <c r="O25" s="84">
        <f>N25*10.76</f>
        <v>4788.7380000000003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>
        <v>4683.57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105.16800000000057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15" t="s">
        <v>138</v>
      </c>
      <c r="C35" s="90"/>
      <c r="D35" s="90"/>
      <c r="E35" s="90"/>
      <c r="F35" s="90"/>
      <c r="G35" s="90"/>
      <c r="H35" s="4"/>
      <c r="I35" s="4"/>
      <c r="J35" s="4"/>
      <c r="K35" s="20"/>
    </row>
    <row r="36" spans="1:11" ht="15.75" customHeight="1" x14ac:dyDescent="0.25">
      <c r="A36" s="64"/>
      <c r="B36" s="115" t="s">
        <v>139</v>
      </c>
      <c r="C36" s="90"/>
      <c r="D36" s="90"/>
      <c r="E36" s="90"/>
      <c r="F36" s="90"/>
      <c r="G36" s="90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190" t="s">
        <v>159</v>
      </c>
      <c r="B1" s="191"/>
      <c r="C1" s="191"/>
      <c r="D1" s="191"/>
      <c r="E1" s="191"/>
      <c r="F1" s="191"/>
      <c r="G1" s="191"/>
      <c r="H1" s="191"/>
      <c r="I1" s="191"/>
      <c r="J1" s="192"/>
    </row>
    <row r="2" spans="1:10" ht="29.25" customHeight="1" thickBot="1" x14ac:dyDescent="0.3">
      <c r="A2" s="193"/>
      <c r="B2" s="194"/>
      <c r="C2" s="194"/>
      <c r="D2" s="194"/>
      <c r="E2" s="194"/>
      <c r="F2" s="194"/>
      <c r="G2" s="194"/>
      <c r="H2" s="194"/>
      <c r="I2" s="194"/>
      <c r="J2" s="195"/>
    </row>
    <row r="3" spans="1:10" x14ac:dyDescent="0.25">
      <c r="A3" s="86" t="s">
        <v>37</v>
      </c>
      <c r="B3" s="68"/>
      <c r="C3" s="68"/>
      <c r="D3" s="70"/>
      <c r="E3" s="196" t="s">
        <v>38</v>
      </c>
      <c r="F3" s="124"/>
      <c r="G3" s="125"/>
      <c r="H3" s="196" t="s">
        <v>39</v>
      </c>
      <c r="I3" s="124"/>
      <c r="J3" s="125"/>
    </row>
    <row r="4" spans="1:10" ht="15.75" thickBot="1" x14ac:dyDescent="0.3">
      <c r="A4" s="19" t="s">
        <v>40</v>
      </c>
      <c r="B4" s="4"/>
      <c r="C4" s="4"/>
      <c r="D4" s="20"/>
      <c r="E4" s="116" t="str">
        <f>'input data'!B3</f>
        <v>BK002/26-27</v>
      </c>
      <c r="F4" s="100"/>
      <c r="G4" s="99"/>
      <c r="H4" s="117">
        <f>'input data'!B4</f>
        <v>46127</v>
      </c>
      <c r="I4" s="197"/>
      <c r="J4" s="118"/>
    </row>
    <row r="5" spans="1:10" x14ac:dyDescent="0.25">
      <c r="A5" s="21" t="s">
        <v>41</v>
      </c>
      <c r="B5" s="4"/>
      <c r="C5" s="4"/>
      <c r="D5" s="20"/>
      <c r="E5" s="114" t="s">
        <v>42</v>
      </c>
      <c r="F5" s="93"/>
      <c r="G5" s="94"/>
      <c r="H5" s="114" t="s">
        <v>43</v>
      </c>
      <c r="I5" s="93"/>
      <c r="J5" s="94"/>
    </row>
    <row r="6" spans="1:10" x14ac:dyDescent="0.25">
      <c r="A6" s="21" t="s">
        <v>44</v>
      </c>
      <c r="B6" s="4"/>
      <c r="C6" s="4"/>
      <c r="D6" s="20"/>
      <c r="E6" s="111"/>
      <c r="F6" s="100"/>
      <c r="G6" s="99"/>
      <c r="H6" s="198" t="str">
        <f>'input data'!B5</f>
        <v>AD2403260504856</v>
      </c>
      <c r="I6" s="100"/>
      <c r="J6" s="99"/>
    </row>
    <row r="7" spans="1:10" x14ac:dyDescent="0.25">
      <c r="A7" s="21" t="s">
        <v>45</v>
      </c>
      <c r="B7" s="4"/>
      <c r="C7" s="4"/>
      <c r="D7" s="20"/>
      <c r="E7" s="114" t="s">
        <v>46</v>
      </c>
      <c r="F7" s="93"/>
      <c r="G7" s="94"/>
      <c r="H7" s="114" t="s">
        <v>47</v>
      </c>
      <c r="I7" s="93"/>
      <c r="J7" s="94"/>
    </row>
    <row r="8" spans="1:10" x14ac:dyDescent="0.25">
      <c r="A8" s="19" t="s">
        <v>48</v>
      </c>
      <c r="B8" s="4"/>
      <c r="C8" s="4"/>
      <c r="D8" s="20"/>
      <c r="E8" s="111" t="s">
        <v>49</v>
      </c>
      <c r="F8" s="100"/>
      <c r="G8" s="99"/>
      <c r="H8" s="98" t="s">
        <v>50</v>
      </c>
      <c r="I8" s="100"/>
      <c r="J8" s="99"/>
    </row>
    <row r="9" spans="1:10" x14ac:dyDescent="0.25">
      <c r="A9" s="22" t="s">
        <v>51</v>
      </c>
      <c r="B9" s="4"/>
      <c r="C9" s="4"/>
      <c r="D9" s="20"/>
      <c r="E9" s="114" t="s">
        <v>52</v>
      </c>
      <c r="F9" s="93"/>
      <c r="G9" s="94"/>
      <c r="H9" s="114" t="s">
        <v>53</v>
      </c>
      <c r="I9" s="93"/>
      <c r="J9" s="94"/>
    </row>
    <row r="10" spans="1:10" x14ac:dyDescent="0.25">
      <c r="A10" s="22" t="s">
        <v>54</v>
      </c>
      <c r="B10" s="4"/>
      <c r="C10" s="4"/>
      <c r="D10" s="20"/>
      <c r="E10" s="131" t="str">
        <f>'input data'!B14</f>
        <v>Loose packing</v>
      </c>
      <c r="F10" s="90"/>
      <c r="G10" s="96"/>
      <c r="H10" s="131" t="str">
        <f>'input data'!B13 &amp; " " &amp; 'input data'!B15</f>
        <v>1 FCL</v>
      </c>
      <c r="I10" s="90"/>
      <c r="J10" s="96"/>
    </row>
    <row r="11" spans="1:10" x14ac:dyDescent="0.25">
      <c r="A11" s="113" t="s">
        <v>55</v>
      </c>
      <c r="B11" s="93"/>
      <c r="C11" s="93"/>
      <c r="D11" s="94"/>
      <c r="E11" s="140" t="s">
        <v>56</v>
      </c>
      <c r="F11" s="109"/>
      <c r="G11" s="110"/>
      <c r="H11" s="141" t="s">
        <v>57</v>
      </c>
      <c r="I11" s="109"/>
      <c r="J11" s="110"/>
    </row>
    <row r="12" spans="1:10" ht="15" customHeight="1" x14ac:dyDescent="0.25">
      <c r="A12" s="201" t="str">
        <f>'input data'!B6</f>
        <v>To the Order</v>
      </c>
      <c r="B12" s="90"/>
      <c r="C12" s="90"/>
      <c r="D12" s="96"/>
      <c r="E12" s="202" t="str">
        <f>'input data'!B16</f>
        <v>CNF</v>
      </c>
      <c r="F12" s="90"/>
      <c r="G12" s="96"/>
      <c r="H12" s="199" t="str">
        <f>'input data'!B17</f>
        <v>100% Against Documents</v>
      </c>
      <c r="I12" s="90"/>
      <c r="J12" s="96"/>
    </row>
    <row r="13" spans="1:10" x14ac:dyDescent="0.25">
      <c r="A13" s="19"/>
      <c r="B13" s="4"/>
      <c r="C13" s="4"/>
      <c r="D13" s="20"/>
      <c r="E13" s="104"/>
      <c r="F13" s="100"/>
      <c r="G13" s="99"/>
      <c r="H13" s="100"/>
      <c r="I13" s="100"/>
      <c r="J13" s="99"/>
    </row>
    <row r="14" spans="1:10" x14ac:dyDescent="0.25">
      <c r="A14" s="16" t="s">
        <v>58</v>
      </c>
      <c r="B14" s="17"/>
      <c r="C14" s="17"/>
      <c r="D14" s="18"/>
      <c r="E14" s="200" t="s">
        <v>156</v>
      </c>
      <c r="F14" s="93"/>
      <c r="G14" s="93"/>
      <c r="H14" s="93"/>
      <c r="I14" s="93"/>
      <c r="J14" s="94"/>
    </row>
    <row r="15" spans="1:10" x14ac:dyDescent="0.25">
      <c r="A15" s="105" t="str">
        <f>'input data'!B7</f>
        <v xml:space="preserve">A-A STONE INVESTMENT TRADING COMPANY 
LIMITED
 34/5 TRAN KHANH DU STREET, TAN DINH WARD, 
HOCHIMINH CITY, VIETNAM
 TAX:0317458134
 MAIL: AASTONEDOCS@GMAIL.COM
</v>
      </c>
      <c r="B15" s="90"/>
      <c r="C15" s="90"/>
      <c r="D15" s="96"/>
      <c r="E15" s="106"/>
      <c r="F15" s="90"/>
      <c r="G15" s="90"/>
      <c r="H15" s="90"/>
      <c r="I15" s="90"/>
      <c r="J15" s="96"/>
    </row>
    <row r="16" spans="1:10" x14ac:dyDescent="0.25">
      <c r="A16" s="106"/>
      <c r="B16" s="90"/>
      <c r="C16" s="90"/>
      <c r="D16" s="96"/>
      <c r="E16" s="106"/>
      <c r="F16" s="90"/>
      <c r="G16" s="90"/>
      <c r="H16" s="90"/>
      <c r="I16" s="90"/>
      <c r="J16" s="96"/>
    </row>
    <row r="17" spans="1:15" x14ac:dyDescent="0.25">
      <c r="A17" s="106"/>
      <c r="B17" s="90"/>
      <c r="C17" s="90"/>
      <c r="D17" s="96"/>
      <c r="E17" s="106"/>
      <c r="F17" s="90"/>
      <c r="G17" s="90"/>
      <c r="H17" s="90"/>
      <c r="I17" s="90"/>
      <c r="J17" s="96"/>
    </row>
    <row r="18" spans="1:15" x14ac:dyDescent="0.25">
      <c r="A18" s="106"/>
      <c r="B18" s="90"/>
      <c r="C18" s="90"/>
      <c r="D18" s="96"/>
      <c r="E18" s="106"/>
      <c r="F18" s="90"/>
      <c r="G18" s="90"/>
      <c r="H18" s="90"/>
      <c r="I18" s="90"/>
      <c r="J18" s="96"/>
    </row>
    <row r="19" spans="1:15" x14ac:dyDescent="0.25">
      <c r="A19" s="106"/>
      <c r="B19" s="90"/>
      <c r="C19" s="90"/>
      <c r="D19" s="96"/>
      <c r="E19" s="106"/>
      <c r="F19" s="90"/>
      <c r="G19" s="90"/>
      <c r="H19" s="90"/>
      <c r="I19" s="90"/>
      <c r="J19" s="96"/>
    </row>
    <row r="20" spans="1:15" ht="48" customHeight="1" x14ac:dyDescent="0.25">
      <c r="A20" s="104"/>
      <c r="B20" s="100"/>
      <c r="C20" s="100"/>
      <c r="D20" s="99"/>
      <c r="E20" s="104"/>
      <c r="F20" s="100"/>
      <c r="G20" s="100"/>
      <c r="H20" s="100"/>
      <c r="I20" s="100"/>
      <c r="J20" s="99"/>
    </row>
    <row r="21" spans="1:15" ht="15.75" customHeight="1" x14ac:dyDescent="0.25">
      <c r="A21" s="203" t="s">
        <v>59</v>
      </c>
      <c r="B21" s="94"/>
      <c r="C21" s="203" t="s">
        <v>28</v>
      </c>
      <c r="D21" s="94"/>
      <c r="E21" s="203" t="s">
        <v>60</v>
      </c>
      <c r="F21" s="93"/>
      <c r="G21" s="94"/>
      <c r="H21" s="203" t="s">
        <v>32</v>
      </c>
      <c r="I21" s="93"/>
      <c r="J21" s="94"/>
    </row>
    <row r="22" spans="1:15" ht="14.25" customHeight="1" x14ac:dyDescent="0.25">
      <c r="A22" s="204" t="s">
        <v>61</v>
      </c>
      <c r="B22" s="96"/>
      <c r="C22" s="206" t="str">
        <f>'input data'!B19</f>
        <v>CHENNAI</v>
      </c>
      <c r="D22" s="96"/>
      <c r="E22" s="207" t="s">
        <v>62</v>
      </c>
      <c r="F22" s="90"/>
      <c r="G22" s="96"/>
      <c r="H22" s="207" t="str">
        <f>'input data'!B23</f>
        <v>VIETNAM</v>
      </c>
      <c r="I22" s="90"/>
      <c r="J22" s="96"/>
    </row>
    <row r="23" spans="1:15" ht="15" customHeight="1" x14ac:dyDescent="0.25">
      <c r="A23" s="95"/>
      <c r="B23" s="96"/>
      <c r="C23" s="104"/>
      <c r="D23" s="99"/>
      <c r="E23" s="104"/>
      <c r="F23" s="100"/>
      <c r="G23" s="99"/>
      <c r="H23" s="104"/>
      <c r="I23" s="100"/>
      <c r="J23" s="99"/>
    </row>
    <row r="24" spans="1:15" ht="15.75" customHeight="1" x14ac:dyDescent="0.25">
      <c r="A24" s="114" t="s">
        <v>63</v>
      </c>
      <c r="B24" s="94"/>
      <c r="C24" s="205" t="s">
        <v>29</v>
      </c>
      <c r="D24" s="94"/>
      <c r="E24" s="114" t="s">
        <v>30</v>
      </c>
      <c r="F24" s="93"/>
      <c r="G24" s="94"/>
      <c r="H24" s="205" t="s">
        <v>31</v>
      </c>
      <c r="I24" s="93"/>
      <c r="J24" s="94"/>
    </row>
    <row r="25" spans="1:15" ht="15.75" customHeight="1" x14ac:dyDescent="0.25">
      <c r="A25" s="111"/>
      <c r="B25" s="99"/>
      <c r="C25" s="98" t="str">
        <f>'input data'!B20</f>
        <v>CHENNAI</v>
      </c>
      <c r="D25" s="99"/>
      <c r="E25" s="98" t="str">
        <f>'input data'!B21</f>
        <v>DA NANG</v>
      </c>
      <c r="F25" s="100"/>
      <c r="G25" s="99"/>
      <c r="H25" s="98" t="str">
        <f>'input data'!B22</f>
        <v>DA NANG</v>
      </c>
      <c r="I25" s="100"/>
      <c r="J25" s="99"/>
    </row>
    <row r="26" spans="1:15" ht="15.75" customHeight="1" x14ac:dyDescent="0.25">
      <c r="A26" s="173" t="s">
        <v>64</v>
      </c>
      <c r="B26" s="175" t="s">
        <v>65</v>
      </c>
      <c r="C26" s="93"/>
      <c r="D26" s="94"/>
      <c r="E26" s="173" t="s">
        <v>66</v>
      </c>
      <c r="F26" s="114" t="s">
        <v>67</v>
      </c>
      <c r="G26" s="94"/>
      <c r="H26" s="25" t="s">
        <v>36</v>
      </c>
      <c r="I26" s="114" t="s">
        <v>68</v>
      </c>
      <c r="J26" s="94"/>
    </row>
    <row r="27" spans="1:15" ht="15.75" customHeight="1" thickBot="1" x14ac:dyDescent="0.3">
      <c r="A27" s="174"/>
      <c r="B27" s="106"/>
      <c r="C27" s="90"/>
      <c r="D27" s="96"/>
      <c r="E27" s="174"/>
      <c r="F27" s="98" t="s">
        <v>69</v>
      </c>
      <c r="G27" s="99"/>
      <c r="H27" s="74" t="s">
        <v>69</v>
      </c>
      <c r="I27" s="98" t="s">
        <v>70</v>
      </c>
      <c r="J27" s="99"/>
    </row>
    <row r="28" spans="1:15" ht="15.75" customHeight="1" thickBot="1" x14ac:dyDescent="0.3">
      <c r="A28" s="27">
        <v>1</v>
      </c>
      <c r="B28" s="134" t="str">
        <f>'input data'!B18</f>
        <v>NATURAL POLISHED GRANITE SLABS</v>
      </c>
      <c r="C28" s="109"/>
      <c r="D28" s="110"/>
      <c r="E28" s="28">
        <v>68022390</v>
      </c>
      <c r="F28" s="177">
        <f>'input data'!B26</f>
        <v>445.05</v>
      </c>
      <c r="G28" s="109"/>
      <c r="H28" s="87">
        <v>1581.75</v>
      </c>
      <c r="I28" s="186">
        <f>F28*H28</f>
        <v>703957.83750000002</v>
      </c>
      <c r="J28" s="187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88" t="s">
        <v>148</v>
      </c>
      <c r="I29" s="68"/>
      <c r="J29" s="20"/>
    </row>
    <row r="30" spans="1:15" ht="15.75" customHeight="1" x14ac:dyDescent="0.25">
      <c r="A30" s="131" t="str">
        <f>UPPER('input data'!B24)</f>
        <v>OOCU0410520</v>
      </c>
      <c r="B30" s="90"/>
      <c r="C30" s="3">
        <f>'input data'!B25</f>
        <v>235</v>
      </c>
      <c r="D30" s="4" t="s">
        <v>73</v>
      </c>
      <c r="E30" s="4" t="s">
        <v>74</v>
      </c>
      <c r="F30" s="4"/>
      <c r="G30" s="68"/>
      <c r="H30" s="188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30"/>
      <c r="G31" s="178"/>
      <c r="H31" s="188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89"/>
      <c r="I32" s="184"/>
      <c r="J32" s="185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180">
        <f>I28</f>
        <v>703957.83750000002</v>
      </c>
      <c r="J33" s="181"/>
    </row>
    <row r="34" spans="1:10" ht="15.75" customHeight="1" thickBot="1" x14ac:dyDescent="0.3">
      <c r="A34" s="33" t="s">
        <v>160</v>
      </c>
      <c r="B34" s="32"/>
      <c r="C34" s="32"/>
      <c r="D34" s="32"/>
      <c r="E34" s="32"/>
      <c r="F34" s="32"/>
      <c r="G34" s="32"/>
      <c r="H34" s="29"/>
      <c r="I34" s="182"/>
      <c r="J34" s="183"/>
    </row>
    <row r="35" spans="1:10" ht="15.75" customHeight="1" x14ac:dyDescent="0.25">
      <c r="A35" s="179" t="s">
        <v>76</v>
      </c>
      <c r="B35" s="93"/>
      <c r="C35" s="93"/>
      <c r="D35" s="94"/>
      <c r="E35" s="113" t="s">
        <v>77</v>
      </c>
      <c r="F35" s="93"/>
      <c r="G35" s="93"/>
      <c r="H35" s="93"/>
      <c r="I35" s="93"/>
      <c r="J35" s="94"/>
    </row>
    <row r="36" spans="1:10" ht="19.5" customHeight="1" x14ac:dyDescent="0.25">
      <c r="A36" s="139" t="s">
        <v>78</v>
      </c>
      <c r="B36" s="90"/>
      <c r="C36" s="90"/>
      <c r="D36" s="96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06"/>
      <c r="B37" s="90"/>
      <c r="C37" s="90"/>
      <c r="D37" s="96"/>
      <c r="E37" s="19"/>
      <c r="F37" s="4"/>
      <c r="G37" s="4"/>
      <c r="H37" s="4"/>
      <c r="I37" s="4"/>
      <c r="J37" s="20"/>
    </row>
    <row r="38" spans="1:10" ht="15.75" customHeight="1" x14ac:dyDescent="0.25">
      <c r="A38" s="176" t="s">
        <v>80</v>
      </c>
      <c r="B38" s="90"/>
      <c r="C38" s="90"/>
      <c r="D38" s="96"/>
      <c r="E38" s="19"/>
      <c r="F38" s="4"/>
      <c r="G38" s="4"/>
      <c r="H38" s="4"/>
      <c r="I38" s="4"/>
      <c r="J38" s="20"/>
    </row>
    <row r="39" spans="1:10" ht="18.75" customHeight="1" x14ac:dyDescent="0.25">
      <c r="A39" s="104"/>
      <c r="B39" s="100"/>
      <c r="C39" s="100"/>
      <c r="D39" s="99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indian rupees igst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2026-04-15T08:36:41Z</cp:lastPrinted>
  <dcterms:created xsi:type="dcterms:W3CDTF">2022-11-23T06:47:43Z</dcterms:created>
  <dcterms:modified xsi:type="dcterms:W3CDTF">2026-04-15T08:37:05Z</dcterms:modified>
</cp:coreProperties>
</file>
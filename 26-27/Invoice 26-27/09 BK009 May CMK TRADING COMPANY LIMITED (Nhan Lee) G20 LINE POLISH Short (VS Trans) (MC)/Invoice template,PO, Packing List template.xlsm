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9 BK009 May CMK TRADING COMPANY LIMITED (Nhan Lee) G20 LINE POLISH Short (VS Trans) (MC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D29" i="4" l="1"/>
  <c r="A26" i="4"/>
  <c r="D26" i="4"/>
  <c r="D24" i="4"/>
  <c r="D22" i="4"/>
  <c r="I20" i="4"/>
  <c r="A15" i="4"/>
  <c r="O25" i="5" l="1"/>
  <c r="O27" i="5" s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" i="4" s="1"/>
  <c r="I28" i="6" l="1"/>
  <c r="I36" i="6" s="1"/>
  <c r="I29" i="4"/>
  <c r="A37" i="6"/>
  <c r="B5" i="2" l="1"/>
  <c r="B3" i="2" l="1"/>
  <c r="E4" i="6" s="1"/>
  <c r="G3" i="4" s="1"/>
  <c r="Q19" i="5" l="1"/>
  <c r="C9" i="5" l="1"/>
  <c r="Q20" i="5" l="1"/>
  <c r="Q21" i="5" s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<sst xmlns="http://schemas.openxmlformats.org/spreadsheetml/2006/main" count="207" uniqueCount="166">
  <si>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</si>
  <si>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</si>
  <si>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</si>
  <si>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</si>
  <si>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</si>
  <si>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</si>
  <si>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</si>
  <si>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</si>
  <si>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</si>
  <si>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</si>
  <si>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</si>
  <si>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</si>
  <si>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</si>
  <si>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</si>
  <si>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</si>
  <si>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</si>
  <si>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</si>
  <si>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</si>
  <si>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</si>
  <si>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</si>
  <si>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</si>
  <si>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</si>
  <si>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</si>
  <si>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</si>
  <si>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</si>
  <si>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</si>
  <si>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</si>
  <si>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</si>
  <si>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</si>
  <si>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</si>
  <si>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</si>
  <si>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</si>
  <si>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</si>
  <si>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</si>
  <si>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</si>
  <si>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</si>
  <si>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</si>
  <si>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</si>
  <si>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</si>
  <si>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</si>
  <si>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</si>
  <si>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</si>
  <si>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</si>
  <si>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</si>
  <si>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</si>
  <si>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</si>
  <si>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</si>
  <si>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</si>
  <si>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</si>
  <si>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</si>
  <si>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</si>
  <si>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</si>
  <si>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</si>
  <si>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</si>
  <si>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</si>
  <si>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</si>
  <si>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</si>
  <si>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</si>
  <si>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</si>
  <si>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</si>
  <si>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</si>
  <si>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</si>
  <si>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</si>
  <si>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</si>
  <si>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</si>
  <si>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</si>
  <si>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</si>
  <si>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</si>
  <si>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</si>
  <si>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</si>
  <si>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</si>
  <si>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</si>
  <si>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</si>
  <si>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</si>
  <si>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</si>
  <si>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</si>
  <si>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</si>
  <si>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</si>
  <si>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</si>
  <si>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</si>
  <si>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</si>
  <si>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</si>
  <si>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</si>
  <si>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</si>
  <si>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</si>
  <si>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</si>
  <si>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</si>
  <si>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</si>
  <si>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</si>
  <si>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</si>
  <si>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</si>
  <si>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</si>
  <si>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</si>
  <si>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</si>
  <si>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</si>
  <si>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</si>
  <si>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</si>
  <si>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</si>
  <si>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</si>
  <si>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</si>
  <si>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</si>
  <si>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</si>
  <si>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</si>
  <si>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</si>
  <si>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</si>
  <si>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</si>
  <si>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</si>
  <si>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</si>
  <si>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</si>
  <si>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</si>
  <si>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</si>
  <si>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</si>
  <si>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</si>
  <si>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</si>
  <si>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</si>
  <si>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</si>
  <si>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</si>
  <si>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</si>
  <si>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</si>
  <si>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</si>
  <si>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</si>
  <si>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</si>
  <si>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</si>
  <si>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</si>
  <si>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</si>
  <si>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</si>
  <si>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</si>
  <si>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</si>
  <si>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</si>
  <si>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</si>
  <si>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</si>
  <si>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</si>
  <si>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</si>
  <si>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</si>
  <si>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</si>
  <si>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</si>
  <si>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</si>
  <si>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</si>
  <si>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</si>
  <si>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</si>
  <si>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</si>
  <si>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</si>
  <si>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</si>
  <si>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</si>
  <si>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</si>
  <si>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</si>
  <si>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</si>
  <si>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</si>
  <si>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</si>
  <si>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</si>
  <si>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</si>
  <si>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</si>
  <si>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</si>
  <si>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GST 0.1%</t>
  </si>
  <si>
    <t xml:space="preserve">TAX INVOICE </t>
  </si>
  <si>
    <t>27500 KGS</t>
  </si>
  <si>
    <t>CHENNAI</t>
  </si>
  <si>
    <t>CAT LAI</t>
  </si>
  <si>
    <t>28000 KGS</t>
  </si>
  <si>
    <t xml:space="preserve">CMK TRADING COMPANY LIMITED
ADD: No 60 street 64-TML, Quarter 4, Cat Lai Ward, 
Ho Chi Minh city, Vietnam
TAX ID : 0317762127
PHONE : +84 974778685
EMAIL : cmktrading.coltd@gmail.com
</t>
  </si>
  <si>
    <t>GAJANANA GRANITES</t>
  </si>
  <si>
    <t>SY NO .241/A2, BOMMAVARI PALLI VILLAGE, RAMANAIDUPALLI POST, G.D. NELLORE MANDAL, CHITHOOR (DIST), A.P.
GST NO : 37AARFG0922C1ZL</t>
  </si>
  <si>
    <t>09</t>
  </si>
  <si>
    <t>TEMU4838933</t>
  </si>
  <si>
    <t>PO 009/26-27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</si>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</sst>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4" fillId="0" borderId="2" xfId="0" applyFont="1" applyBorder="1" applyAlignment="1">
      <alignment horizontal="left"/>
    </xf>
    <xf numFmtId="0" fontId="8" fillId="0" borderId="45" xfId="0" applyFont="1" applyBorder="1"/>
    <xf numFmtId="0" fontId="6" fillId="0" borderId="43" xfId="0" applyFont="1" applyBorder="1" applyAlignment="1">
      <alignment horizontal="left" wrapText="1"/>
    </xf>
    <xf numFmtId="0" fontId="0" fillId="0" borderId="16" xfId="0" applyFont="1" applyBorder="1" applyAlignment="1"/>
    <xf numFmtId="0" fontId="8" fillId="0" borderId="17" xfId="0" applyFont="1" applyBorder="1"/>
    <xf numFmtId="0" fontId="8" fillId="0" borderId="43" xfId="0" applyFont="1" applyBorder="1"/>
    <xf numFmtId="0" fontId="15" fillId="0" borderId="43" xfId="0" applyFont="1" applyBorder="1" applyAlignment="1">
      <alignment horizontal="left" vertical="top" wrapText="1"/>
    </xf>
    <xf numFmtId="0" fontId="8" fillId="0" borderId="38" xfId="0" applyFont="1" applyBorder="1"/>
    <xf numFmtId="0" fontId="8" fillId="0" borderId="39" xfId="0" applyFont="1" applyBorder="1"/>
    <xf numFmtId="0" fontId="8" fillId="0" borderId="49" xfId="0" applyFont="1" applyBorder="1"/>
    <xf numFmtId="0" fontId="6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8" fillId="0" borderId="15" xfId="0" applyFont="1" applyBorder="1"/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4" fillId="0" borderId="2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8" fillId="0" borderId="20" xfId="0" applyFont="1" applyBorder="1"/>
    <xf numFmtId="0" fontId="8" fillId="0" borderId="44" xfId="0" applyFont="1" applyBorder="1"/>
    <xf numFmtId="0" fontId="6" fillId="0" borderId="51" xfId="0" applyFont="1" applyBorder="1" applyAlignment="1">
      <alignment horizontal="center"/>
    </xf>
    <xf numFmtId="0" fontId="8" fillId="0" borderId="19" xfId="0" applyFont="1" applyBorder="1"/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8" fillId="0" borderId="18" xfId="0" applyFont="1" applyBorder="1"/>
    <xf numFmtId="0" fontId="4" fillId="0" borderId="16" xfId="0" applyFont="1" applyBorder="1" applyAlignment="1">
      <alignment horizontal="center" vertical="center" wrapText="1"/>
    </xf>
    <xf numFmtId="0" fontId="8" fillId="0" borderId="46" xfId="0" applyFont="1" applyBorder="1"/>
    <xf numFmtId="0" fontId="4" fillId="0" borderId="2" xfId="0" applyFont="1" applyBorder="1" applyAlignment="1">
      <alignment horizontal="center" vertical="center" wrapText="1"/>
    </xf>
    <xf numFmtId="0" fontId="8" fillId="0" borderId="50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8" fillId="0" borderId="16" xfId="0" applyFont="1" applyBorder="1"/>
    <xf numFmtId="0" fontId="4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8" fillId="0" borderId="1" xfId="0" applyFont="1" applyBorder="1"/>
    <xf numFmtId="0" fontId="8" fillId="0" borderId="8" xfId="0" applyFont="1" applyBorder="1"/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7" xfId="0" applyFont="1" applyBorder="1"/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1" fillId="0" borderId="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152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138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4" workbookViewId="0">
      <selection activeCell="B26" sqref="B26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152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BK009/26-27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46171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139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156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156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157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140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163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441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zoomScaleNormal="100" workbookViewId="0">
      <selection activeCell="I28" sqref="I28:J28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68" t="s">
        <v>154</v>
      </c>
      <c r="B1" s="114"/>
      <c r="C1" s="114"/>
      <c r="D1" s="114"/>
      <c r="E1" s="114"/>
      <c r="F1" s="114"/>
      <c r="G1" s="114"/>
      <c r="H1" s="114"/>
      <c r="I1" s="114"/>
      <c r="J1" s="114"/>
    </row>
    <row r="2" spans="1:10" ht="16.5" customHeight="1" thickBot="1" x14ac:dyDescent="0.3">
      <c r="A2" s="158"/>
      <c r="B2" s="158"/>
      <c r="C2" s="158"/>
      <c r="D2" s="158"/>
      <c r="E2" s="158"/>
      <c r="F2" s="158"/>
      <c r="G2" s="158"/>
      <c r="H2" s="158"/>
      <c r="I2" s="158"/>
      <c r="J2" s="158"/>
    </row>
    <row r="3" spans="1:10" x14ac:dyDescent="0.25">
      <c r="A3" s="84" t="s">
        <v>37</v>
      </c>
      <c r="B3" s="85"/>
      <c r="C3" s="85"/>
      <c r="D3" s="86"/>
      <c r="E3" s="169" t="s">
        <v>38</v>
      </c>
      <c r="F3" s="170"/>
      <c r="G3" s="171"/>
      <c r="H3" s="169" t="s">
        <v>39</v>
      </c>
      <c r="I3" s="170"/>
      <c r="J3" s="172"/>
    </row>
    <row r="4" spans="1:10" ht="15.75" thickBot="1" x14ac:dyDescent="0.3">
      <c r="A4" s="87" t="s">
        <v>40</v>
      </c>
      <c r="B4" s="64"/>
      <c r="C4" s="64"/>
      <c r="D4" s="66"/>
      <c r="E4" s="173" t="str">
        <f>'input data'!B3</f>
        <v>BK009/26-27</v>
      </c>
      <c r="F4" s="144"/>
      <c r="G4" s="141"/>
      <c r="H4" s="174">
        <f>'input data'!B4</f>
        <v>46171</v>
      </c>
      <c r="I4" s="175"/>
      <c r="J4" s="176"/>
    </row>
    <row r="5" spans="1:10" x14ac:dyDescent="0.25">
      <c r="A5" s="88" t="s">
        <v>41</v>
      </c>
      <c r="B5" s="64"/>
      <c r="C5" s="64"/>
      <c r="D5" s="66"/>
      <c r="E5" s="139" t="s">
        <v>42</v>
      </c>
      <c r="F5" s="109"/>
      <c r="G5" s="110"/>
      <c r="H5" s="139" t="s">
        <v>43</v>
      </c>
      <c r="I5" s="109"/>
      <c r="J5" s="112"/>
    </row>
    <row r="6" spans="1:10" ht="15.75" thickBot="1" x14ac:dyDescent="0.3">
      <c r="A6" s="88" t="s">
        <v>44</v>
      </c>
      <c r="B6" s="64"/>
      <c r="C6" s="64"/>
      <c r="D6" s="66"/>
      <c r="E6" s="177"/>
      <c r="F6" s="144"/>
      <c r="G6" s="141"/>
      <c r="H6" s="178" t="str">
        <f>'input data'!B5</f>
        <v>AD2403260504856</v>
      </c>
      <c r="I6" s="144"/>
      <c r="J6" s="142"/>
    </row>
    <row r="7" spans="1:10" x14ac:dyDescent="0.25">
      <c r="A7" s="88" t="s">
        <v>45</v>
      </c>
      <c r="B7" s="64"/>
      <c r="C7" s="64"/>
      <c r="D7" s="66"/>
      <c r="E7" s="139" t="s">
        <v>46</v>
      </c>
      <c r="F7" s="109"/>
      <c r="G7" s="110"/>
      <c r="H7" s="139" t="s">
        <v>47</v>
      </c>
      <c r="I7" s="109"/>
      <c r="J7" s="112"/>
    </row>
    <row r="8" spans="1:10" ht="15.75" thickBot="1" x14ac:dyDescent="0.3">
      <c r="A8" s="87" t="s">
        <v>48</v>
      </c>
      <c r="B8" s="64"/>
      <c r="C8" s="64"/>
      <c r="D8" s="66"/>
      <c r="E8" s="177" t="s">
        <v>49</v>
      </c>
      <c r="F8" s="144"/>
      <c r="G8" s="141"/>
      <c r="H8" s="140" t="s">
        <v>50</v>
      </c>
      <c r="I8" s="144"/>
      <c r="J8" s="142"/>
    </row>
    <row r="9" spans="1:10" x14ac:dyDescent="0.25">
      <c r="A9" s="89" t="s">
        <v>51</v>
      </c>
      <c r="B9" s="64"/>
      <c r="C9" s="64"/>
      <c r="D9" s="66"/>
      <c r="E9" s="139" t="s">
        <v>52</v>
      </c>
      <c r="F9" s="109"/>
      <c r="G9" s="110"/>
      <c r="H9" s="139" t="s">
        <v>53</v>
      </c>
      <c r="I9" s="109"/>
      <c r="J9" s="112"/>
    </row>
    <row r="10" spans="1:10" ht="15.75" thickBot="1" x14ac:dyDescent="0.3">
      <c r="A10" s="89" t="s">
        <v>54</v>
      </c>
      <c r="B10" s="64"/>
      <c r="C10" s="64"/>
      <c r="D10" s="66"/>
      <c r="E10" s="162" t="str">
        <f>'input data'!B14</f>
        <v>Loose packing</v>
      </c>
      <c r="F10" s="114"/>
      <c r="G10" s="115"/>
      <c r="H10" s="162" t="str">
        <f>'input data'!B13 &amp; " " &amp; 'input data'!B15</f>
        <v>1 FCL</v>
      </c>
      <c r="I10" s="114"/>
      <c r="J10" s="151"/>
    </row>
    <row r="11" spans="1:10" ht="15.75" thickBot="1" x14ac:dyDescent="0.3">
      <c r="A11" s="163" t="s">
        <v>55</v>
      </c>
      <c r="B11" s="109"/>
      <c r="C11" s="109"/>
      <c r="D11" s="110"/>
      <c r="E11" s="164" t="s">
        <v>56</v>
      </c>
      <c r="F11" s="122"/>
      <c r="G11" s="123"/>
      <c r="H11" s="165" t="s">
        <v>57</v>
      </c>
      <c r="I11" s="122"/>
      <c r="J11" s="166"/>
    </row>
    <row r="12" spans="1:10" ht="15" customHeight="1" x14ac:dyDescent="0.25">
      <c r="A12" s="147" t="str">
        <f>'input data'!B6</f>
        <v>To the Order</v>
      </c>
      <c r="B12" s="114"/>
      <c r="C12" s="114"/>
      <c r="D12" s="115"/>
      <c r="E12" s="148" t="str">
        <f>'input data'!B16</f>
        <v>CNF</v>
      </c>
      <c r="F12" s="114"/>
      <c r="G12" s="115"/>
      <c r="H12" s="150" t="str">
        <f>'input data'!B17</f>
        <v>100% Against Documents</v>
      </c>
      <c r="I12" s="114"/>
      <c r="J12" s="151"/>
    </row>
    <row r="13" spans="1:10" ht="15.75" thickBot="1" x14ac:dyDescent="0.3">
      <c r="A13" s="87"/>
      <c r="B13" s="64"/>
      <c r="C13" s="64"/>
      <c r="D13" s="66"/>
      <c r="E13" s="149"/>
      <c r="F13" s="144"/>
      <c r="G13" s="141"/>
      <c r="H13" s="144"/>
      <c r="I13" s="144"/>
      <c r="J13" s="142"/>
    </row>
    <row r="14" spans="1:10" x14ac:dyDescent="0.25">
      <c r="A14" s="90" t="s">
        <v>58</v>
      </c>
      <c r="B14" s="16"/>
      <c r="C14" s="16"/>
      <c r="D14" s="17"/>
      <c r="E14" s="152" t="s">
        <v>151</v>
      </c>
      <c r="F14" s="109"/>
      <c r="G14" s="109"/>
      <c r="H14" s="109"/>
      <c r="I14" s="109"/>
      <c r="J14" s="112"/>
    </row>
    <row r="15" spans="1:10" x14ac:dyDescent="0.25">
      <c r="A15" s="155" t="str">
        <f>'input data'!B7</f>
        <v xml:space="preserve">CMK TRADING COMPANY LIMITED
ADD: No 60 street 64-TML, Quarter 4, Cat Lai Ward, 
Ho Chi Minh city, Vietnam
TAX ID : 0317762127
PHONE : +84 974778685
EMAIL : cmktrading.coltd@gmail.com
</v>
      </c>
      <c r="B15" s="114"/>
      <c r="C15" s="114"/>
      <c r="D15" s="115"/>
      <c r="E15" s="136"/>
      <c r="F15" s="114"/>
      <c r="G15" s="114"/>
      <c r="H15" s="114"/>
      <c r="I15" s="114"/>
      <c r="J15" s="151"/>
    </row>
    <row r="16" spans="1:10" x14ac:dyDescent="0.25">
      <c r="A16" s="116"/>
      <c r="B16" s="114"/>
      <c r="C16" s="114"/>
      <c r="D16" s="115"/>
      <c r="E16" s="136"/>
      <c r="F16" s="114"/>
      <c r="G16" s="114"/>
      <c r="H16" s="114"/>
      <c r="I16" s="114"/>
      <c r="J16" s="151"/>
    </row>
    <row r="17" spans="1:20" x14ac:dyDescent="0.25">
      <c r="A17" s="116"/>
      <c r="B17" s="114"/>
      <c r="C17" s="114"/>
      <c r="D17" s="115"/>
      <c r="E17" s="136"/>
      <c r="F17" s="114"/>
      <c r="G17" s="114"/>
      <c r="H17" s="114"/>
      <c r="I17" s="114"/>
      <c r="J17" s="151"/>
    </row>
    <row r="18" spans="1:20" x14ac:dyDescent="0.25">
      <c r="A18" s="116"/>
      <c r="B18" s="114"/>
      <c r="C18" s="114"/>
      <c r="D18" s="115"/>
      <c r="E18" s="136"/>
      <c r="F18" s="114"/>
      <c r="G18" s="114"/>
      <c r="H18" s="114"/>
      <c r="I18" s="114"/>
      <c r="J18" s="151"/>
    </row>
    <row r="19" spans="1:20" x14ac:dyDescent="0.25">
      <c r="A19" s="116"/>
      <c r="B19" s="114"/>
      <c r="C19" s="114"/>
      <c r="D19" s="115"/>
      <c r="E19" s="136"/>
      <c r="F19" s="114"/>
      <c r="G19" s="114"/>
      <c r="H19" s="114"/>
      <c r="I19" s="114"/>
      <c r="J19" s="151"/>
    </row>
    <row r="20" spans="1:20" ht="48" customHeight="1" thickBot="1" x14ac:dyDescent="0.3">
      <c r="A20" s="118"/>
      <c r="B20" s="119"/>
      <c r="C20" s="119"/>
      <c r="D20" s="120"/>
      <c r="E20" s="153"/>
      <c r="F20" s="119"/>
      <c r="G20" s="119"/>
      <c r="H20" s="119"/>
      <c r="I20" s="119"/>
      <c r="J20" s="154"/>
    </row>
    <row r="21" spans="1:20" ht="15.75" customHeight="1" x14ac:dyDescent="0.25">
      <c r="A21" s="156" t="s">
        <v>59</v>
      </c>
      <c r="B21" s="115"/>
      <c r="C21" s="157" t="s">
        <v>28</v>
      </c>
      <c r="D21" s="115"/>
      <c r="E21" s="157" t="s">
        <v>60</v>
      </c>
      <c r="F21" s="158"/>
      <c r="G21" s="115"/>
      <c r="H21" s="157" t="s">
        <v>32</v>
      </c>
      <c r="I21" s="158"/>
      <c r="J21" s="151"/>
    </row>
    <row r="22" spans="1:20" ht="14.25" customHeight="1" x14ac:dyDescent="0.25">
      <c r="A22" s="156" t="s">
        <v>61</v>
      </c>
      <c r="B22" s="115"/>
      <c r="C22" s="159" t="str">
        <f>'input data'!B19</f>
        <v>CHENNAI</v>
      </c>
      <c r="D22" s="115"/>
      <c r="E22" s="160" t="s">
        <v>62</v>
      </c>
      <c r="F22" s="114"/>
      <c r="G22" s="115"/>
      <c r="H22" s="160" t="str">
        <f>'input data'!B23</f>
        <v>VIETNAM</v>
      </c>
      <c r="I22" s="114"/>
      <c r="J22" s="151"/>
    </row>
    <row r="23" spans="1:20" ht="15" customHeight="1" thickBot="1" x14ac:dyDescent="0.3">
      <c r="A23" s="161"/>
      <c r="B23" s="115"/>
      <c r="C23" s="149"/>
      <c r="D23" s="141"/>
      <c r="E23" s="149"/>
      <c r="F23" s="144"/>
      <c r="G23" s="141"/>
      <c r="H23" s="149"/>
      <c r="I23" s="144"/>
      <c r="J23" s="142"/>
    </row>
    <row r="24" spans="1:20" ht="15.75" customHeight="1" x14ac:dyDescent="0.25">
      <c r="A24" s="145" t="s">
        <v>63</v>
      </c>
      <c r="B24" s="110"/>
      <c r="C24" s="146" t="s">
        <v>29</v>
      </c>
      <c r="D24" s="110"/>
      <c r="E24" s="139" t="s">
        <v>30</v>
      </c>
      <c r="F24" s="109"/>
      <c r="G24" s="110"/>
      <c r="H24" s="146" t="s">
        <v>31</v>
      </c>
      <c r="I24" s="109"/>
      <c r="J24" s="112"/>
    </row>
    <row r="25" spans="1:20" ht="15.75" customHeight="1" thickBot="1" x14ac:dyDescent="0.3">
      <c r="A25" s="143"/>
      <c r="B25" s="141"/>
      <c r="C25" s="140" t="str">
        <f>'input data'!B20</f>
        <v>CHENNAI</v>
      </c>
      <c r="D25" s="141"/>
      <c r="E25" s="140" t="str">
        <f>'input data'!B21</f>
        <v>CAT LAI</v>
      </c>
      <c r="F25" s="144"/>
      <c r="G25" s="141"/>
      <c r="H25" s="140" t="str">
        <f>'input data'!B22</f>
        <v>CAT LAI</v>
      </c>
      <c r="I25" s="144"/>
      <c r="J25" s="142"/>
    </row>
    <row r="26" spans="1:20" ht="15.75" customHeight="1" x14ac:dyDescent="0.25">
      <c r="A26" s="133" t="s">
        <v>64</v>
      </c>
      <c r="B26" s="135" t="s">
        <v>65</v>
      </c>
      <c r="C26" s="109"/>
      <c r="D26" s="110"/>
      <c r="E26" s="137" t="s">
        <v>66</v>
      </c>
      <c r="F26" s="139" t="s">
        <v>67</v>
      </c>
      <c r="G26" s="110"/>
      <c r="H26" s="22" t="s">
        <v>36</v>
      </c>
      <c r="I26" s="139" t="s">
        <v>68</v>
      </c>
      <c r="J26" s="112"/>
    </row>
    <row r="27" spans="1:20" ht="15.75" customHeight="1" thickBot="1" x14ac:dyDescent="0.3">
      <c r="A27" s="134"/>
      <c r="B27" s="136"/>
      <c r="C27" s="114"/>
      <c r="D27" s="115"/>
      <c r="E27" s="138"/>
      <c r="F27" s="140" t="s">
        <v>69</v>
      </c>
      <c r="G27" s="141"/>
      <c r="H27" s="70" t="s">
        <v>69</v>
      </c>
      <c r="I27" s="140" t="s">
        <v>70</v>
      </c>
      <c r="J27" s="142"/>
    </row>
    <row r="28" spans="1:20" ht="15.75" customHeight="1" thickBot="1" x14ac:dyDescent="0.3">
      <c r="A28" s="91">
        <v>1</v>
      </c>
      <c r="B28" s="121" t="str">
        <f>'input data'!B18</f>
        <v>NATURAL POLISHED GRANITE SLABS</v>
      </c>
      <c r="C28" s="122"/>
      <c r="D28" s="123"/>
      <c r="E28" s="25">
        <v>68022390</v>
      </c>
      <c r="F28" s="124">
        <f>'input data'!B26</f>
        <v>431.22</v>
      </c>
      <c r="G28" s="122"/>
      <c r="H28" s="83">
        <f>'input data'!B27</f>
        <v>19</v>
      </c>
      <c r="I28" s="125">
        <f>F28*H28</f>
        <v>8193.18</v>
      </c>
      <c r="J28" s="126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27" t="s">
        <v>143</v>
      </c>
      <c r="I29" s="64"/>
      <c r="J29" s="92"/>
      <c r="S29" s="167"/>
      <c r="T29" s="167"/>
    </row>
    <row r="30" spans="1:20" ht="15.75" customHeight="1" x14ac:dyDescent="0.25">
      <c r="A30" s="129" t="str">
        <f>UPPER('input data'!B24)</f>
        <v>TEMU4838933</v>
      </c>
      <c r="B30" s="114"/>
      <c r="C30" s="93">
        <f>'input data'!B25</f>
        <v>441</v>
      </c>
      <c r="D30" s="64" t="s">
        <v>158</v>
      </c>
      <c r="E30" s="64" t="s">
        <v>155</v>
      </c>
      <c r="F30" s="64"/>
      <c r="G30" s="64"/>
      <c r="H30" s="127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27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27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27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30"/>
      <c r="G34" s="114"/>
      <c r="H34" s="127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28"/>
      <c r="I35" s="131"/>
      <c r="J35" s="132"/>
    </row>
    <row r="36" spans="1:10" ht="15.75" customHeight="1" x14ac:dyDescent="0.25">
      <c r="A36" s="90" t="s">
        <v>73</v>
      </c>
      <c r="B36" s="16"/>
      <c r="C36" s="16"/>
      <c r="D36" s="16"/>
      <c r="E36" s="16"/>
      <c r="F36" s="16"/>
      <c r="G36" s="16"/>
      <c r="H36" s="66"/>
      <c r="I36" s="104">
        <f>I28</f>
        <v>8193.18</v>
      </c>
      <c r="J36" s="105"/>
    </row>
    <row r="37" spans="1:10" ht="15.75" customHeight="1" thickBot="1" x14ac:dyDescent="0.3">
      <c r="A37" s="95" t="str">
        <f>SpellNumberUSD(I36)</f>
        <v>Eight Thousand One Hundred Ninety Three Dollars and Eighteen Cents</v>
      </c>
      <c r="B37" s="65"/>
      <c r="C37" s="65"/>
      <c r="D37" s="65"/>
      <c r="E37" s="65"/>
      <c r="F37" s="65"/>
      <c r="G37" s="65"/>
      <c r="H37" s="96"/>
      <c r="I37" s="106"/>
      <c r="J37" s="107"/>
    </row>
    <row r="38" spans="1:10" ht="15.75" customHeight="1" x14ac:dyDescent="0.25">
      <c r="A38" s="108" t="s">
        <v>74</v>
      </c>
      <c r="B38" s="109"/>
      <c r="C38" s="109"/>
      <c r="D38" s="110"/>
      <c r="E38" s="111" t="s">
        <v>75</v>
      </c>
      <c r="F38" s="109"/>
      <c r="G38" s="109"/>
      <c r="H38" s="109"/>
      <c r="I38" s="109"/>
      <c r="J38" s="112"/>
    </row>
    <row r="39" spans="1:10" ht="19.5" customHeight="1" x14ac:dyDescent="0.25">
      <c r="A39" s="113" t="s">
        <v>76</v>
      </c>
      <c r="B39" s="114"/>
      <c r="C39" s="114"/>
      <c r="D39" s="115"/>
      <c r="E39" s="97" t="s">
        <v>77</v>
      </c>
      <c r="F39" s="64"/>
      <c r="G39" s="64"/>
      <c r="H39" s="64"/>
      <c r="I39" s="64"/>
      <c r="J39" s="92"/>
    </row>
    <row r="40" spans="1:10" ht="19.5" customHeight="1" x14ac:dyDescent="0.25">
      <c r="A40" s="116"/>
      <c r="B40" s="114"/>
      <c r="C40" s="114"/>
      <c r="D40" s="115"/>
      <c r="E40" s="97"/>
      <c r="F40" s="64"/>
      <c r="G40" s="64"/>
      <c r="H40" s="64"/>
      <c r="I40" s="64"/>
      <c r="J40" s="92"/>
    </row>
    <row r="41" spans="1:10" ht="15.75" customHeight="1" x14ac:dyDescent="0.25">
      <c r="A41" s="117" t="s">
        <v>78</v>
      </c>
      <c r="B41" s="114"/>
      <c r="C41" s="114"/>
      <c r="D41" s="115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18"/>
      <c r="B42" s="119"/>
      <c r="C42" s="119"/>
      <c r="D42" s="120"/>
      <c r="E42" s="98" t="s">
        <v>79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A11:D11"/>
    <mergeCell ref="E11:G11"/>
    <mergeCell ref="H11:J11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A12:D12"/>
    <mergeCell ref="E12:G13"/>
    <mergeCell ref="H12:J13"/>
    <mergeCell ref="E14:J20"/>
    <mergeCell ref="A15:D20"/>
    <mergeCell ref="A25:B25"/>
    <mergeCell ref="C25:D25"/>
    <mergeCell ref="E25:G25"/>
    <mergeCell ref="H25:J25"/>
    <mergeCell ref="A24:B24"/>
    <mergeCell ref="C24:D24"/>
    <mergeCell ref="E24:G24"/>
    <mergeCell ref="H24:J24"/>
    <mergeCell ref="A26:A27"/>
    <mergeCell ref="B26:D27"/>
    <mergeCell ref="E26:E27"/>
    <mergeCell ref="F26:G26"/>
    <mergeCell ref="I26:J26"/>
    <mergeCell ref="F27:G27"/>
    <mergeCell ref="I27:J27"/>
    <mergeCell ref="B28:D28"/>
    <mergeCell ref="F28:G28"/>
    <mergeCell ref="I28:J28"/>
    <mergeCell ref="H29:H35"/>
    <mergeCell ref="A30:B30"/>
    <mergeCell ref="F34:G34"/>
    <mergeCell ref="I35:J35"/>
    <mergeCell ref="I36:J37"/>
    <mergeCell ref="A38:D38"/>
    <mergeCell ref="E38:J38"/>
    <mergeCell ref="A39:D40"/>
    <mergeCell ref="A41:D42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workbookViewId="0">
      <selection activeCell="G22" sqref="G22:J2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2" t="s">
        <v>80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11" t="s">
        <v>81</v>
      </c>
      <c r="B2" s="109"/>
      <c r="C2" s="109"/>
      <c r="D2" s="109"/>
      <c r="E2" s="109"/>
      <c r="F2" s="110"/>
      <c r="G2" s="139" t="s">
        <v>38</v>
      </c>
      <c r="H2" s="110"/>
      <c r="I2" s="203" t="s">
        <v>39</v>
      </c>
      <c r="J2" s="110"/>
    </row>
    <row r="3" spans="1:10" ht="15.75" x14ac:dyDescent="0.25">
      <c r="A3" s="204" t="s">
        <v>82</v>
      </c>
      <c r="B3" s="102"/>
      <c r="C3" s="102"/>
      <c r="D3" s="102"/>
      <c r="E3" s="102"/>
      <c r="F3" s="181"/>
      <c r="G3" s="205" t="str">
        <f>Invoice!E4</f>
        <v>BK009/26-27</v>
      </c>
      <c r="H3" s="186"/>
      <c r="I3" s="206">
        <f>Invoice!H4</f>
        <v>46171</v>
      </c>
      <c r="J3" s="207"/>
    </row>
    <row r="4" spans="1:10" x14ac:dyDescent="0.25">
      <c r="A4" s="18" t="s">
        <v>83</v>
      </c>
      <c r="B4" s="4"/>
      <c r="C4" s="4"/>
      <c r="D4" s="4"/>
      <c r="E4" s="4"/>
      <c r="F4" s="19"/>
      <c r="G4" s="203" t="s">
        <v>43</v>
      </c>
      <c r="H4" s="109"/>
      <c r="I4" s="109"/>
      <c r="J4" s="110"/>
    </row>
    <row r="5" spans="1:10" x14ac:dyDescent="0.25">
      <c r="A5" s="18" t="s">
        <v>84</v>
      </c>
      <c r="B5" s="4"/>
      <c r="C5" s="4"/>
      <c r="D5" s="4"/>
      <c r="E5" s="4"/>
      <c r="F5" s="19"/>
      <c r="G5" s="196" t="str">
        <f>'input data'!B5</f>
        <v>AD2403260504856</v>
      </c>
      <c r="H5" s="185"/>
      <c r="I5" s="185"/>
      <c r="J5" s="186"/>
    </row>
    <row r="6" spans="1:10" x14ac:dyDescent="0.25">
      <c r="A6" s="208" t="s">
        <v>85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86</v>
      </c>
      <c r="B7" s="4"/>
      <c r="C7" s="4"/>
      <c r="D7" s="4"/>
      <c r="E7" s="4"/>
      <c r="F7" s="19"/>
      <c r="G7" s="31" t="s">
        <v>87</v>
      </c>
      <c r="H7" s="16"/>
      <c r="I7" s="16"/>
      <c r="J7" s="17"/>
    </row>
    <row r="8" spans="1:10" ht="15.75" x14ac:dyDescent="0.25">
      <c r="A8" s="32" t="s">
        <v>88</v>
      </c>
      <c r="B8" s="4"/>
      <c r="C8" s="4"/>
      <c r="D8" s="4"/>
      <c r="E8" s="4"/>
      <c r="F8" s="19"/>
      <c r="G8" s="33" t="s">
        <v>89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90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209" t="s">
        <v>55</v>
      </c>
      <c r="B11" s="109"/>
      <c r="C11" s="109"/>
      <c r="D11" s="109"/>
      <c r="E11" s="109"/>
      <c r="F11" s="17"/>
      <c r="G11" s="31" t="s">
        <v>91</v>
      </c>
      <c r="H11" s="16"/>
      <c r="I11" s="16"/>
      <c r="J11" s="17"/>
    </row>
    <row r="12" spans="1:10" x14ac:dyDescent="0.25">
      <c r="A12" s="210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9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209" t="s">
        <v>58</v>
      </c>
      <c r="B14" s="109"/>
      <c r="C14" s="109"/>
      <c r="D14" s="109"/>
      <c r="E14" s="109"/>
      <c r="F14" s="110"/>
      <c r="G14" s="18"/>
      <c r="H14" s="4"/>
      <c r="I14" s="4"/>
      <c r="J14" s="19"/>
    </row>
    <row r="15" spans="1:10" x14ac:dyDescent="0.25">
      <c r="A15" s="211" t="str">
        <f>Invoice!A15</f>
        <v xml:space="preserve">CMK TRADING COMPANY LIMITED
ADD: No 60 street 64-TML, Quarter 4, Cat Lai Ward, 
Ho Chi Minh city, Vietnam
TAX ID : 0317762127
PHONE : +84 974778685
EMAIL : cmktrading.coltd@gmail.com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212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212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212"/>
      <c r="B18" s="102"/>
      <c r="C18" s="102"/>
      <c r="D18" s="102"/>
      <c r="E18" s="102"/>
      <c r="F18" s="181"/>
      <c r="G18" s="198" t="s">
        <v>92</v>
      </c>
      <c r="H18" s="110"/>
      <c r="I18" s="200" t="s">
        <v>93</v>
      </c>
      <c r="J18" s="110"/>
    </row>
    <row r="19" spans="1:10" ht="15" customHeight="1" x14ac:dyDescent="0.25">
      <c r="A19" s="212"/>
      <c r="B19" s="102"/>
      <c r="C19" s="102"/>
      <c r="D19" s="102"/>
      <c r="E19" s="102"/>
      <c r="F19" s="181"/>
      <c r="G19" s="199"/>
      <c r="H19" s="186"/>
      <c r="I19" s="185"/>
      <c r="J19" s="186"/>
    </row>
    <row r="20" spans="1:10" ht="30.75" customHeight="1" x14ac:dyDescent="0.25">
      <c r="A20" s="199"/>
      <c r="B20" s="185"/>
      <c r="C20" s="185"/>
      <c r="D20" s="185"/>
      <c r="E20" s="185"/>
      <c r="F20" s="186"/>
      <c r="G20" s="201" t="s">
        <v>62</v>
      </c>
      <c r="H20" s="186"/>
      <c r="I20" s="201" t="str">
        <f>Invoice!H22</f>
        <v>VIETNAM</v>
      </c>
      <c r="J20" s="186"/>
    </row>
    <row r="21" spans="1:10" ht="15.75" customHeight="1" x14ac:dyDescent="0.25">
      <c r="A21" s="194" t="s">
        <v>94</v>
      </c>
      <c r="B21" s="109"/>
      <c r="C21" s="110"/>
      <c r="D21" s="194" t="s">
        <v>95</v>
      </c>
      <c r="E21" s="109"/>
      <c r="F21" s="110"/>
      <c r="G21" s="213" t="s">
        <v>96</v>
      </c>
      <c r="H21" s="122"/>
      <c r="I21" s="122"/>
      <c r="J21" s="123"/>
    </row>
    <row r="22" spans="1:10" ht="15.75" customHeight="1" x14ac:dyDescent="0.25">
      <c r="A22" s="195"/>
      <c r="B22" s="185"/>
      <c r="C22" s="186"/>
      <c r="D22" s="196" t="str">
        <f>Invoice!C22</f>
        <v>CHENNAI</v>
      </c>
      <c r="E22" s="185"/>
      <c r="F22" s="186"/>
      <c r="G22" s="197" t="str">
        <f>'input data'!B16</f>
        <v>CNF</v>
      </c>
      <c r="H22" s="185"/>
      <c r="I22" s="185"/>
      <c r="J22" s="186"/>
    </row>
    <row r="23" spans="1:10" ht="15.75" customHeight="1" x14ac:dyDescent="0.25">
      <c r="A23" s="194" t="s">
        <v>97</v>
      </c>
      <c r="B23" s="109"/>
      <c r="C23" s="110"/>
      <c r="D23" s="194" t="s">
        <v>98</v>
      </c>
      <c r="E23" s="109"/>
      <c r="F23" s="110"/>
      <c r="G23" s="38"/>
      <c r="H23" s="39"/>
      <c r="I23" s="39"/>
      <c r="J23" s="40"/>
    </row>
    <row r="24" spans="1:10" ht="15.75" customHeight="1" x14ac:dyDescent="0.25">
      <c r="A24" s="195"/>
      <c r="B24" s="185"/>
      <c r="C24" s="186"/>
      <c r="D24" s="196" t="str">
        <f>Invoice!C25</f>
        <v>CHENNAI</v>
      </c>
      <c r="E24" s="185"/>
      <c r="F24" s="186"/>
      <c r="G24" s="27"/>
      <c r="H24" s="29"/>
      <c r="I24" s="29"/>
      <c r="J24" s="26"/>
    </row>
    <row r="25" spans="1:10" ht="15.75" customHeight="1" x14ac:dyDescent="0.25">
      <c r="A25" s="194" t="s">
        <v>30</v>
      </c>
      <c r="B25" s="109"/>
      <c r="C25" s="110"/>
      <c r="D25" s="194" t="s">
        <v>31</v>
      </c>
      <c r="E25" s="109"/>
      <c r="F25" s="110"/>
      <c r="G25" s="179" t="s">
        <v>99</v>
      </c>
      <c r="H25" s="122"/>
      <c r="I25" s="122"/>
      <c r="J25" s="123"/>
    </row>
    <row r="26" spans="1:10" ht="15.75" customHeight="1" x14ac:dyDescent="0.25">
      <c r="A26" s="180" t="str">
        <f>Invoice!E25</f>
        <v>CAT LAI</v>
      </c>
      <c r="B26" s="102"/>
      <c r="C26" s="181"/>
      <c r="D26" s="180" t="str">
        <f>Invoice!H25</f>
        <v>CAT LAI</v>
      </c>
      <c r="E26" s="102"/>
      <c r="F26" s="181"/>
      <c r="G26" s="198" t="str">
        <f>'input data'!B17</f>
        <v>100% Against Documents</v>
      </c>
      <c r="H26" s="109"/>
      <c r="I26" s="109"/>
      <c r="J26" s="110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96" t="s">
        <v>100</v>
      </c>
      <c r="C28" s="186"/>
      <c r="D28" s="196" t="s">
        <v>65</v>
      </c>
      <c r="E28" s="185"/>
      <c r="F28" s="185"/>
      <c r="G28" s="44"/>
      <c r="H28" s="45"/>
      <c r="I28" s="196" t="s">
        <v>69</v>
      </c>
      <c r="J28" s="186"/>
    </row>
    <row r="29" spans="1:10" ht="15.75" customHeight="1" thickBot="1" x14ac:dyDescent="0.3">
      <c r="A29" s="24">
        <v>1</v>
      </c>
      <c r="B29" s="121">
        <f>Invoice!E28</f>
        <v>68022390</v>
      </c>
      <c r="C29" s="123"/>
      <c r="D29" s="191" t="str">
        <f>Invoice!B28</f>
        <v>NATURAL POLISHED GRANITE SLABS</v>
      </c>
      <c r="E29" s="122"/>
      <c r="F29" s="122"/>
      <c r="G29" s="122"/>
      <c r="H29" s="123"/>
      <c r="I29" s="192">
        <f>Invoice!F28</f>
        <v>431.22</v>
      </c>
      <c r="J29" s="123"/>
    </row>
    <row r="30" spans="1:10" ht="15.75" customHeight="1" thickBot="1" x14ac:dyDescent="0.3">
      <c r="A30" s="46" t="s">
        <v>101</v>
      </c>
      <c r="B30" s="42"/>
      <c r="C30" s="42"/>
      <c r="D30" s="42"/>
      <c r="E30" s="42"/>
      <c r="F30" s="42"/>
      <c r="G30" s="42"/>
      <c r="H30" s="42"/>
      <c r="I30" s="193">
        <f>SUM(I29:I29)</f>
        <v>431.22</v>
      </c>
      <c r="J30" s="123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102</v>
      </c>
      <c r="B32" s="102"/>
      <c r="C32" s="28" t="s">
        <v>34</v>
      </c>
      <c r="D32" s="18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188" t="str">
        <f>Invoice!A30</f>
        <v>TEMU4838933</v>
      </c>
      <c r="B33" s="102"/>
      <c r="C33" s="47">
        <f>'input data'!B25</f>
        <v>441</v>
      </c>
      <c r="D33" s="189" t="s">
        <v>158</v>
      </c>
      <c r="E33" s="102"/>
      <c r="F33" s="47" t="s">
        <v>155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103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104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11" t="s">
        <v>105</v>
      </c>
      <c r="B38" s="109"/>
      <c r="C38" s="109"/>
      <c r="D38" s="109"/>
      <c r="E38" s="109"/>
      <c r="F38" s="110"/>
      <c r="G38" s="111" t="s">
        <v>75</v>
      </c>
      <c r="H38" s="109"/>
      <c r="I38" s="109"/>
      <c r="J38" s="110"/>
    </row>
    <row r="39" spans="1:12" ht="15.75" customHeight="1" x14ac:dyDescent="0.25">
      <c r="A39" s="190" t="s">
        <v>106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182" t="s">
        <v>107</v>
      </c>
      <c r="B40" s="158"/>
      <c r="C40" s="158"/>
      <c r="D40" s="158"/>
      <c r="E40" s="158"/>
      <c r="F40" s="115"/>
      <c r="G40" s="18"/>
      <c r="H40" s="4"/>
      <c r="I40" s="4"/>
      <c r="J40" s="19"/>
    </row>
    <row r="41" spans="1:12" ht="15.75" customHeight="1" x14ac:dyDescent="0.25">
      <c r="A41" s="183" t="s">
        <v>108</v>
      </c>
      <c r="B41" s="144"/>
      <c r="C41" s="144"/>
      <c r="D41" s="144"/>
      <c r="E41" s="144"/>
      <c r="F41" s="141"/>
      <c r="G41" s="184" t="s">
        <v>109</v>
      </c>
      <c r="H41" s="185"/>
      <c r="I41" s="185"/>
      <c r="J41" s="186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V17" sqref="V17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34" t="s">
        <v>40</v>
      </c>
      <c r="C1" s="235"/>
      <c r="D1" s="235"/>
      <c r="E1" s="235"/>
      <c r="F1" s="235"/>
      <c r="G1" s="235"/>
      <c r="H1" s="235"/>
      <c r="I1" s="235"/>
      <c r="J1" s="235"/>
      <c r="K1" s="236"/>
      <c r="R1" s="240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37"/>
      <c r="C2" s="238"/>
      <c r="D2" s="238"/>
      <c r="E2" s="238"/>
      <c r="F2" s="238"/>
      <c r="G2" s="238"/>
      <c r="H2" s="238"/>
      <c r="I2" s="238"/>
      <c r="J2" s="238"/>
      <c r="K2" s="239"/>
    </row>
    <row r="3" spans="1:25" x14ac:dyDescent="0.25">
      <c r="A3" s="54"/>
      <c r="B3" s="241" t="s">
        <v>110</v>
      </c>
      <c r="C3" s="109"/>
      <c r="D3" s="109"/>
      <c r="E3" s="109"/>
      <c r="F3" s="109"/>
      <c r="G3" s="109"/>
      <c r="H3" s="109"/>
      <c r="I3" s="109"/>
      <c r="J3" s="109"/>
      <c r="K3" s="110"/>
    </row>
    <row r="4" spans="1:25" x14ac:dyDescent="0.25">
      <c r="A4" s="54"/>
      <c r="B4" s="242" t="s">
        <v>111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5" t="s">
        <v>112</v>
      </c>
      <c r="C5" s="185"/>
      <c r="D5" s="185"/>
      <c r="E5" s="185"/>
      <c r="F5" s="185"/>
      <c r="G5" s="185"/>
      <c r="H5" s="185"/>
      <c r="I5" s="185"/>
      <c r="J5" s="185"/>
      <c r="K5" s="186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43" t="s">
        <v>113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114</v>
      </c>
      <c r="C9" s="246">
        <f ca="1">TODAY()</f>
        <v>46171</v>
      </c>
      <c r="D9" s="246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115</v>
      </c>
      <c r="C10" s="56" t="s">
        <v>164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116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44" t="s">
        <v>160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211" t="s">
        <v>161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212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117</v>
      </c>
      <c r="C16" s="4"/>
      <c r="D16" s="4"/>
      <c r="E16" s="4"/>
      <c r="F16" s="4"/>
      <c r="G16" s="4"/>
      <c r="H16" s="4"/>
      <c r="I16" s="4"/>
      <c r="J16" s="4"/>
      <c r="K16" s="19"/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145</v>
      </c>
      <c r="P17" t="s">
        <v>146</v>
      </c>
      <c r="Q17" t="s">
        <v>101</v>
      </c>
    </row>
    <row r="18" spans="1:18" ht="15.75" thickBot="1" x14ac:dyDescent="0.3">
      <c r="A18" s="48"/>
      <c r="B18" s="164" t="s">
        <v>118</v>
      </c>
      <c r="C18" s="165"/>
      <c r="D18" s="165"/>
      <c r="E18" s="245"/>
      <c r="F18" s="164" t="s">
        <v>119</v>
      </c>
      <c r="G18" s="123"/>
      <c r="H18" s="164" t="s">
        <v>120</v>
      </c>
      <c r="I18" s="123"/>
      <c r="J18" s="164" t="s">
        <v>121</v>
      </c>
      <c r="K18" s="123"/>
    </row>
    <row r="19" spans="1:18" ht="15.75" customHeight="1" thickBot="1" x14ac:dyDescent="0.3">
      <c r="A19" s="3"/>
      <c r="B19" s="191" t="s">
        <v>144</v>
      </c>
      <c r="C19" s="230"/>
      <c r="D19" s="230"/>
      <c r="E19" s="231"/>
      <c r="F19" s="221">
        <v>140.80000000000001</v>
      </c>
      <c r="G19" s="222"/>
      <c r="H19" s="223">
        <v>4639.93</v>
      </c>
      <c r="I19" s="123"/>
      <c r="J19" s="228">
        <f>H19*F19</f>
        <v>653302.14400000009</v>
      </c>
      <c r="K19" s="123"/>
      <c r="N19" t="s">
        <v>165</v>
      </c>
      <c r="O19">
        <v>4537</v>
      </c>
      <c r="P19">
        <v>144</v>
      </c>
      <c r="Q19" s="68">
        <f>O19*P19</f>
        <v>653328</v>
      </c>
    </row>
    <row r="20" spans="1:18" ht="15.75" customHeight="1" x14ac:dyDescent="0.25">
      <c r="A20" s="47"/>
      <c r="B20" s="188"/>
      <c r="C20" s="102"/>
      <c r="D20" s="102"/>
      <c r="E20" s="102"/>
      <c r="F20" s="225"/>
      <c r="G20" s="229"/>
      <c r="H20" s="214" t="s">
        <v>153</v>
      </c>
      <c r="I20" s="215"/>
      <c r="J20" s="232">
        <f>J19*0.001</f>
        <v>653.30214400000011</v>
      </c>
      <c r="K20" s="233"/>
      <c r="M20" s="69"/>
      <c r="O20" s="74"/>
      <c r="P20">
        <v>0</v>
      </c>
      <c r="Q20" s="75">
        <f>O20*P20</f>
        <v>0</v>
      </c>
    </row>
    <row r="21" spans="1:18" ht="15.75" customHeight="1" thickBot="1" x14ac:dyDescent="0.3">
      <c r="A21" s="3"/>
      <c r="B21" s="184"/>
      <c r="C21" s="185"/>
      <c r="D21" s="185"/>
      <c r="E21" s="185"/>
      <c r="F21" s="29"/>
      <c r="G21" s="58"/>
      <c r="H21" s="217" t="s">
        <v>101</v>
      </c>
      <c r="I21" s="218"/>
      <c r="J21" s="219">
        <f>SUM(J19:K20)</f>
        <v>653955.44614400005</v>
      </c>
      <c r="K21" s="220"/>
      <c r="Q21" s="67">
        <f>Q18+Q19+Q20</f>
        <v>653328</v>
      </c>
    </row>
    <row r="22" spans="1:18" ht="15.75" customHeight="1" thickBot="1" x14ac:dyDescent="0.3">
      <c r="A22" s="47"/>
      <c r="B22" s="188"/>
      <c r="C22" s="102"/>
      <c r="D22" s="102"/>
      <c r="E22" s="102"/>
      <c r="F22" s="4"/>
      <c r="G22" s="4"/>
      <c r="H22" s="224"/>
      <c r="I22" s="102"/>
      <c r="J22" s="225"/>
      <c r="K22" s="181"/>
      <c r="N22" s="69"/>
    </row>
    <row r="23" spans="1:18" ht="15.75" customHeight="1" thickBot="1" x14ac:dyDescent="0.3">
      <c r="A23" s="48"/>
      <c r="B23" s="226" t="s">
        <v>122</v>
      </c>
      <c r="C23" s="122"/>
      <c r="D23" s="42"/>
      <c r="E23" s="42"/>
      <c r="F23" s="42"/>
      <c r="G23" s="42"/>
      <c r="H23" s="42"/>
      <c r="I23" s="42"/>
      <c r="J23" s="227">
        <f>J21</f>
        <v>653955.44614400005</v>
      </c>
      <c r="K23" s="123"/>
      <c r="Q23" s="78">
        <f>Q21/O25</f>
        <v>140.80565746807406</v>
      </c>
      <c r="R23" s="77" t="s">
        <v>146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18" ht="15.75" customHeight="1" x14ac:dyDescent="0.25">
      <c r="A25" s="59"/>
      <c r="B25" s="216" t="s">
        <v>123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148</v>
      </c>
      <c r="N25" s="73">
        <v>431.22</v>
      </c>
      <c r="O25" s="80">
        <f>N25*10.76</f>
        <v>4639.9272000000001</v>
      </c>
      <c r="P25" s="77" t="s">
        <v>150</v>
      </c>
    </row>
    <row r="26" spans="1:18" ht="15.75" customHeight="1" x14ac:dyDescent="0.25">
      <c r="A26" s="4"/>
      <c r="B26" s="18" t="s">
        <v>124</v>
      </c>
      <c r="C26" s="4"/>
      <c r="D26" s="4" t="s">
        <v>141</v>
      </c>
      <c r="E26" s="4"/>
      <c r="F26" s="4"/>
      <c r="G26" s="4"/>
      <c r="H26" s="4"/>
      <c r="I26" s="4"/>
      <c r="J26" s="4"/>
      <c r="K26" s="19"/>
      <c r="M26" t="s">
        <v>149</v>
      </c>
      <c r="O26" s="74">
        <v>4523</v>
      </c>
    </row>
    <row r="27" spans="1:18" ht="15.75" customHeight="1" x14ac:dyDescent="0.25">
      <c r="A27" s="4"/>
      <c r="B27" s="18" t="s">
        <v>125</v>
      </c>
      <c r="C27" s="4"/>
      <c r="D27" s="4"/>
      <c r="E27" s="4"/>
      <c r="F27" s="4"/>
      <c r="G27" s="4"/>
      <c r="H27" s="4"/>
      <c r="I27" s="4"/>
      <c r="J27" s="4"/>
      <c r="K27" s="19"/>
      <c r="M27" t="s">
        <v>147</v>
      </c>
      <c r="O27" s="74">
        <f>O25-O26</f>
        <v>116.92720000000008</v>
      </c>
    </row>
    <row r="28" spans="1:18" ht="15.75" customHeight="1" x14ac:dyDescent="0.25">
      <c r="A28" s="4"/>
      <c r="B28" s="18" t="s">
        <v>126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127</v>
      </c>
      <c r="C29" s="4"/>
      <c r="D29" s="4" t="s">
        <v>142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128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129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130</v>
      </c>
      <c r="C32" s="4"/>
      <c r="D32" s="4" t="s">
        <v>131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132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133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204" t="s">
        <v>134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204" t="s">
        <v>135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136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137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2026-05-29T08:54:30Z</cp:lastPrinted>
  <dcterms:created xsi:type="dcterms:W3CDTF">2022-11-23T06:47:43Z</dcterms:created>
  <dcterms:modified xsi:type="dcterms:W3CDTF">2026-05-29T08:54:41Z</dcterms:modified>
</cp:coreProperties>
</file>
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B K EXPORTS\BK Exports bills\26-27\Invoice 26-27\20 Aug AA STONE INVESTMENT TRADING COMPANY (VK) Galaxy Long Line Polish (RJSL) B\"/>
    </mc:Choice>
  </mc:AlternateContent>
  <bookViews>
    <workbookView xWindow="0" yWindow="0" windowWidth="20490" windowHeight="7245" activeTab="4"/>
  </bookViews>
  <sheets>
    <sheet name="company data" sheetId="1" r:id="rId1"/>
    <sheet name="input data" sheetId="2" r:id="rId2"/>
    <sheet name="Invoice" sheetId="6" r:id="rId3"/>
    <sheet name="Peacking List" sheetId="4" r:id="rId4"/>
    <sheet name="PO" sheetId="5" r:id="rId5"/>
  </sheets>
  <functionGroups builtInGroupCount="18"/>
  <definedNames>
    <definedName name="_xlnm.Print_Area" localSheetId="2">Invoice!$A$1:$J$42</definedName>
    <definedName name="_xlnm.Print_Area" localSheetId="4">PO!$A$1:$K$42</definedName>
  </definedNames>
  <calcPr calcId="152511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Q20" i="5" l="1"/>
  <c r="Q19" i="5" l="1"/>
  <c r="Q18" i="5" l="1"/>
  <c r="Q21" i="5"/>
  <c r="H10" i="6" l="1"/>
  <c r="I29" i="4" l="1"/>
  <c r="D29" i="4"/>
  <c r="D26" i="4"/>
  <c r="A26" i="4"/>
  <c r="D24" i="4"/>
  <c r="D22" i="4"/>
  <c r="I20" i="4"/>
  <c r="A15" i="4"/>
  <c r="I3" i="4"/>
  <c r="O25" i="5" l="1"/>
  <c r="H28" i="6"/>
  <c r="B29" i="4" l="1"/>
  <c r="C30" i="6"/>
  <c r="A30" i="6"/>
  <c r="A33" i="4" s="1"/>
  <c r="F28" i="6"/>
  <c r="I28" i="6" s="1"/>
  <c r="B28" i="6"/>
  <c r="H25" i="6"/>
  <c r="E25" i="6"/>
  <c r="C25" i="6"/>
  <c r="H22" i="6"/>
  <c r="C22" i="6"/>
  <c r="A15" i="6"/>
  <c r="H12" i="6"/>
  <c r="E12" i="6"/>
  <c r="A12" i="6"/>
  <c r="E10" i="6"/>
  <c r="H6" i="6"/>
  <c r="H4" i="6"/>
  <c r="I36" i="6" l="1"/>
  <c r="A37" i="6"/>
  <c r="B5" i="2" l="1"/>
  <c r="B3" i="2" l="1"/>
  <c r="E4" i="6" l="1"/>
  <c r="G3" i="4"/>
  <c r="C9" i="5" l="1"/>
  <c r="O27" i="5" l="1"/>
  <c r="Q23" i="5" l="1"/>
  <c r="J19" i="5" l="1"/>
  <c r="J20" i="5" s="1"/>
  <c r="C33" i="4" l="1"/>
  <c r="A12" i="4"/>
  <c r="G5" i="4" l="1"/>
  <c r="C37" i="5"/>
  <c r="I30" i="4"/>
  <c r="C35" i="4"/>
  <c r="G26" i="4"/>
  <c r="G22" i="4"/>
  <c r="J21" i="5" l="1"/>
  <c r="J23" i="5" s="1"/>
</calcChain>
</file>

<file path=xl/sharedStrings.xml><?xml version="1.0" encoding="utf-8"?>
<sst xmlns="http://schemas.openxmlformats.org/spreadsheetml/2006/main" count="210" uniqueCount="171">
  <si>
    <t>financial year</t>
  </si>
  <si>
    <t>Kind of packing</t>
  </si>
  <si>
    <t>type of container</t>
  </si>
  <si>
    <t>terms of delivery</t>
  </si>
  <si>
    <t>terms of payment</t>
  </si>
  <si>
    <t>Wooden Crate packing</t>
  </si>
  <si>
    <t>FCL</t>
  </si>
  <si>
    <t>FOB</t>
  </si>
  <si>
    <t>30 % Advance, Remaning Against Document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</si>
  <si>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</si>
  <si>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</si>
  <si>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</si>
  <si>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</si>
  <si>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</si>
  <si>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</si>
  <si>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</si>
  <si>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</si>
  <si>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</si>
  <si>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</si>
  <si>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</si>
  <si>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</si>
  <si>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</si>
  <si>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</si>
  <si>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</si>
  <si>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</si>
  <si>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</si>
  <si>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</si>
  <si>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Product Name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</si>
  <si>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</si>
  <si>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</si>
  <si>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</si>
  <si>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</si>
  <si>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</si>
  <si>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</si>
  <si>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</si>
  <si>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Quantity</t>
  </si>
  <si>
    <t>Rate  Per</t>
  </si>
  <si>
    <t xml:space="preserve">EXPORTER </t>
  </si>
  <si>
    <t>INVOICE NO.</t>
  </si>
  <si>
    <t>DATE</t>
  </si>
  <si>
    <t>B K EXPORTS</t>
  </si>
  <si>
    <t>90, Jasodanagar Cross Road, Nr. Canal,</t>
  </si>
  <si>
    <t>BUYER'S ORDER NO.</t>
  </si>
  <si>
    <t>LUT/ARN NO.</t>
  </si>
  <si>
    <t>Opp.Baroda Express Highway, Amraiwadi,</t>
  </si>
  <si>
    <t>Ahmedabad, Gujarat, India - 380026.</t>
  </si>
  <si>
    <t>PAN NO. /IEC CODE</t>
  </si>
  <si>
    <t>GSTIN</t>
  </si>
  <si>
    <t xml:space="preserve"> +91 9313035076,  +91 9537651265</t>
  </si>
  <si>
    <t>AGQPJ1643Q</t>
  </si>
  <si>
    <t>24AGQPJ1643Q1ZW</t>
  </si>
  <si>
    <t>info@bkexportsinternational.com</t>
  </si>
  <si>
    <t xml:space="preserve">KIND OF PACKING </t>
  </si>
  <si>
    <t>TYPE OF CONTAINER</t>
  </si>
  <si>
    <t>www.bkexportsinternational.com</t>
  </si>
  <si>
    <t>CONSIGNEE</t>
  </si>
  <si>
    <t xml:space="preserve">TERMS OF DELIVERY </t>
  </si>
  <si>
    <t>TERMS OF PAYMENT</t>
  </si>
  <si>
    <t>NOTIFY PARTY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</si>
  <si>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</si>
  <si>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</si>
  <si>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</si>
  <si>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</si>
  <si>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</si>
  <si>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</si>
  <si>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</si>
  <si>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</si>
  <si>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</si>
  <si>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</si>
  <si>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</si>
  <si>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</si>
  <si>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Gross Weight</t>
  </si>
  <si>
    <t>Net Weight</t>
  </si>
  <si>
    <t>28000 kgs</t>
  </si>
  <si>
    <t>27500 kgs</t>
  </si>
  <si>
    <t>Amount in Words:</t>
  </si>
  <si>
    <t>Declaration</t>
  </si>
  <si>
    <t>For B K EXPORTS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</si>
  <si>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</si>
  <si>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Proprietor </t>
  </si>
  <si>
    <t xml:space="preserve">*  Thickness Variation will be -/+1mm.
</t>
  </si>
  <si>
    <t xml:space="preserve">Authorised Signatory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</si>
  <si>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</si>
  <si>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</si>
  <si>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</si>
  <si>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</si>
  <si>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</si>
  <si>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</si>
  <si>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</si>
  <si>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</si>
  <si>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</si>
  <si>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</si>
  <si>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</si>
  <si>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</si>
  <si>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>Country of Origin of Goods</t>
  </si>
  <si>
    <t>Country of Final Destination</t>
  </si>
  <si>
    <t xml:space="preserve">Pre-Carriage by </t>
  </si>
  <si>
    <t>Place of Receipt by Pre-carrier</t>
  </si>
  <si>
    <t>Terms of Delivery.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</si>
  <si>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</si>
  <si>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</si>
  <si>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</si>
  <si>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</si>
  <si>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</si>
  <si>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</si>
  <si>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>28000kgs</t>
  </si>
  <si>
    <t>27500kgs</t>
  </si>
  <si>
    <t xml:space="preserve">PACKING TYPE : 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</si>
  <si>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</si>
  <si>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</si>
  <si>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</si>
  <si>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color theme="1"/>
        <rFont val="Calibri"/>
        <family val="2"/>
      </rPr>
      <t xml:space="preserve">       describedand that all particulars are true and correct.</t>
    </r>
    <r>
      <rPr>
        <sz val="9"/>
        <color theme="1"/>
        <rFont val="Calibri"/>
        <family val="2"/>
      </rPr>
      <t xml:space="preserve">
</t>
    </r>
  </si>
  <si>
    <t>*   Zero rated export under LUT.</t>
  </si>
  <si>
    <t xml:space="preserve">Authorised Signature 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</si>
  <si>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</si>
  <si>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</si>
  <si>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</si>
  <si>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</si>
  <si>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</si>
  <si>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</si>
  <si>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TO,</t>
  </si>
  <si>
    <t>Dear Sir/ Madam,</t>
  </si>
  <si>
    <t>Description</t>
  </si>
  <si>
    <t xml:space="preserve">RATES </t>
  </si>
  <si>
    <t>SQFT</t>
  </si>
  <si>
    <t>AMOUNT</t>
  </si>
  <si>
    <t>GRAND TOTAL</t>
  </si>
  <si>
    <t xml:space="preserve">OTHER DETAILS </t>
  </si>
  <si>
    <t>Packing</t>
  </si>
  <si>
    <t>Terms</t>
  </si>
  <si>
    <t>Port of Delivery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</si>
  <si>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</si>
  <si>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</si>
  <si>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</si>
  <si>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</si>
  <si>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</rPr>
      <t>B K EXPORTS</t>
    </r>
    <r>
      <rPr>
        <sz val="11"/>
        <color theme="1"/>
        <rFont val="Calibri"/>
        <family val="2"/>
      </rPr>
      <t xml:space="preserve">  </t>
    </r>
  </si>
  <si>
    <t xml:space="preserve">90, Jasodanagar Cross Road, Nr. Canal, Opp. Baroda Express Highway,  </t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</si>
  <si>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Amraiwadi, Ahmedabad, Gujarat, India - 380026</t>
    </r>
  </si>
  <si>
    <t>IEC NO.    AGQPJ1643Q</t>
  </si>
  <si>
    <t>GSTIN NO.  24AGQPJ1643Q1ZW</t>
  </si>
  <si>
    <t xml:space="preserve">LUT NO: </t>
  </si>
  <si>
    <r>
      <rPr>
        <b/>
        <sz val="11"/>
        <color theme="1"/>
        <rFont val="Calibri"/>
        <family val="2"/>
      </rPr>
      <t>For B K EXPORTS</t>
    </r>
    <r>
      <rPr>
        <sz val="11"/>
        <color theme="1"/>
        <rFont val="Calibri"/>
        <family val="2"/>
      </rPr>
      <t xml:space="preserve"> </t>
    </r>
  </si>
  <si>
    <t>LC at Sight</t>
  </si>
  <si>
    <t>To the Order</t>
  </si>
  <si>
    <t>CHENNAI</t>
  </si>
  <si>
    <t>VIETNAM</t>
  </si>
  <si>
    <t>Loose Packing</t>
  </si>
  <si>
    <t>Chennai</t>
  </si>
  <si>
    <t>Round Off</t>
  </si>
  <si>
    <t>NATURAL POLISHED GRANITE SLABS</t>
  </si>
  <si>
    <t xml:space="preserve">SUPPLIER </t>
  </si>
  <si>
    <t>RATE</t>
  </si>
  <si>
    <t>extra</t>
  </si>
  <si>
    <t>buyer</t>
  </si>
  <si>
    <t>supplier</t>
  </si>
  <si>
    <t>SQ FEET</t>
  </si>
  <si>
    <t>BANK DETAILS: 
ACCOUNT NAME : B K  EXPORTS
BANK NAME : BANK OF BARODA
ACCOUNT NUMBER : 14970400000500
SWIFT CODE : BARBINBBVAT
IFSC CODE : BARB0MANEAS (fifth digit zero)
BRANCH : MANINAGAR (EAST)</t>
  </si>
  <si>
    <t>26-27</t>
  </si>
  <si>
    <t>DA NANG</t>
  </si>
  <si>
    <t>GST 0.1%</t>
  </si>
  <si>
    <t xml:space="preserve">A-A STONE INVESTMENT TRADING COMPANY 
LIMITED
 34/5 TRAN KHANH DU STREET, TAN DINH WARD, 
HOCHIMINH CITY, VIETNAM
 TAX:0317458134
 MAIL: AASTONEDOCS@GMAIL.COM
</t>
  </si>
  <si>
    <t xml:space="preserve">TAX INVOICE </t>
  </si>
  <si>
    <t xml:space="preserve"> </t>
  </si>
  <si>
    <t>long</t>
  </si>
  <si>
    <t>loading</t>
  </si>
  <si>
    <t>marking</t>
  </si>
  <si>
    <t>20</t>
  </si>
  <si>
    <t xml:space="preserve">ONEU2943247 </t>
  </si>
  <si>
    <t>PO 020/26-27</t>
  </si>
  <si>
    <t xml:space="preserve"> Bhargav Exports</t>
  </si>
  <si>
    <t>S.No-160/1c, Kurnool road.
Budawada(v).  Chimakurthy (m),
Prakasam (d.t) AP.
Gstin: 37AAkFB2183M1Z3.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</si>
</sst>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#&quot; / &quot;"/>
    <numFmt numFmtId="165" formatCode="d/m/yyyy"/>
    <numFmt numFmtId="166" formatCode="_-[$$-409]* #,##0.00_ ;_-[$$-409]* \-#,##0.00\ ;_-[$$-409]* &quot;-&quot;??_ ;_-@_ "/>
    <numFmt numFmtId="167" formatCode="[$-F800]dddd\,\ mmmm\ dd\,\ yyyy"/>
    <numFmt numFmtId="168" formatCode="[$-14009]dd/mm/yyyy;@"/>
    <numFmt numFmtId="169" formatCode="0.0"/>
  </numFmts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u/>
      <sz val="11"/>
      <color rgb="FF0000FF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</fills>
  <borders count="5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 style="medium">
        <color rgb="FF000000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rgb="FF000000"/>
      </top>
      <bottom/>
      <diagonal/>
    </border>
    <border>
      <left/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46">
    <xf numFmtId="0" fontId="0" fillId="0" borderId="0" xfId="0" applyFont="1" applyAlignment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0" fontId="6" fillId="0" borderId="0" xfId="0" applyFont="1"/>
    <xf numFmtId="49" fontId="6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wrapText="1"/>
    </xf>
    <xf numFmtId="165" fontId="6" fillId="0" borderId="0" xfId="0" applyNumberFormat="1" applyFont="1"/>
    <xf numFmtId="0" fontId="4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horizontal="left"/>
    </xf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5" fillId="0" borderId="14" xfId="0" applyFont="1" applyBorder="1" applyAlignment="1"/>
    <xf numFmtId="0" fontId="6" fillId="0" borderId="8" xfId="0" applyFont="1" applyBorder="1"/>
    <xf numFmtId="0" fontId="6" fillId="0" borderId="7" xfId="0" applyFont="1" applyBorder="1"/>
    <xf numFmtId="0" fontId="4" fillId="0" borderId="0" xfId="0" applyFont="1" applyAlignment="1">
      <alignment horizontal="center"/>
    </xf>
    <xf numFmtId="0" fontId="6" fillId="0" borderId="1" xfId="0" applyFont="1" applyBorder="1"/>
    <xf numFmtId="0" fontId="4" fillId="0" borderId="6" xfId="0" applyFont="1" applyBorder="1" applyAlignment="1">
      <alignment horizontal="center"/>
    </xf>
    <xf numFmtId="0" fontId="6" fillId="0" borderId="2" xfId="0" applyFont="1" applyBorder="1"/>
    <xf numFmtId="0" fontId="4" fillId="0" borderId="5" xfId="0" applyFont="1" applyBorder="1"/>
    <xf numFmtId="0" fontId="16" fillId="0" borderId="5" xfId="0" applyFont="1" applyBorder="1"/>
    <xf numFmtId="0" fontId="16" fillId="0" borderId="0" xfId="0" applyFont="1"/>
    <xf numFmtId="0" fontId="16" fillId="0" borderId="6" xfId="0" applyFont="1" applyBorder="1"/>
    <xf numFmtId="0" fontId="17" fillId="0" borderId="5" xfId="0" applyFont="1" applyBorder="1"/>
    <xf numFmtId="0" fontId="18" fillId="0" borderId="7" xfId="0" applyFont="1" applyBorder="1"/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6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4" fillId="0" borderId="1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9" xfId="0" applyFont="1" applyBorder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6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6" fillId="0" borderId="0" xfId="0" applyFont="1" applyAlignment="1"/>
    <xf numFmtId="0" fontId="6" fillId="0" borderId="0" xfId="0" applyFont="1" applyAlignment="1">
      <alignment horizontal="left" vertical="top" wrapText="1"/>
    </xf>
    <xf numFmtId="0" fontId="6" fillId="0" borderId="26" xfId="0" applyFont="1" applyBorder="1"/>
    <xf numFmtId="0" fontId="22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165" fontId="16" fillId="0" borderId="0" xfId="0" applyNumberFormat="1" applyFont="1"/>
    <xf numFmtId="0" fontId="0" fillId="0" borderId="0" xfId="0" applyFont="1" applyAlignment="1"/>
    <xf numFmtId="0" fontId="3" fillId="0" borderId="0" xfId="0" applyFont="1" applyAlignment="1"/>
    <xf numFmtId="0" fontId="6" fillId="0" borderId="16" xfId="0" applyFont="1" applyBorder="1"/>
    <xf numFmtId="0" fontId="6" fillId="0" borderId="19" xfId="0" applyFont="1" applyBorder="1"/>
    <xf numFmtId="0" fontId="6" fillId="0" borderId="17" xfId="0" applyFont="1" applyBorder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4" fillId="0" borderId="34" xfId="0" applyFont="1" applyBorder="1" applyAlignment="1">
      <alignment horizontal="center"/>
    </xf>
    <xf numFmtId="166" fontId="0" fillId="0" borderId="0" xfId="0" applyNumberFormat="1" applyFont="1" applyAlignment="1"/>
    <xf numFmtId="0" fontId="6" fillId="0" borderId="0" xfId="0" applyFont="1" applyAlignment="1">
      <alignment horizontal="left" wrapText="1"/>
    </xf>
    <xf numFmtId="0" fontId="0" fillId="0" borderId="0" xfId="0" applyFont="1" applyAlignment="1"/>
    <xf numFmtId="2" fontId="0" fillId="0" borderId="0" xfId="0" applyNumberFormat="1" applyFont="1" applyAlignment="1"/>
    <xf numFmtId="169" fontId="0" fillId="0" borderId="0" xfId="0" applyNumberFormat="1" applyFont="1" applyAlignment="1"/>
    <xf numFmtId="0" fontId="2" fillId="3" borderId="0" xfId="0" applyFont="1" applyFill="1" applyAlignment="1"/>
    <xf numFmtId="0" fontId="24" fillId="3" borderId="0" xfId="0" applyFont="1" applyFill="1" applyAlignment="1"/>
    <xf numFmtId="0" fontId="0" fillId="0" borderId="0" xfId="0" applyFont="1" applyAlignment="1"/>
    <xf numFmtId="2" fontId="24" fillId="3" borderId="0" xfId="0" applyNumberFormat="1" applyFont="1" applyFill="1" applyAlignment="1"/>
    <xf numFmtId="0" fontId="1" fillId="0" borderId="0" xfId="0" applyFont="1"/>
    <xf numFmtId="0" fontId="0" fillId="0" borderId="0" xfId="0" applyFont="1" applyAlignment="1"/>
    <xf numFmtId="166" fontId="6" fillId="0" borderId="33" xfId="0" applyNumberFormat="1" applyFont="1" applyBorder="1" applyAlignment="1">
      <alignment horizontal="center"/>
    </xf>
    <xf numFmtId="0" fontId="4" fillId="0" borderId="35" xfId="0" applyFont="1" applyBorder="1"/>
    <xf numFmtId="0" fontId="6" fillId="0" borderId="36" xfId="0" applyFont="1" applyBorder="1"/>
    <xf numFmtId="0" fontId="6" fillId="0" borderId="41" xfId="0" applyFont="1" applyBorder="1"/>
    <xf numFmtId="0" fontId="6" fillId="0" borderId="43" xfId="0" applyFont="1" applyBorder="1"/>
    <xf numFmtId="0" fontId="9" fillId="0" borderId="43" xfId="0" applyFont="1" applyBorder="1"/>
    <xf numFmtId="0" fontId="10" fillId="2" borderId="43" xfId="0" applyFont="1" applyFill="1" applyBorder="1"/>
    <xf numFmtId="0" fontId="4" fillId="0" borderId="47" xfId="0" applyFont="1" applyBorder="1"/>
    <xf numFmtId="0" fontId="6" fillId="0" borderId="54" xfId="0" applyFont="1" applyBorder="1" applyAlignment="1">
      <alignment horizontal="center"/>
    </xf>
    <xf numFmtId="0" fontId="6" fillId="0" borderId="46" xfId="0" applyFont="1" applyBorder="1"/>
    <xf numFmtId="0" fontId="6" fillId="0" borderId="16" xfId="0" applyFont="1" applyBorder="1" applyAlignment="1">
      <alignment horizontal="left"/>
    </xf>
    <xf numFmtId="0" fontId="6" fillId="0" borderId="51" xfId="0" applyFont="1" applyBorder="1"/>
    <xf numFmtId="0" fontId="4" fillId="0" borderId="51" xfId="0" applyFont="1" applyBorder="1" applyAlignment="1"/>
    <xf numFmtId="0" fontId="6" fillId="0" borderId="20" xfId="0" applyFont="1" applyBorder="1"/>
    <xf numFmtId="0" fontId="6" fillId="0" borderId="15" xfId="0" applyFont="1" applyBorder="1"/>
    <xf numFmtId="0" fontId="6" fillId="0" borderId="50" xfId="0" applyFont="1" applyBorder="1"/>
    <xf numFmtId="0" fontId="6" fillId="0" borderId="39" xfId="0" applyFont="1" applyBorder="1"/>
    <xf numFmtId="0" fontId="6" fillId="0" borderId="40" xfId="0" applyFont="1" applyBorder="1"/>
    <xf numFmtId="0" fontId="4" fillId="0" borderId="0" xfId="0" applyFont="1" applyAlignment="1">
      <alignment horizontal="left" vertical="center"/>
    </xf>
    <xf numFmtId="0" fontId="0" fillId="0" borderId="0" xfId="0" applyFont="1" applyAlignment="1"/>
    <xf numFmtId="0" fontId="6" fillId="0" borderId="0" xfId="0" applyFont="1" applyAlignment="1">
      <alignment horizontal="left" vertical="top" wrapText="1"/>
    </xf>
    <xf numFmtId="0" fontId="4" fillId="0" borderId="2" xfId="0" applyFont="1" applyBorder="1" applyAlignment="1">
      <alignment horizontal="center"/>
    </xf>
    <xf numFmtId="0" fontId="8" fillId="0" borderId="3" xfId="0" applyFont="1" applyBorder="1"/>
    <xf numFmtId="0" fontId="8" fillId="0" borderId="4" xfId="0" applyFont="1" applyBorder="1"/>
    <xf numFmtId="0" fontId="8" fillId="0" borderId="45" xfId="0" applyFont="1" applyBorder="1"/>
    <xf numFmtId="0" fontId="0" fillId="0" borderId="0" xfId="0" applyFont="1" applyAlignment="1">
      <alignment horizontal="center"/>
    </xf>
    <xf numFmtId="0" fontId="7" fillId="0" borderId="16" xfId="0" applyFont="1" applyBorder="1" applyAlignment="1">
      <alignment horizontal="center" vertical="center" wrapText="1"/>
    </xf>
    <xf numFmtId="0" fontId="0" fillId="0" borderId="16" xfId="0" applyFont="1" applyBorder="1" applyAlignment="1"/>
    <xf numFmtId="0" fontId="8" fillId="0" borderId="16" xfId="0" applyFont="1" applyBorder="1"/>
    <xf numFmtId="0" fontId="4" fillId="0" borderId="42" xfId="0" applyFont="1" applyBorder="1" applyAlignment="1">
      <alignment horizontal="center"/>
    </xf>
    <xf numFmtId="0" fontId="8" fillId="0" borderId="36" xfId="0" applyFont="1" applyBorder="1"/>
    <xf numFmtId="0" fontId="8" fillId="0" borderId="41" xfId="0" applyFont="1" applyBorder="1"/>
    <xf numFmtId="0" fontId="8" fillId="0" borderId="37" xfId="0" applyFont="1" applyBorder="1"/>
    <xf numFmtId="164" fontId="6" fillId="0" borderId="18" xfId="0" applyNumberFormat="1" applyFont="1" applyBorder="1" applyAlignment="1">
      <alignment horizontal="center"/>
    </xf>
    <xf numFmtId="0" fontId="8" fillId="0" borderId="19" xfId="0" applyFont="1" applyBorder="1"/>
    <xf numFmtId="0" fontId="8" fillId="0" borderId="20" xfId="0" applyFont="1" applyBorder="1"/>
    <xf numFmtId="168" fontId="6" fillId="0" borderId="18" xfId="0" applyNumberFormat="1" applyFont="1" applyBorder="1" applyAlignment="1">
      <alignment horizontal="center"/>
    </xf>
    <xf numFmtId="168" fontId="8" fillId="0" borderId="19" xfId="0" applyNumberFormat="1" applyFont="1" applyBorder="1"/>
    <xf numFmtId="168" fontId="8" fillId="0" borderId="44" xfId="0" applyNumberFormat="1" applyFont="1" applyBorder="1"/>
    <xf numFmtId="0" fontId="6" fillId="0" borderId="18" xfId="0" applyFont="1" applyBorder="1" applyAlignment="1">
      <alignment horizontal="center"/>
    </xf>
    <xf numFmtId="165" fontId="4" fillId="0" borderId="18" xfId="0" applyNumberFormat="1" applyFont="1" applyBorder="1" applyAlignment="1">
      <alignment horizontal="center"/>
    </xf>
    <xf numFmtId="0" fontId="8" fillId="0" borderId="44" xfId="0" applyFont="1" applyBorder="1"/>
    <xf numFmtId="0" fontId="4" fillId="0" borderId="18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8" fillId="0" borderId="17" xfId="0" applyFont="1" applyBorder="1"/>
    <xf numFmtId="0" fontId="8" fillId="0" borderId="46" xfId="0" applyFont="1" applyBorder="1"/>
    <xf numFmtId="0" fontId="4" fillId="0" borderId="47" xfId="0" applyFont="1" applyBorder="1" applyAlignment="1">
      <alignment horizontal="left"/>
    </xf>
    <xf numFmtId="0" fontId="4" fillId="0" borderId="9" xfId="0" applyFont="1" applyBorder="1" applyAlignment="1">
      <alignment horizontal="center"/>
    </xf>
    <xf numFmtId="0" fontId="8" fillId="0" borderId="10" xfId="0" applyFont="1" applyBorder="1"/>
    <xf numFmtId="0" fontId="8" fillId="0" borderId="11" xfId="0" applyFont="1" applyBorder="1"/>
    <xf numFmtId="0" fontId="4" fillId="0" borderId="10" xfId="0" applyFont="1" applyBorder="1" applyAlignment="1">
      <alignment horizontal="center"/>
    </xf>
    <xf numFmtId="0" fontId="8" fillId="0" borderId="48" xfId="0" applyFont="1" applyBorder="1"/>
    <xf numFmtId="0" fontId="11" fillId="0" borderId="43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4" fillId="0" borderId="15" xfId="0" applyFont="1" applyBorder="1" applyAlignment="1">
      <alignment horizontal="center" vertical="center"/>
    </xf>
    <xf numFmtId="0" fontId="8" fillId="0" borderId="18" xfId="0" applyFont="1" applyBorder="1"/>
    <xf numFmtId="0" fontId="12" fillId="0" borderId="15" xfId="0" applyFont="1" applyBorder="1" applyAlignment="1">
      <alignment horizontal="center" vertical="center"/>
    </xf>
    <xf numFmtId="0" fontId="4" fillId="0" borderId="43" xfId="0" applyFont="1" applyBorder="1" applyAlignment="1">
      <alignment horizontal="center"/>
    </xf>
    <xf numFmtId="0" fontId="4" fillId="0" borderId="43" xfId="0" applyFont="1" applyBorder="1" applyAlignment="1">
      <alignment horizontal="left"/>
    </xf>
    <xf numFmtId="0" fontId="4" fillId="0" borderId="15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8" fillId="0" borderId="15" xfId="0" applyFont="1" applyBorder="1"/>
    <xf numFmtId="0" fontId="8" fillId="0" borderId="50" xfId="0" applyFont="1" applyBorder="1"/>
    <xf numFmtId="0" fontId="8" fillId="0" borderId="39" xfId="0" applyFont="1" applyBorder="1"/>
    <xf numFmtId="0" fontId="8" fillId="0" borderId="40" xfId="0" applyFont="1" applyBorder="1"/>
    <xf numFmtId="0" fontId="6" fillId="0" borderId="43" xfId="0" applyFont="1" applyBorder="1" applyAlignment="1">
      <alignment horizontal="left" vertical="top" wrapText="1"/>
    </xf>
    <xf numFmtId="0" fontId="8" fillId="0" borderId="43" xfId="0" applyFont="1" applyBorder="1"/>
    <xf numFmtId="0" fontId="8" fillId="0" borderId="38" xfId="0" applyFont="1" applyBorder="1"/>
    <xf numFmtId="0" fontId="8" fillId="0" borderId="49" xfId="0" applyFont="1" applyBorder="1"/>
    <xf numFmtId="0" fontId="6" fillId="0" borderId="51" xfId="0" applyFont="1" applyBorder="1" applyAlignment="1">
      <alignment horizontal="center"/>
    </xf>
    <xf numFmtId="0" fontId="4" fillId="0" borderId="47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52" xfId="0" applyFont="1" applyBorder="1" applyAlignment="1">
      <alignment horizontal="center" vertical="center"/>
    </xf>
    <xf numFmtId="0" fontId="8" fillId="0" borderId="53" xfId="0" applyFont="1" applyBorder="1"/>
    <xf numFmtId="0" fontId="4" fillId="0" borderId="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8" fillId="0" borderId="13" xfId="0" applyFont="1" applyBorder="1"/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166" fontId="6" fillId="0" borderId="10" xfId="0" applyNumberFormat="1" applyFont="1" applyBorder="1" applyAlignment="1">
      <alignment horizontal="center"/>
    </xf>
    <xf numFmtId="166" fontId="8" fillId="0" borderId="48" xfId="0" applyNumberFormat="1" applyFont="1" applyBorder="1"/>
    <xf numFmtId="0" fontId="4" fillId="0" borderId="31" xfId="0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6" fillId="0" borderId="43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6" fillId="0" borderId="10" xfId="0" applyNumberFormat="1" applyFont="1" applyBorder="1" applyAlignment="1">
      <alignment horizontal="center"/>
    </xf>
    <xf numFmtId="0" fontId="8" fillId="0" borderId="48" xfId="0" applyNumberFormat="1" applyFont="1" applyBorder="1"/>
    <xf numFmtId="166" fontId="13" fillId="0" borderId="2" xfId="0" applyNumberFormat="1" applyFont="1" applyBorder="1" applyAlignment="1">
      <alignment horizontal="center" vertical="center"/>
    </xf>
    <xf numFmtId="166" fontId="8" fillId="0" borderId="45" xfId="0" applyNumberFormat="1" applyFont="1" applyBorder="1"/>
    <xf numFmtId="166" fontId="8" fillId="0" borderId="18" xfId="0" applyNumberFormat="1" applyFont="1" applyBorder="1"/>
    <xf numFmtId="166" fontId="8" fillId="0" borderId="44" xfId="0" applyNumberFormat="1" applyFont="1" applyBorder="1"/>
    <xf numFmtId="0" fontId="14" fillId="0" borderId="47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6" fillId="0" borderId="43" xfId="0" applyFont="1" applyBorder="1" applyAlignment="1">
      <alignment horizontal="left" wrapText="1"/>
    </xf>
    <xf numFmtId="0" fontId="15" fillId="0" borderId="43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8" fillId="0" borderId="6" xfId="0" applyFont="1" applyBorder="1"/>
    <xf numFmtId="0" fontId="11" fillId="0" borderId="2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/>
    </xf>
    <xf numFmtId="0" fontId="8" fillId="0" borderId="8" xfId="0" applyFont="1" applyBorder="1"/>
    <xf numFmtId="0" fontId="8" fillId="0" borderId="1" xfId="0" applyFont="1" applyBorder="1"/>
    <xf numFmtId="0" fontId="6" fillId="0" borderId="5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6" fillId="0" borderId="5" xfId="0" applyFont="1" applyBorder="1" applyAlignment="1">
      <alignment horizontal="left" vertical="center"/>
    </xf>
    <xf numFmtId="0" fontId="8" fillId="0" borderId="7" xfId="0" applyFont="1" applyBorder="1"/>
    <xf numFmtId="0" fontId="6" fillId="0" borderId="5" xfId="0" applyFont="1" applyBorder="1" applyAlignment="1">
      <alignment horizontal="left" vertical="top" wrapText="1"/>
    </xf>
    <xf numFmtId="0" fontId="8" fillId="0" borderId="5" xfId="0" applyFont="1" applyBorder="1"/>
    <xf numFmtId="0" fontId="15" fillId="0" borderId="2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6" fillId="0" borderId="5" xfId="0" applyFont="1" applyBorder="1" applyAlignment="1">
      <alignment horizontal="left"/>
    </xf>
    <xf numFmtId="164" fontId="6" fillId="0" borderId="7" xfId="0" applyNumberFormat="1" applyFont="1" applyBorder="1" applyAlignment="1">
      <alignment horizontal="center"/>
    </xf>
    <xf numFmtId="168" fontId="6" fillId="0" borderId="7" xfId="0" applyNumberFormat="1" applyFont="1" applyBorder="1" applyAlignment="1">
      <alignment horizontal="center"/>
    </xf>
    <xf numFmtId="168" fontId="8" fillId="0" borderId="8" xfId="0" applyNumberFormat="1" applyFont="1" applyBorder="1"/>
    <xf numFmtId="0" fontId="4" fillId="0" borderId="7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 wrapText="1"/>
    </xf>
    <xf numFmtId="0" fontId="15" fillId="2" borderId="15" xfId="0" applyFont="1" applyFill="1" applyBorder="1" applyAlignment="1">
      <alignment horizontal="left" vertical="top" wrapText="1"/>
    </xf>
    <xf numFmtId="0" fontId="15" fillId="2" borderId="18" xfId="0" applyFont="1" applyFill="1" applyBorder="1" applyAlignment="1">
      <alignment horizontal="left" vertical="top"/>
    </xf>
    <xf numFmtId="0" fontId="6" fillId="0" borderId="7" xfId="0" applyFont="1" applyBorder="1" applyAlignment="1">
      <alignment horizontal="left"/>
    </xf>
    <xf numFmtId="0" fontId="4" fillId="0" borderId="0" xfId="0" applyFont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0" xfId="0" applyFont="1" applyAlignment="1">
      <alignment horizontal="center" vertical="top"/>
    </xf>
    <xf numFmtId="0" fontId="15" fillId="0" borderId="5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2" fontId="6" fillId="0" borderId="9" xfId="0" applyNumberFormat="1" applyFont="1" applyBorder="1" applyAlignment="1">
      <alignment horizontal="center"/>
    </xf>
    <xf numFmtId="2" fontId="4" fillId="0" borderId="10" xfId="0" applyNumberFormat="1" applyFont="1" applyBorder="1" applyAlignment="1">
      <alignment horizontal="center"/>
    </xf>
    <xf numFmtId="0" fontId="21" fillId="0" borderId="5" xfId="0" applyFont="1" applyBorder="1" applyAlignment="1">
      <alignment horizontal="center"/>
    </xf>
    <xf numFmtId="0" fontId="6" fillId="0" borderId="5" xfId="0" applyFont="1" applyBorder="1" applyAlignment="1">
      <alignment horizontal="left" wrapText="1"/>
    </xf>
    <xf numFmtId="0" fontId="4" fillId="0" borderId="11" xfId="0" applyFont="1" applyBorder="1" applyAlignment="1">
      <alignment horizontal="center"/>
    </xf>
    <xf numFmtId="167" fontId="6" fillId="0" borderId="0" xfId="0" applyNumberFormat="1" applyFont="1" applyAlignment="1">
      <alignment horizontal="center"/>
    </xf>
    <xf numFmtId="0" fontId="19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8" fillId="0" borderId="6" xfId="0" applyFont="1" applyBorder="1" applyAlignment="1">
      <alignment vertical="center"/>
    </xf>
    <xf numFmtId="0" fontId="6" fillId="0" borderId="0" xfId="0" applyFont="1" applyAlignment="1">
      <alignment horizontal="left" wrapText="1"/>
    </xf>
    <xf numFmtId="0" fontId="6" fillId="0" borderId="0" xfId="0" applyFont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4" fillId="0" borderId="29" xfId="0" applyNumberFormat="1" applyFont="1" applyBorder="1" applyAlignment="1">
      <alignment horizontal="center"/>
    </xf>
    <xf numFmtId="0" fontId="8" fillId="0" borderId="30" xfId="0" applyFont="1" applyBorder="1"/>
    <xf numFmtId="2" fontId="4" fillId="0" borderId="9" xfId="0" applyNumberFormat="1" applyFont="1" applyBorder="1" applyAlignment="1">
      <alignment horizontal="center"/>
    </xf>
    <xf numFmtId="2" fontId="8" fillId="0" borderId="11" xfId="0" applyNumberFormat="1" applyFont="1" applyBorder="1"/>
    <xf numFmtId="4" fontId="4" fillId="0" borderId="9" xfId="0" applyNumberFormat="1" applyFont="1" applyBorder="1" applyAlignment="1">
      <alignment horizontal="center"/>
    </xf>
    <xf numFmtId="0" fontId="16" fillId="0" borderId="0" xfId="0" applyFont="1" applyAlignment="1">
      <alignment horizontal="center"/>
    </xf>
    <xf numFmtId="0" fontId="4" fillId="0" borderId="9" xfId="0" applyFont="1" applyBorder="1" applyAlignment="1">
      <alignment horizontal="left"/>
    </xf>
    <xf numFmtId="1" fontId="4" fillId="0" borderId="10" xfId="0" applyNumberFormat="1" applyFont="1" applyBorder="1" applyAlignment="1">
      <alignment horizontal="center"/>
    </xf>
    <xf numFmtId="1" fontId="4" fillId="0" borderId="9" xfId="0" applyNumberFormat="1" applyFont="1" applyBorder="1" applyAlignment="1">
      <alignment horizontal="center"/>
    </xf>
    <xf numFmtId="0" fontId="8" fillId="0" borderId="21" xfId="0" applyFont="1" applyBorder="1"/>
    <xf numFmtId="0" fontId="6" fillId="0" borderId="10" xfId="0" applyFont="1" applyBorder="1" applyAlignment="1">
      <alignment horizontal="left"/>
    </xf>
    <xf numFmtId="0" fontId="6" fillId="0" borderId="11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/>
    </xf>
    <xf numFmtId="0" fontId="8" fillId="0" borderId="25" xfId="0" applyFont="1" applyBorder="1"/>
    <xf numFmtId="0" fontId="16" fillId="0" borderId="22" xfId="0" applyFont="1" applyBorder="1" applyAlignment="1">
      <alignment horizontal="center"/>
    </xf>
    <xf numFmtId="0" fontId="8" fillId="0" borderId="23" xfId="0" applyFont="1" applyBorder="1"/>
    <xf numFmtId="0" fontId="23" fillId="0" borderId="5" xfId="0" applyFont="1" applyBorder="1" applyAlignment="1">
      <alignment horizontal="left"/>
    </xf>
    <xf numFmtId="0" fontId="16" fillId="0" borderId="27" xfId="0" applyFont="1" applyBorder="1" applyAlignment="1">
      <alignment horizontal="center"/>
    </xf>
    <xf numFmtId="0" fontId="8" fillId="0" borderId="28" xfId="0" applyFont="1" applyBorder="1"/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38</xdr:row>
      <xdr:rowOff>66675</xdr:rowOff>
    </xdr:from>
    <xdr:to>
      <xdr:col>8</xdr:col>
      <xdr:colOff>514350</xdr:colOff>
      <xdr:row>41</xdr:row>
      <xdr:rowOff>134452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58075"/>
          <a:ext cx="1861555" cy="7631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269263</xdr:colOff>
      <xdr:row>38</xdr:row>
      <xdr:rowOff>1</xdr:rowOff>
    </xdr:from>
    <xdr:to>
      <xdr:col>9</xdr:col>
      <xdr:colOff>361949</xdr:colOff>
      <xdr:row>40</xdr:row>
      <xdr:rowOff>114301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A177F5BC-17D1-4CB7-93E0-5C2672053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5013" y="8001001"/>
          <a:ext cx="1254736" cy="5143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49760</xdr:colOff>
      <xdr:row>38</xdr:row>
      <xdr:rowOff>9526</xdr:rowOff>
    </xdr:from>
    <xdr:to>
      <xdr:col>2</xdr:col>
      <xdr:colOff>769942</xdr:colOff>
      <xdr:row>40</xdr:row>
      <xdr:rowOff>142876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E5F20EA-7AC8-4270-9CB6-7B3277446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785" y="8886826"/>
          <a:ext cx="1301207" cy="533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0"/>
  <sheetViews>
    <sheetView workbookViewId="0">
      <selection activeCell="B11" sqref="B11"/>
    </sheetView>
  </sheetViews>
  <sheetFormatPr defaultColWidth="14.42578125" defaultRowHeight="15" customHeight="1" x14ac:dyDescent="0.25"/>
  <cols>
    <col min="1" max="1" width="12.85546875" customWidth="1"/>
    <col min="2" max="2" width="18" customWidth="1"/>
    <col min="3" max="4" width="16.28515625" customWidth="1"/>
    <col min="5" max="5" width="39.28515625" customWidth="1"/>
    <col min="6" max="26" width="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80" t="s">
        <v>157</v>
      </c>
      <c r="B2" s="2" t="s">
        <v>5</v>
      </c>
      <c r="C2" s="2" t="s">
        <v>6</v>
      </c>
      <c r="D2" s="2" t="s">
        <v>7</v>
      </c>
      <c r="E2" s="2" t="s">
        <v>8</v>
      </c>
    </row>
    <row r="3" spans="1:5" x14ac:dyDescent="0.25">
      <c r="B3" s="2" t="s">
        <v>9</v>
      </c>
      <c r="D3" s="2" t="s">
        <v>10</v>
      </c>
      <c r="E3" s="2" t="s">
        <v>11</v>
      </c>
    </row>
    <row r="4" spans="1:5" x14ac:dyDescent="0.25">
      <c r="B4" s="2" t="s">
        <v>12</v>
      </c>
      <c r="D4" s="2" t="s">
        <v>13</v>
      </c>
      <c r="E4" s="2" t="s">
        <v>14</v>
      </c>
    </row>
    <row r="5" spans="1:5" x14ac:dyDescent="0.25">
      <c r="E5" s="2" t="s">
        <v>15</v>
      </c>
    </row>
    <row r="6" spans="1:5" ht="15" customHeight="1" x14ac:dyDescent="0.25">
      <c r="E6" s="63" t="s">
        <v>142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1"/>
  <sheetViews>
    <sheetView workbookViewId="0">
      <selection activeCell="B29" sqref="B29"/>
    </sheetView>
  </sheetViews>
  <sheetFormatPr defaultColWidth="14.42578125" defaultRowHeight="15" customHeight="1" x14ac:dyDescent="0.25"/>
  <cols>
    <col min="1" max="1" width="20.28515625" customWidth="1"/>
    <col min="2" max="2" width="39.5703125" customWidth="1"/>
    <col min="3" max="14" width="9.140625" customWidth="1"/>
    <col min="15" max="26" width="8.7109375" customWidth="1"/>
  </cols>
  <sheetData>
    <row r="1" spans="1:26" x14ac:dyDescent="0.25">
      <c r="A1" s="1" t="s">
        <v>16</v>
      </c>
      <c r="B1" s="3" t="s">
        <v>157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1" t="s">
        <v>17</v>
      </c>
      <c r="B2" s="5" t="s">
        <v>166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1" t="s">
        <v>18</v>
      </c>
      <c r="B3" s="6" t="str">
        <f>"BK0" &amp; B2 &amp; "/" &amp; B1</f>
        <v>BK020/26-27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1" t="s">
        <v>19</v>
      </c>
      <c r="B4" s="7">
        <v>46259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1" t="s">
        <v>20</v>
      </c>
      <c r="B5" s="8" t="str">
        <f>IF(B1="24-25","AD240424008317F",IF(B1="23-24","AD240322004861M",IF(B1="25-26","AD2403250650768",IF(B1="26-27","AD2403260504856",IF(B1="","select the financial year")))))</f>
        <v>AD2403260504856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s="62" customFormat="1" x14ac:dyDescent="0.25">
      <c r="A6" s="1" t="s">
        <v>55</v>
      </c>
      <c r="B6" s="8" t="s">
        <v>143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" customHeight="1" x14ac:dyDescent="0.25">
      <c r="A7" s="100" t="s">
        <v>21</v>
      </c>
      <c r="B7" s="102" t="s">
        <v>160</v>
      </c>
      <c r="C7" s="11"/>
      <c r="D7" s="11"/>
      <c r="E7" s="11"/>
      <c r="F7" s="11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30" customHeight="1" x14ac:dyDescent="0.25">
      <c r="A8" s="101"/>
      <c r="B8" s="101"/>
      <c r="C8" s="11"/>
      <c r="D8" s="11"/>
      <c r="E8" s="11"/>
      <c r="F8" s="11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5.25" customHeight="1" x14ac:dyDescent="0.25">
      <c r="A9" s="101"/>
      <c r="B9" s="101"/>
      <c r="C9" s="11"/>
      <c r="D9" s="11"/>
      <c r="E9" s="11"/>
      <c r="F9" s="11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x14ac:dyDescent="0.25">
      <c r="A10" s="101"/>
      <c r="B10" s="101"/>
      <c r="C10" s="11"/>
      <c r="D10" s="11"/>
      <c r="E10" s="11"/>
      <c r="F10" s="11"/>
      <c r="G10" s="4"/>
      <c r="H10" s="4"/>
      <c r="I10" s="4"/>
      <c r="J10" s="4"/>
      <c r="K10" s="4"/>
      <c r="L10" s="4"/>
      <c r="M10" s="4"/>
      <c r="N10" s="12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101"/>
      <c r="B11" s="101"/>
      <c r="C11" s="11"/>
      <c r="D11" s="11"/>
      <c r="E11" s="11"/>
      <c r="F11" s="11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34.5" customHeight="1" x14ac:dyDescent="0.25">
      <c r="A12" s="101"/>
      <c r="B12" s="101"/>
      <c r="C12" s="11"/>
      <c r="D12" s="11"/>
      <c r="E12" s="11"/>
      <c r="F12" s="11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25">
      <c r="A13" s="9" t="s">
        <v>22</v>
      </c>
      <c r="B13" s="10">
        <v>1</v>
      </c>
      <c r="C13" s="11"/>
      <c r="D13" s="11"/>
      <c r="E13" s="11"/>
      <c r="F13" s="11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5">
      <c r="A14" s="1" t="s">
        <v>23</v>
      </c>
      <c r="B14" s="3" t="s">
        <v>9</v>
      </c>
      <c r="C14" s="3"/>
      <c r="D14" s="3"/>
      <c r="E14" s="3"/>
      <c r="F14" s="3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1" t="s">
        <v>24</v>
      </c>
      <c r="B15" s="3" t="s">
        <v>6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1" t="s">
        <v>25</v>
      </c>
      <c r="B16" s="3" t="s">
        <v>13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1" t="s">
        <v>26</v>
      </c>
      <c r="B17" s="3" t="s">
        <v>15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1" t="s">
        <v>27</v>
      </c>
      <c r="B18" s="3" t="s">
        <v>149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30" x14ac:dyDescent="0.25">
      <c r="A19" s="13" t="s">
        <v>28</v>
      </c>
      <c r="B19" s="3" t="s">
        <v>144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13" t="s">
        <v>29</v>
      </c>
      <c r="B20" s="3" t="s">
        <v>144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13" t="s">
        <v>30</v>
      </c>
      <c r="B21" s="4" t="s">
        <v>158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3" t="s">
        <v>31</v>
      </c>
      <c r="B22" s="4" t="s">
        <v>158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4" t="s">
        <v>32</v>
      </c>
      <c r="B23" s="3" t="s">
        <v>145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 t="s">
        <v>33</v>
      </c>
      <c r="B24" s="72" t="s">
        <v>167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 t="s">
        <v>34</v>
      </c>
      <c r="B25" s="15">
        <v>245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25">
      <c r="A26" s="1" t="s">
        <v>35</v>
      </c>
      <c r="B26" s="15">
        <v>466.07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4" t="s">
        <v>36</v>
      </c>
      <c r="B27" s="15">
        <v>20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1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4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4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4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4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/>
      <c r="B34" s="3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 x14ac:dyDescent="0.25">
      <c r="A1000" s="4"/>
      <c r="B1000" s="3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 ht="15.75" customHeight="1" x14ac:dyDescent="0.25">
      <c r="A1001" s="4"/>
      <c r="B1001" s="3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</sheetData>
  <sheetProtection selectLockedCells="1"/>
  <mergeCells count="2">
    <mergeCell ref="A7:A12"/>
    <mergeCell ref="B7:B12"/>
  </mergeCells>
  <conditionalFormatting sqref="B1:B20 B23:B27">
    <cfRule type="containsBlanks" dxfId="4" priority="1">
      <formula>LEN(TRIM(B1))=0</formula>
    </cfRule>
  </conditionalFormatting>
  <conditionalFormatting sqref="B5:B6">
    <cfRule type="containsText" dxfId="3" priority="2" operator="containsText" text="FALSE">
      <formula>NOT(ISERROR(SEARCH(("FALSE"),(B5))))</formula>
    </cfRule>
  </conditionalFormatting>
  <conditionalFormatting sqref="B5:B6">
    <cfRule type="containsText" dxfId="2" priority="3" operator="containsText" text="select the financial year">
      <formula>NOT(ISERROR(SEARCH(("select the financial year"),(B5))))</formula>
    </cfRule>
  </conditionalFormatting>
  <dataValidations count="3">
    <dataValidation type="decimal" allowBlank="1" showErrorMessage="1" sqref="B13">
      <formula1>1</formula1>
      <formula2>100</formula2>
    </dataValidation>
    <dataValidation type="date" operator="greaterThan" allowBlank="1" showInputMessage="1" showErrorMessage="1" prompt="kindly enter date" sqref="B4">
      <formula1>44927</formula1>
    </dataValidation>
    <dataValidation type="decimal" allowBlank="1" showInputMessage="1" showErrorMessage="1" prompt="kindly enter numeric values only" sqref="B25:B27">
      <formula1>0</formula1>
      <formula2>9999999999</formula2>
    </dataValidation>
  </dataValidation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'company data'!$B$2:$B$13</xm:f>
          </x14:formula1>
          <xm:sqref>B14</xm:sqref>
        </x14:dataValidation>
        <x14:dataValidation type="list" allowBlank="1" showErrorMessage="1">
          <x14:formula1>
            <xm:f>'company data'!$D$2:$D$23</xm:f>
          </x14:formula1>
          <xm:sqref>B16</xm:sqref>
        </x14:dataValidation>
        <x14:dataValidation type="list" allowBlank="1" showErrorMessage="1">
          <x14:formula1>
            <xm:f>'company data'!$A$2:$A$7</xm:f>
          </x14:formula1>
          <xm:sqref>B1</xm:sqref>
        </x14:dataValidation>
        <x14:dataValidation type="list" allowBlank="1" showErrorMessage="1">
          <x14:formula1>
            <xm:f>'company data'!$E$2:$E$18</xm:f>
          </x14:formula1>
          <xm:sqref>B17</xm:sqref>
        </x14:dataValidation>
        <x14:dataValidation type="list" allowBlank="1" showErrorMessage="1">
          <x14:formula1>
            <xm:f>'company data'!$C$2:$C$16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1000"/>
  <sheetViews>
    <sheetView topLeftCell="A10" zoomScaleNormal="100" workbookViewId="0">
      <selection activeCell="L37" sqref="L37"/>
    </sheetView>
  </sheetViews>
  <sheetFormatPr defaultColWidth="14.42578125" defaultRowHeight="15" customHeight="1" x14ac:dyDescent="0.25"/>
  <cols>
    <col min="1" max="1" width="8.7109375" style="81" customWidth="1"/>
    <col min="2" max="2" width="8.28515625" style="81" customWidth="1"/>
    <col min="3" max="3" width="8.7109375" style="81" customWidth="1"/>
    <col min="4" max="4" width="18.28515625" style="81" customWidth="1"/>
    <col min="5" max="5" width="9.7109375" style="81" customWidth="1"/>
    <col min="6" max="6" width="6.5703125" style="81" customWidth="1"/>
    <col min="7" max="7" width="4.7109375" style="81" customWidth="1"/>
    <col min="8" max="8" width="12.5703125" style="81" bestFit="1" customWidth="1"/>
    <col min="9" max="9" width="8.7109375" style="81" customWidth="1"/>
    <col min="10" max="10" width="11.42578125" style="81" customWidth="1"/>
    <col min="11" max="15" width="8.7109375" style="81" customWidth="1"/>
    <col min="16" max="16" width="10.28515625" style="81" bestFit="1" customWidth="1"/>
    <col min="17" max="17" width="8.7109375" style="81" customWidth="1"/>
    <col min="18" max="18" width="14.85546875" style="81" bestFit="1" customWidth="1"/>
    <col min="19" max="26" width="8.7109375" style="81" customWidth="1"/>
    <col min="27" max="16384" width="14.42578125" style="81"/>
  </cols>
  <sheetData>
    <row r="1" spans="1:10" x14ac:dyDescent="0.25">
      <c r="A1" s="108" t="s">
        <v>161</v>
      </c>
      <c r="B1" s="109"/>
      <c r="C1" s="109"/>
      <c r="D1" s="109"/>
      <c r="E1" s="109"/>
      <c r="F1" s="109"/>
      <c r="G1" s="109"/>
      <c r="H1" s="109"/>
      <c r="I1" s="109"/>
      <c r="J1" s="109"/>
    </row>
    <row r="2" spans="1:10" ht="16.5" customHeight="1" thickBot="1" x14ac:dyDescent="0.3">
      <c r="A2" s="110"/>
      <c r="B2" s="110"/>
      <c r="C2" s="110"/>
      <c r="D2" s="110"/>
      <c r="E2" s="110"/>
      <c r="F2" s="110"/>
      <c r="G2" s="110"/>
      <c r="H2" s="110"/>
      <c r="I2" s="110"/>
      <c r="J2" s="110"/>
    </row>
    <row r="3" spans="1:10" x14ac:dyDescent="0.25">
      <c r="A3" s="83" t="s">
        <v>37</v>
      </c>
      <c r="B3" s="84"/>
      <c r="C3" s="84"/>
      <c r="D3" s="85"/>
      <c r="E3" s="111" t="s">
        <v>38</v>
      </c>
      <c r="F3" s="112"/>
      <c r="G3" s="113"/>
      <c r="H3" s="111" t="s">
        <v>39</v>
      </c>
      <c r="I3" s="112"/>
      <c r="J3" s="114"/>
    </row>
    <row r="4" spans="1:10" ht="15.75" thickBot="1" x14ac:dyDescent="0.3">
      <c r="A4" s="86" t="s">
        <v>40</v>
      </c>
      <c r="B4" s="64"/>
      <c r="C4" s="64"/>
      <c r="D4" s="66"/>
      <c r="E4" s="115" t="str">
        <f>'input data'!B3</f>
        <v>BK020/26-27</v>
      </c>
      <c r="F4" s="116"/>
      <c r="G4" s="117"/>
      <c r="H4" s="118">
        <f>'input data'!B4</f>
        <v>46259</v>
      </c>
      <c r="I4" s="119"/>
      <c r="J4" s="120"/>
    </row>
    <row r="5" spans="1:10" x14ac:dyDescent="0.25">
      <c r="A5" s="87" t="s">
        <v>41</v>
      </c>
      <c r="B5" s="64"/>
      <c r="C5" s="64"/>
      <c r="D5" s="66"/>
      <c r="E5" s="103" t="s">
        <v>42</v>
      </c>
      <c r="F5" s="104"/>
      <c r="G5" s="105"/>
      <c r="H5" s="103" t="s">
        <v>43</v>
      </c>
      <c r="I5" s="104"/>
      <c r="J5" s="106"/>
    </row>
    <row r="6" spans="1:10" ht="15.75" thickBot="1" x14ac:dyDescent="0.3">
      <c r="A6" s="87" t="s">
        <v>44</v>
      </c>
      <c r="B6" s="64"/>
      <c r="C6" s="64"/>
      <c r="D6" s="66"/>
      <c r="E6" s="121"/>
      <c r="F6" s="116"/>
      <c r="G6" s="117"/>
      <c r="H6" s="122" t="str">
        <f>'input data'!B5</f>
        <v>AD2403260504856</v>
      </c>
      <c r="I6" s="116"/>
      <c r="J6" s="123"/>
    </row>
    <row r="7" spans="1:10" x14ac:dyDescent="0.25">
      <c r="A7" s="87" t="s">
        <v>45</v>
      </c>
      <c r="B7" s="64"/>
      <c r="C7" s="64"/>
      <c r="D7" s="66"/>
      <c r="E7" s="103" t="s">
        <v>46</v>
      </c>
      <c r="F7" s="104"/>
      <c r="G7" s="105"/>
      <c r="H7" s="103" t="s">
        <v>47</v>
      </c>
      <c r="I7" s="104"/>
      <c r="J7" s="106"/>
    </row>
    <row r="8" spans="1:10" ht="15.75" thickBot="1" x14ac:dyDescent="0.3">
      <c r="A8" s="86" t="s">
        <v>48</v>
      </c>
      <c r="B8" s="64"/>
      <c r="C8" s="64"/>
      <c r="D8" s="66"/>
      <c r="E8" s="121" t="s">
        <v>49</v>
      </c>
      <c r="F8" s="116"/>
      <c r="G8" s="117"/>
      <c r="H8" s="124" t="s">
        <v>50</v>
      </c>
      <c r="I8" s="116"/>
      <c r="J8" s="123"/>
    </row>
    <row r="9" spans="1:10" x14ac:dyDescent="0.25">
      <c r="A9" s="88" t="s">
        <v>51</v>
      </c>
      <c r="B9" s="64"/>
      <c r="C9" s="64"/>
      <c r="D9" s="66"/>
      <c r="E9" s="103" t="s">
        <v>52</v>
      </c>
      <c r="F9" s="104"/>
      <c r="G9" s="105"/>
      <c r="H9" s="103" t="s">
        <v>53</v>
      </c>
      <c r="I9" s="104"/>
      <c r="J9" s="106"/>
    </row>
    <row r="10" spans="1:10" ht="15.75" thickBot="1" x14ac:dyDescent="0.3">
      <c r="A10" s="88" t="s">
        <v>54</v>
      </c>
      <c r="B10" s="64"/>
      <c r="C10" s="64"/>
      <c r="D10" s="66"/>
      <c r="E10" s="125" t="str">
        <f>'input data'!B14</f>
        <v>Loose packing</v>
      </c>
      <c r="F10" s="109"/>
      <c r="G10" s="126"/>
      <c r="H10" s="125" t="str">
        <f>'input data'!B13 &amp; " x " &amp; 'input data'!B15</f>
        <v>1 x FCL</v>
      </c>
      <c r="I10" s="109"/>
      <c r="J10" s="127"/>
    </row>
    <row r="11" spans="1:10" ht="15.75" thickBot="1" x14ac:dyDescent="0.3">
      <c r="A11" s="128" t="s">
        <v>55</v>
      </c>
      <c r="B11" s="104"/>
      <c r="C11" s="104"/>
      <c r="D11" s="105"/>
      <c r="E11" s="129" t="s">
        <v>56</v>
      </c>
      <c r="F11" s="130"/>
      <c r="G11" s="131"/>
      <c r="H11" s="132" t="s">
        <v>57</v>
      </c>
      <c r="I11" s="130"/>
      <c r="J11" s="133"/>
    </row>
    <row r="12" spans="1:10" ht="15" customHeight="1" x14ac:dyDescent="0.25">
      <c r="A12" s="140" t="str">
        <f>'input data'!B6</f>
        <v>To the Order</v>
      </c>
      <c r="B12" s="109"/>
      <c r="C12" s="109"/>
      <c r="D12" s="126"/>
      <c r="E12" s="141" t="str">
        <f>'input data'!B16</f>
        <v>CNF</v>
      </c>
      <c r="F12" s="109"/>
      <c r="G12" s="126"/>
      <c r="H12" s="142" t="str">
        <f>'input data'!B17</f>
        <v>100% Against Documents</v>
      </c>
      <c r="I12" s="109"/>
      <c r="J12" s="127"/>
    </row>
    <row r="13" spans="1:10" ht="15.75" thickBot="1" x14ac:dyDescent="0.3">
      <c r="A13" s="86"/>
      <c r="B13" s="64"/>
      <c r="C13" s="64"/>
      <c r="D13" s="66"/>
      <c r="E13" s="137"/>
      <c r="F13" s="116"/>
      <c r="G13" s="117"/>
      <c r="H13" s="116"/>
      <c r="I13" s="116"/>
      <c r="J13" s="123"/>
    </row>
    <row r="14" spans="1:10" x14ac:dyDescent="0.25">
      <c r="A14" s="89" t="s">
        <v>58</v>
      </c>
      <c r="B14" s="16"/>
      <c r="C14" s="16"/>
      <c r="D14" s="17"/>
      <c r="E14" s="143" t="s">
        <v>156</v>
      </c>
      <c r="F14" s="104"/>
      <c r="G14" s="104"/>
      <c r="H14" s="104"/>
      <c r="I14" s="104"/>
      <c r="J14" s="106"/>
    </row>
    <row r="15" spans="1:10" x14ac:dyDescent="0.25">
      <c r="A15" s="148" t="str">
        <f>'input data'!B7</f>
        <v xml:space="preserve">A-A STONE INVESTMENT TRADING COMPANY 
LIMITED
 34/5 TRAN KHANH DU STREET, TAN DINH WARD, 
HOCHIMINH CITY, VIETNAM
 TAX:0317458134
 MAIL: AASTONEDOCS@GMAIL.COM
</v>
      </c>
      <c r="B15" s="109"/>
      <c r="C15" s="109"/>
      <c r="D15" s="126"/>
      <c r="E15" s="144"/>
      <c r="F15" s="109"/>
      <c r="G15" s="109"/>
      <c r="H15" s="109"/>
      <c r="I15" s="109"/>
      <c r="J15" s="127"/>
    </row>
    <row r="16" spans="1:10" x14ac:dyDescent="0.25">
      <c r="A16" s="149"/>
      <c r="B16" s="109"/>
      <c r="C16" s="109"/>
      <c r="D16" s="126"/>
      <c r="E16" s="144"/>
      <c r="F16" s="109"/>
      <c r="G16" s="109"/>
      <c r="H16" s="109"/>
      <c r="I16" s="109"/>
      <c r="J16" s="127"/>
    </row>
    <row r="17" spans="1:20" x14ac:dyDescent="0.25">
      <c r="A17" s="149"/>
      <c r="B17" s="109"/>
      <c r="C17" s="109"/>
      <c r="D17" s="126"/>
      <c r="E17" s="144"/>
      <c r="F17" s="109"/>
      <c r="G17" s="109"/>
      <c r="H17" s="109"/>
      <c r="I17" s="109"/>
      <c r="J17" s="127"/>
    </row>
    <row r="18" spans="1:20" x14ac:dyDescent="0.25">
      <c r="A18" s="149"/>
      <c r="B18" s="109"/>
      <c r="C18" s="109"/>
      <c r="D18" s="126"/>
      <c r="E18" s="144"/>
      <c r="F18" s="109"/>
      <c r="G18" s="109"/>
      <c r="H18" s="109"/>
      <c r="I18" s="109"/>
      <c r="J18" s="127"/>
    </row>
    <row r="19" spans="1:20" x14ac:dyDescent="0.25">
      <c r="A19" s="149"/>
      <c r="B19" s="109"/>
      <c r="C19" s="109"/>
      <c r="D19" s="126"/>
      <c r="E19" s="144"/>
      <c r="F19" s="109"/>
      <c r="G19" s="109"/>
      <c r="H19" s="109"/>
      <c r="I19" s="109"/>
      <c r="J19" s="127"/>
    </row>
    <row r="20" spans="1:20" ht="48" customHeight="1" thickBot="1" x14ac:dyDescent="0.3">
      <c r="A20" s="150"/>
      <c r="B20" s="146"/>
      <c r="C20" s="146"/>
      <c r="D20" s="151"/>
      <c r="E20" s="145"/>
      <c r="F20" s="146"/>
      <c r="G20" s="146"/>
      <c r="H20" s="146"/>
      <c r="I20" s="146"/>
      <c r="J20" s="147"/>
    </row>
    <row r="21" spans="1:20" ht="15.75" customHeight="1" x14ac:dyDescent="0.25">
      <c r="A21" s="134" t="s">
        <v>59</v>
      </c>
      <c r="B21" s="126"/>
      <c r="C21" s="135" t="s">
        <v>28</v>
      </c>
      <c r="D21" s="126"/>
      <c r="E21" s="135" t="s">
        <v>60</v>
      </c>
      <c r="F21" s="110"/>
      <c r="G21" s="126"/>
      <c r="H21" s="135" t="s">
        <v>32</v>
      </c>
      <c r="I21" s="110"/>
      <c r="J21" s="127"/>
    </row>
    <row r="22" spans="1:20" ht="14.25" customHeight="1" x14ac:dyDescent="0.25">
      <c r="A22" s="134" t="s">
        <v>61</v>
      </c>
      <c r="B22" s="126"/>
      <c r="C22" s="136" t="str">
        <f>'input data'!B19</f>
        <v>CHENNAI</v>
      </c>
      <c r="D22" s="126"/>
      <c r="E22" s="138" t="s">
        <v>62</v>
      </c>
      <c r="F22" s="109"/>
      <c r="G22" s="126"/>
      <c r="H22" s="138" t="str">
        <f>'input data'!B23</f>
        <v>VIETNAM</v>
      </c>
      <c r="I22" s="109"/>
      <c r="J22" s="127"/>
    </row>
    <row r="23" spans="1:20" ht="15" customHeight="1" thickBot="1" x14ac:dyDescent="0.3">
      <c r="A23" s="139"/>
      <c r="B23" s="126"/>
      <c r="C23" s="137"/>
      <c r="D23" s="117"/>
      <c r="E23" s="137"/>
      <c r="F23" s="116"/>
      <c r="G23" s="117"/>
      <c r="H23" s="137"/>
      <c r="I23" s="116"/>
      <c r="J23" s="123"/>
    </row>
    <row r="24" spans="1:20" ht="15.75" customHeight="1" x14ac:dyDescent="0.25">
      <c r="A24" s="153" t="s">
        <v>63</v>
      </c>
      <c r="B24" s="105"/>
      <c r="C24" s="154" t="s">
        <v>29</v>
      </c>
      <c r="D24" s="105"/>
      <c r="E24" s="103" t="s">
        <v>30</v>
      </c>
      <c r="F24" s="104"/>
      <c r="G24" s="105"/>
      <c r="H24" s="154" t="s">
        <v>31</v>
      </c>
      <c r="I24" s="104"/>
      <c r="J24" s="106"/>
    </row>
    <row r="25" spans="1:20" ht="15.75" customHeight="1" thickBot="1" x14ac:dyDescent="0.3">
      <c r="A25" s="152"/>
      <c r="B25" s="117"/>
      <c r="C25" s="124" t="str">
        <f>'input data'!B20</f>
        <v>CHENNAI</v>
      </c>
      <c r="D25" s="117"/>
      <c r="E25" s="124" t="str">
        <f>'input data'!B21</f>
        <v>DA NANG</v>
      </c>
      <c r="F25" s="116"/>
      <c r="G25" s="117"/>
      <c r="H25" s="124" t="str">
        <f>'input data'!B22</f>
        <v>DA NANG</v>
      </c>
      <c r="I25" s="116"/>
      <c r="J25" s="123"/>
    </row>
    <row r="26" spans="1:20" ht="15.75" customHeight="1" x14ac:dyDescent="0.25">
      <c r="A26" s="155" t="s">
        <v>64</v>
      </c>
      <c r="B26" s="157" t="s">
        <v>65</v>
      </c>
      <c r="C26" s="104"/>
      <c r="D26" s="105"/>
      <c r="E26" s="158" t="s">
        <v>66</v>
      </c>
      <c r="F26" s="103" t="s">
        <v>67</v>
      </c>
      <c r="G26" s="105"/>
      <c r="H26" s="22" t="s">
        <v>36</v>
      </c>
      <c r="I26" s="103" t="s">
        <v>68</v>
      </c>
      <c r="J26" s="106"/>
    </row>
    <row r="27" spans="1:20" ht="15.75" customHeight="1" thickBot="1" x14ac:dyDescent="0.3">
      <c r="A27" s="156"/>
      <c r="B27" s="144"/>
      <c r="C27" s="109"/>
      <c r="D27" s="126"/>
      <c r="E27" s="159"/>
      <c r="F27" s="124" t="s">
        <v>69</v>
      </c>
      <c r="G27" s="117"/>
      <c r="H27" s="70" t="s">
        <v>69</v>
      </c>
      <c r="I27" s="124" t="s">
        <v>70</v>
      </c>
      <c r="J27" s="123"/>
    </row>
    <row r="28" spans="1:20" ht="15.75" customHeight="1" thickBot="1" x14ac:dyDescent="0.3">
      <c r="A28" s="90">
        <v>1</v>
      </c>
      <c r="B28" s="160" t="str">
        <f>'input data'!B18</f>
        <v>NATURAL POLISHED GRANITE SLABS</v>
      </c>
      <c r="C28" s="130"/>
      <c r="D28" s="131"/>
      <c r="E28" s="25">
        <v>68022390</v>
      </c>
      <c r="F28" s="161">
        <f>'input data'!B26</f>
        <v>466.07</v>
      </c>
      <c r="G28" s="130"/>
      <c r="H28" s="82">
        <f>'input data'!B27</f>
        <v>20</v>
      </c>
      <c r="I28" s="162">
        <f>F28*H28</f>
        <v>9321.4</v>
      </c>
      <c r="J28" s="163"/>
      <c r="O28" s="71"/>
      <c r="P28" s="71"/>
      <c r="Q28" s="71"/>
    </row>
    <row r="29" spans="1:20" ht="15.75" customHeight="1" x14ac:dyDescent="0.25">
      <c r="A29" s="86" t="s">
        <v>33</v>
      </c>
      <c r="B29" s="64"/>
      <c r="C29" s="64" t="s">
        <v>34</v>
      </c>
      <c r="D29" s="64" t="s">
        <v>71</v>
      </c>
      <c r="E29" s="64" t="s">
        <v>72</v>
      </c>
      <c r="F29" s="64"/>
      <c r="G29" s="64"/>
      <c r="H29" s="164" t="s">
        <v>148</v>
      </c>
      <c r="I29" s="64"/>
      <c r="J29" s="91"/>
      <c r="S29" s="107"/>
      <c r="T29" s="107"/>
    </row>
    <row r="30" spans="1:20" ht="15.75" customHeight="1" x14ac:dyDescent="0.25">
      <c r="A30" s="166" t="str">
        <f>UPPER('input data'!B24)</f>
        <v xml:space="preserve">ONEU2943247 </v>
      </c>
      <c r="B30" s="109"/>
      <c r="C30" s="92">
        <f>'input data'!B25</f>
        <v>245</v>
      </c>
      <c r="D30" s="64" t="s">
        <v>73</v>
      </c>
      <c r="E30" s="64" t="s">
        <v>74</v>
      </c>
      <c r="F30" s="64"/>
      <c r="G30" s="64"/>
      <c r="H30" s="164"/>
      <c r="I30" s="64"/>
      <c r="J30" s="91"/>
    </row>
    <row r="31" spans="1:20" ht="15.75" customHeight="1" x14ac:dyDescent="0.25">
      <c r="A31" s="86"/>
      <c r="B31" s="64"/>
      <c r="C31" s="64"/>
      <c r="D31" s="64"/>
      <c r="E31" s="64"/>
      <c r="F31" s="64"/>
      <c r="G31" s="64"/>
      <c r="H31" s="164"/>
      <c r="I31" s="64"/>
      <c r="J31" s="91"/>
    </row>
    <row r="32" spans="1:20" ht="15.75" customHeight="1" x14ac:dyDescent="0.25">
      <c r="A32" s="86"/>
      <c r="B32" s="64"/>
      <c r="C32" s="64"/>
      <c r="D32" s="64"/>
      <c r="E32" s="64"/>
      <c r="F32" s="64"/>
      <c r="G32" s="64"/>
      <c r="H32" s="164"/>
      <c r="I32" s="64"/>
      <c r="J32" s="91"/>
    </row>
    <row r="33" spans="1:10" ht="15.75" customHeight="1" x14ac:dyDescent="0.25">
      <c r="A33" s="86"/>
      <c r="B33" s="64"/>
      <c r="C33" s="64"/>
      <c r="D33" s="64"/>
      <c r="E33" s="64"/>
      <c r="F33" s="64"/>
      <c r="G33" s="64"/>
      <c r="H33" s="164"/>
      <c r="I33" s="64"/>
      <c r="J33" s="91"/>
    </row>
    <row r="34" spans="1:10" ht="15.75" customHeight="1" thickBot="1" x14ac:dyDescent="0.3">
      <c r="A34" s="86"/>
      <c r="B34" s="64"/>
      <c r="C34" s="64"/>
      <c r="D34" s="64"/>
      <c r="E34" s="64"/>
      <c r="F34" s="167"/>
      <c r="G34" s="109"/>
      <c r="H34" s="164"/>
      <c r="I34" s="64"/>
      <c r="J34" s="91"/>
    </row>
    <row r="35" spans="1:10" ht="15.75" customHeight="1" thickBot="1" x14ac:dyDescent="0.3">
      <c r="A35" s="93"/>
      <c r="B35" s="65"/>
      <c r="C35" s="65"/>
      <c r="D35" s="65"/>
      <c r="E35" s="65"/>
      <c r="F35" s="65"/>
      <c r="G35" s="65"/>
      <c r="H35" s="165"/>
      <c r="I35" s="168"/>
      <c r="J35" s="169"/>
    </row>
    <row r="36" spans="1:10" ht="15.75" customHeight="1" x14ac:dyDescent="0.25">
      <c r="A36" s="89" t="s">
        <v>75</v>
      </c>
      <c r="B36" s="16"/>
      <c r="C36" s="16"/>
      <c r="D36" s="16"/>
      <c r="E36" s="16"/>
      <c r="F36" s="16"/>
      <c r="G36" s="16"/>
      <c r="H36" s="66"/>
      <c r="I36" s="170">
        <f>I28</f>
        <v>9321.4</v>
      </c>
      <c r="J36" s="171"/>
    </row>
    <row r="37" spans="1:10" ht="15.75" customHeight="1" thickBot="1" x14ac:dyDescent="0.3">
      <c r="A37" s="94" t="str">
        <f>SpellNumberUSD(I36)</f>
        <v>Nine Thousand Three Hundred Twenty One Dollars and Forty  Cents</v>
      </c>
      <c r="B37" s="65"/>
      <c r="C37" s="65"/>
      <c r="D37" s="65"/>
      <c r="E37" s="65"/>
      <c r="F37" s="65"/>
      <c r="G37" s="65"/>
      <c r="H37" s="95"/>
      <c r="I37" s="172"/>
      <c r="J37" s="173"/>
    </row>
    <row r="38" spans="1:10" ht="15.75" customHeight="1" x14ac:dyDescent="0.25">
      <c r="A38" s="174" t="s">
        <v>76</v>
      </c>
      <c r="B38" s="104"/>
      <c r="C38" s="104"/>
      <c r="D38" s="105"/>
      <c r="E38" s="175" t="s">
        <v>77</v>
      </c>
      <c r="F38" s="104"/>
      <c r="G38" s="104"/>
      <c r="H38" s="104"/>
      <c r="I38" s="104"/>
      <c r="J38" s="106"/>
    </row>
    <row r="39" spans="1:10" ht="19.5" customHeight="1" x14ac:dyDescent="0.25">
      <c r="A39" s="176" t="s">
        <v>78</v>
      </c>
      <c r="B39" s="109"/>
      <c r="C39" s="109"/>
      <c r="D39" s="126"/>
      <c r="E39" s="96" t="s">
        <v>79</v>
      </c>
      <c r="F39" s="64"/>
      <c r="G39" s="64"/>
      <c r="H39" s="64"/>
      <c r="I39" s="64"/>
      <c r="J39" s="91"/>
    </row>
    <row r="40" spans="1:10" ht="19.5" customHeight="1" x14ac:dyDescent="0.25">
      <c r="A40" s="149"/>
      <c r="B40" s="109"/>
      <c r="C40" s="109"/>
      <c r="D40" s="126"/>
      <c r="E40" s="96"/>
      <c r="F40" s="64"/>
      <c r="G40" s="64"/>
      <c r="H40" s="64"/>
      <c r="I40" s="64"/>
      <c r="J40" s="91"/>
    </row>
    <row r="41" spans="1:10" ht="15.75" customHeight="1" x14ac:dyDescent="0.25">
      <c r="A41" s="177" t="s">
        <v>80</v>
      </c>
      <c r="B41" s="109"/>
      <c r="C41" s="109"/>
      <c r="D41" s="126"/>
      <c r="E41" s="96"/>
      <c r="F41" s="64"/>
      <c r="G41" s="64"/>
      <c r="H41" s="64"/>
      <c r="I41" s="64"/>
      <c r="J41" s="91"/>
    </row>
    <row r="42" spans="1:10" ht="18.75" customHeight="1" thickBot="1" x14ac:dyDescent="0.3">
      <c r="A42" s="150"/>
      <c r="B42" s="146"/>
      <c r="C42" s="146"/>
      <c r="D42" s="151"/>
      <c r="E42" s="97" t="s">
        <v>81</v>
      </c>
      <c r="F42" s="98"/>
      <c r="G42" s="98"/>
      <c r="H42" s="98"/>
      <c r="I42" s="98"/>
      <c r="J42" s="99"/>
    </row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62">
    <mergeCell ref="I36:J37"/>
    <mergeCell ref="A38:D38"/>
    <mergeCell ref="E38:J38"/>
    <mergeCell ref="A39:D40"/>
    <mergeCell ref="A41:D42"/>
    <mergeCell ref="B28:D28"/>
    <mergeCell ref="F28:G28"/>
    <mergeCell ref="I28:J28"/>
    <mergeCell ref="H29:H35"/>
    <mergeCell ref="A30:B30"/>
    <mergeCell ref="F34:G34"/>
    <mergeCell ref="I35:J35"/>
    <mergeCell ref="A26:A27"/>
    <mergeCell ref="B26:D27"/>
    <mergeCell ref="E26:E27"/>
    <mergeCell ref="F26:G26"/>
    <mergeCell ref="I26:J26"/>
    <mergeCell ref="F27:G27"/>
    <mergeCell ref="I27:J27"/>
    <mergeCell ref="A25:B25"/>
    <mergeCell ref="C25:D25"/>
    <mergeCell ref="E25:G25"/>
    <mergeCell ref="H25:J25"/>
    <mergeCell ref="A24:B24"/>
    <mergeCell ref="C24:D24"/>
    <mergeCell ref="E24:G24"/>
    <mergeCell ref="H24:J24"/>
    <mergeCell ref="A12:D12"/>
    <mergeCell ref="E12:G13"/>
    <mergeCell ref="H12:J13"/>
    <mergeCell ref="E14:J20"/>
    <mergeCell ref="A15:D20"/>
    <mergeCell ref="A21:B21"/>
    <mergeCell ref="C21:D21"/>
    <mergeCell ref="E21:G21"/>
    <mergeCell ref="H21:J21"/>
    <mergeCell ref="A22:B22"/>
    <mergeCell ref="C22:D23"/>
    <mergeCell ref="E22:G23"/>
    <mergeCell ref="H22:J23"/>
    <mergeCell ref="A23:B23"/>
    <mergeCell ref="E10:G10"/>
    <mergeCell ref="H10:J10"/>
    <mergeCell ref="A11:D11"/>
    <mergeCell ref="E11:G11"/>
    <mergeCell ref="H11:J11"/>
    <mergeCell ref="E5:G5"/>
    <mergeCell ref="H5:J5"/>
    <mergeCell ref="S29:T29"/>
    <mergeCell ref="A1:J2"/>
    <mergeCell ref="E3:G3"/>
    <mergeCell ref="H3:J3"/>
    <mergeCell ref="E4:G4"/>
    <mergeCell ref="H4:J4"/>
    <mergeCell ref="E6:G6"/>
    <mergeCell ref="H6:J6"/>
    <mergeCell ref="E7:G7"/>
    <mergeCell ref="H7:J7"/>
    <mergeCell ref="E8:G8"/>
    <mergeCell ref="H8:J8"/>
    <mergeCell ref="E9:G9"/>
    <mergeCell ref="H9:J9"/>
  </mergeCells>
  <conditionalFormatting sqref="A30:B30">
    <cfRule type="containsBlanks" dxfId="1" priority="2">
      <formula>LEN(TRIM(A30))=0</formula>
    </cfRule>
  </conditionalFormatting>
  <conditionalFormatting sqref="C30">
    <cfRule type="containsBlanks" dxfId="0" priority="1">
      <formula>LEN(TRIM(C30))=0</formula>
    </cfRule>
  </conditionalFormatting>
  <hyperlinks>
    <hyperlink ref="A9" r:id="rId1"/>
    <hyperlink ref="A10" r:id="rId2"/>
  </hyperlinks>
  <pageMargins left="0.7" right="0.7" top="0.75" bottom="0.75" header="0" footer="0"/>
  <pageSetup scale="92" orientation="portrait" r:id="rId3"/>
  <colBreaks count="1" manualBreakCount="1">
    <brk id="10" max="41" man="1"/>
  </colBreaks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98"/>
  <sheetViews>
    <sheetView workbookViewId="0">
      <selection activeCell="O32" sqref="O32"/>
    </sheetView>
  </sheetViews>
  <sheetFormatPr defaultColWidth="14.42578125" defaultRowHeight="15" customHeight="1" x14ac:dyDescent="0.25"/>
  <cols>
    <col min="1" max="4" width="8.7109375" customWidth="1"/>
    <col min="5" max="5" width="7" customWidth="1"/>
    <col min="6" max="6" width="10.85546875" customWidth="1"/>
    <col min="7" max="26" width="8.7109375" customWidth="1"/>
  </cols>
  <sheetData>
    <row r="1" spans="1:10" ht="21" x14ac:dyDescent="0.35">
      <c r="A1" s="194" t="s">
        <v>82</v>
      </c>
      <c r="B1" s="101"/>
      <c r="C1" s="101"/>
      <c r="D1" s="101"/>
      <c r="E1" s="101"/>
      <c r="F1" s="101"/>
      <c r="G1" s="101"/>
      <c r="H1" s="101"/>
      <c r="I1" s="101"/>
      <c r="J1" s="101"/>
    </row>
    <row r="2" spans="1:10" x14ac:dyDescent="0.25">
      <c r="A2" s="175" t="s">
        <v>83</v>
      </c>
      <c r="B2" s="104"/>
      <c r="C2" s="104"/>
      <c r="D2" s="104"/>
      <c r="E2" s="104"/>
      <c r="F2" s="105"/>
      <c r="G2" s="103" t="s">
        <v>38</v>
      </c>
      <c r="H2" s="105"/>
      <c r="I2" s="178" t="s">
        <v>39</v>
      </c>
      <c r="J2" s="105"/>
    </row>
    <row r="3" spans="1:10" ht="15.75" x14ac:dyDescent="0.25">
      <c r="A3" s="195" t="s">
        <v>84</v>
      </c>
      <c r="B3" s="101"/>
      <c r="C3" s="101"/>
      <c r="D3" s="101"/>
      <c r="E3" s="101"/>
      <c r="F3" s="180"/>
      <c r="G3" s="196" t="str">
        <f>'input data'!B3</f>
        <v>BK020/26-27</v>
      </c>
      <c r="H3" s="183"/>
      <c r="I3" s="197">
        <f>'input data'!B4</f>
        <v>46259</v>
      </c>
      <c r="J3" s="198"/>
    </row>
    <row r="4" spans="1:10" x14ac:dyDescent="0.25">
      <c r="A4" s="18" t="s">
        <v>85</v>
      </c>
      <c r="B4" s="4"/>
      <c r="C4" s="4"/>
      <c r="D4" s="4"/>
      <c r="E4" s="4"/>
      <c r="F4" s="19"/>
      <c r="G4" s="178" t="s">
        <v>43</v>
      </c>
      <c r="H4" s="104"/>
      <c r="I4" s="104"/>
      <c r="J4" s="105"/>
    </row>
    <row r="5" spans="1:10" x14ac:dyDescent="0.25">
      <c r="A5" s="18" t="s">
        <v>86</v>
      </c>
      <c r="B5" s="4"/>
      <c r="C5" s="4"/>
      <c r="D5" s="4"/>
      <c r="E5" s="4"/>
      <c r="F5" s="19"/>
      <c r="G5" s="182" t="str">
        <f>'input data'!B5</f>
        <v>AD2403260504856</v>
      </c>
      <c r="H5" s="184"/>
      <c r="I5" s="184"/>
      <c r="J5" s="183"/>
    </row>
    <row r="6" spans="1:10" x14ac:dyDescent="0.25">
      <c r="A6" s="185" t="s">
        <v>87</v>
      </c>
      <c r="B6" s="101"/>
      <c r="C6" s="101"/>
      <c r="D6" s="101"/>
      <c r="E6" s="101"/>
      <c r="F6" s="19"/>
      <c r="G6" s="21"/>
      <c r="H6" s="28"/>
      <c r="I6" s="28"/>
      <c r="J6" s="30"/>
    </row>
    <row r="7" spans="1:10" x14ac:dyDescent="0.25">
      <c r="A7" s="18" t="s">
        <v>88</v>
      </c>
      <c r="B7" s="4"/>
      <c r="C7" s="4"/>
      <c r="D7" s="4"/>
      <c r="E7" s="4"/>
      <c r="F7" s="19"/>
      <c r="G7" s="31" t="s">
        <v>89</v>
      </c>
      <c r="H7" s="16"/>
      <c r="I7" s="16"/>
      <c r="J7" s="17"/>
    </row>
    <row r="8" spans="1:10" ht="15.75" x14ac:dyDescent="0.25">
      <c r="A8" s="32" t="s">
        <v>90</v>
      </c>
      <c r="B8" s="4"/>
      <c r="C8" s="4"/>
      <c r="D8" s="4"/>
      <c r="E8" s="4"/>
      <c r="F8" s="19"/>
      <c r="G8" s="33" t="s">
        <v>91</v>
      </c>
      <c r="H8" s="34"/>
      <c r="I8" s="34"/>
      <c r="J8" s="35"/>
    </row>
    <row r="9" spans="1:10" ht="15.75" x14ac:dyDescent="0.25">
      <c r="A9" s="36" t="s">
        <v>51</v>
      </c>
      <c r="B9" s="4"/>
      <c r="C9" s="4"/>
      <c r="D9" s="4"/>
      <c r="E9" s="4"/>
      <c r="F9" s="19"/>
      <c r="G9" s="33" t="s">
        <v>92</v>
      </c>
      <c r="H9" s="34"/>
      <c r="I9" s="34"/>
      <c r="J9" s="35"/>
    </row>
    <row r="10" spans="1:10" x14ac:dyDescent="0.25">
      <c r="A10" s="37" t="s">
        <v>54</v>
      </c>
      <c r="B10" s="29"/>
      <c r="C10" s="29"/>
      <c r="D10" s="29"/>
      <c r="E10" s="29"/>
      <c r="F10" s="26"/>
      <c r="G10" s="27"/>
      <c r="H10" s="29"/>
      <c r="I10" s="29"/>
      <c r="J10" s="26"/>
    </row>
    <row r="11" spans="1:10" x14ac:dyDescent="0.25">
      <c r="A11" s="186" t="s">
        <v>55</v>
      </c>
      <c r="B11" s="104"/>
      <c r="C11" s="104"/>
      <c r="D11" s="104"/>
      <c r="E11" s="104"/>
      <c r="F11" s="17"/>
      <c r="G11" s="31" t="s">
        <v>93</v>
      </c>
      <c r="H11" s="16"/>
      <c r="I11" s="16"/>
      <c r="J11" s="17"/>
    </row>
    <row r="12" spans="1:10" x14ac:dyDescent="0.25">
      <c r="A12" s="187" t="str">
        <f>'input data'!B6</f>
        <v>To the Order</v>
      </c>
      <c r="B12" s="101"/>
      <c r="C12" s="101"/>
      <c r="D12" s="101"/>
      <c r="E12" s="101"/>
      <c r="F12" s="19"/>
      <c r="G12" s="18"/>
      <c r="H12" s="4"/>
      <c r="I12" s="4"/>
      <c r="J12" s="19"/>
    </row>
    <row r="13" spans="1:10" x14ac:dyDescent="0.25">
      <c r="A13" s="188"/>
      <c r="B13" s="184"/>
      <c r="C13" s="184"/>
      <c r="D13" s="184"/>
      <c r="E13" s="184"/>
      <c r="F13" s="26"/>
      <c r="G13" s="18"/>
      <c r="H13" s="4"/>
      <c r="I13" s="4"/>
      <c r="J13" s="19"/>
    </row>
    <row r="14" spans="1:10" x14ac:dyDescent="0.25">
      <c r="A14" s="186" t="s">
        <v>58</v>
      </c>
      <c r="B14" s="104"/>
      <c r="C14" s="104"/>
      <c r="D14" s="104"/>
      <c r="E14" s="104"/>
      <c r="F14" s="105"/>
      <c r="G14" s="18"/>
      <c r="H14" s="4"/>
      <c r="I14" s="4"/>
      <c r="J14" s="19"/>
    </row>
    <row r="15" spans="1:10" x14ac:dyDescent="0.25">
      <c r="A15" s="189" t="str">
        <f>'input data'!B7</f>
        <v xml:space="preserve">A-A STONE INVESTMENT TRADING COMPANY 
LIMITED
 34/5 TRAN KHANH DU STREET, TAN DINH WARD, 
HOCHIMINH CITY, VIETNAM
 TAX:0317458134
 MAIL: AASTONEDOCS@GMAIL.COM
</v>
      </c>
      <c r="B15" s="101"/>
      <c r="C15" s="101"/>
      <c r="D15" s="101"/>
      <c r="E15" s="101"/>
      <c r="F15" s="180"/>
      <c r="G15" s="18"/>
      <c r="H15" s="4"/>
      <c r="I15" s="4"/>
      <c r="J15" s="19"/>
    </row>
    <row r="16" spans="1:10" x14ac:dyDescent="0.25">
      <c r="A16" s="190"/>
      <c r="B16" s="101"/>
      <c r="C16" s="101"/>
      <c r="D16" s="101"/>
      <c r="E16" s="101"/>
      <c r="F16" s="180"/>
      <c r="G16" s="18"/>
      <c r="H16" s="4"/>
      <c r="I16" s="4"/>
      <c r="J16" s="19"/>
    </row>
    <row r="17" spans="1:10" x14ac:dyDescent="0.25">
      <c r="A17" s="190"/>
      <c r="B17" s="101"/>
      <c r="C17" s="101"/>
      <c r="D17" s="101"/>
      <c r="E17" s="101"/>
      <c r="F17" s="180"/>
      <c r="G17" s="18"/>
      <c r="H17" s="4"/>
      <c r="I17" s="4"/>
      <c r="J17" s="19"/>
    </row>
    <row r="18" spans="1:10" ht="37.5" customHeight="1" x14ac:dyDescent="0.25">
      <c r="A18" s="190"/>
      <c r="B18" s="101"/>
      <c r="C18" s="101"/>
      <c r="D18" s="101"/>
      <c r="E18" s="101"/>
      <c r="F18" s="180"/>
      <c r="G18" s="181" t="s">
        <v>94</v>
      </c>
      <c r="H18" s="105"/>
      <c r="I18" s="200" t="s">
        <v>95</v>
      </c>
      <c r="J18" s="105"/>
    </row>
    <row r="19" spans="1:10" ht="15" customHeight="1" x14ac:dyDescent="0.25">
      <c r="A19" s="190"/>
      <c r="B19" s="101"/>
      <c r="C19" s="101"/>
      <c r="D19" s="101"/>
      <c r="E19" s="101"/>
      <c r="F19" s="180"/>
      <c r="G19" s="188"/>
      <c r="H19" s="183"/>
      <c r="I19" s="184"/>
      <c r="J19" s="183"/>
    </row>
    <row r="20" spans="1:10" ht="30.75" customHeight="1" x14ac:dyDescent="0.25">
      <c r="A20" s="188"/>
      <c r="B20" s="184"/>
      <c r="C20" s="184"/>
      <c r="D20" s="184"/>
      <c r="E20" s="184"/>
      <c r="F20" s="183"/>
      <c r="G20" s="201" t="s">
        <v>62</v>
      </c>
      <c r="H20" s="183"/>
      <c r="I20" s="201" t="str">
        <f>'input data'!B23</f>
        <v>VIETNAM</v>
      </c>
      <c r="J20" s="183"/>
    </row>
    <row r="21" spans="1:10" ht="15.75" customHeight="1" x14ac:dyDescent="0.25">
      <c r="A21" s="191" t="s">
        <v>96</v>
      </c>
      <c r="B21" s="104"/>
      <c r="C21" s="105"/>
      <c r="D21" s="191" t="s">
        <v>97</v>
      </c>
      <c r="E21" s="104"/>
      <c r="F21" s="105"/>
      <c r="G21" s="192" t="s">
        <v>98</v>
      </c>
      <c r="H21" s="130"/>
      <c r="I21" s="130"/>
      <c r="J21" s="131"/>
    </row>
    <row r="22" spans="1:10" ht="15.75" customHeight="1" x14ac:dyDescent="0.25">
      <c r="A22" s="193"/>
      <c r="B22" s="184"/>
      <c r="C22" s="183"/>
      <c r="D22" s="182" t="str">
        <f>'input data'!B19</f>
        <v>CHENNAI</v>
      </c>
      <c r="E22" s="184"/>
      <c r="F22" s="183"/>
      <c r="G22" s="199" t="str">
        <f>'input data'!B16</f>
        <v>CNF</v>
      </c>
      <c r="H22" s="184"/>
      <c r="I22" s="184"/>
      <c r="J22" s="183"/>
    </row>
    <row r="23" spans="1:10" ht="15.75" customHeight="1" x14ac:dyDescent="0.25">
      <c r="A23" s="191" t="s">
        <v>99</v>
      </c>
      <c r="B23" s="104"/>
      <c r="C23" s="105"/>
      <c r="D23" s="191" t="s">
        <v>100</v>
      </c>
      <c r="E23" s="104"/>
      <c r="F23" s="105"/>
      <c r="G23" s="38"/>
      <c r="H23" s="39"/>
      <c r="I23" s="39"/>
      <c r="J23" s="40"/>
    </row>
    <row r="24" spans="1:10" ht="15.75" customHeight="1" x14ac:dyDescent="0.25">
      <c r="A24" s="193"/>
      <c r="B24" s="184"/>
      <c r="C24" s="183"/>
      <c r="D24" s="182" t="str">
        <f>'input data'!B20</f>
        <v>CHENNAI</v>
      </c>
      <c r="E24" s="184"/>
      <c r="F24" s="183"/>
      <c r="G24" s="27"/>
      <c r="H24" s="29"/>
      <c r="I24" s="29"/>
      <c r="J24" s="26"/>
    </row>
    <row r="25" spans="1:10" ht="15.75" customHeight="1" x14ac:dyDescent="0.25">
      <c r="A25" s="191" t="s">
        <v>30</v>
      </c>
      <c r="B25" s="104"/>
      <c r="C25" s="105"/>
      <c r="D25" s="191" t="s">
        <v>31</v>
      </c>
      <c r="E25" s="104"/>
      <c r="F25" s="105"/>
      <c r="G25" s="202" t="s">
        <v>101</v>
      </c>
      <c r="H25" s="130"/>
      <c r="I25" s="130"/>
      <c r="J25" s="131"/>
    </row>
    <row r="26" spans="1:10" ht="15.75" customHeight="1" x14ac:dyDescent="0.25">
      <c r="A26" s="179" t="str">
        <f>'input data'!B21</f>
        <v>DA NANG</v>
      </c>
      <c r="B26" s="101"/>
      <c r="C26" s="180"/>
      <c r="D26" s="179" t="str">
        <f>'input data'!B22</f>
        <v>DA NANG</v>
      </c>
      <c r="E26" s="101"/>
      <c r="F26" s="180"/>
      <c r="G26" s="181" t="str">
        <f>'input data'!B17</f>
        <v>100% Against Documents</v>
      </c>
      <c r="H26" s="104"/>
      <c r="I26" s="104"/>
      <c r="J26" s="105"/>
    </row>
    <row r="27" spans="1:10" ht="15.75" customHeight="1" x14ac:dyDescent="0.25">
      <c r="A27" s="41"/>
      <c r="B27" s="42"/>
      <c r="C27" s="42"/>
      <c r="D27" s="42"/>
      <c r="E27" s="42"/>
      <c r="F27" s="42"/>
      <c r="G27" s="42"/>
      <c r="H27" s="42"/>
      <c r="I27" s="42"/>
      <c r="J27" s="43"/>
    </row>
    <row r="28" spans="1:10" ht="15.75" customHeight="1" x14ac:dyDescent="0.25">
      <c r="A28" s="23" t="s">
        <v>64</v>
      </c>
      <c r="B28" s="182" t="s">
        <v>102</v>
      </c>
      <c r="C28" s="183"/>
      <c r="D28" s="182" t="s">
        <v>65</v>
      </c>
      <c r="E28" s="184"/>
      <c r="F28" s="184"/>
      <c r="G28" s="44"/>
      <c r="H28" s="45"/>
      <c r="I28" s="182" t="s">
        <v>69</v>
      </c>
      <c r="J28" s="183"/>
    </row>
    <row r="29" spans="1:10" ht="15.75" customHeight="1" thickBot="1" x14ac:dyDescent="0.3">
      <c r="A29" s="24">
        <v>1</v>
      </c>
      <c r="B29" s="160">
        <f>Invoice!E28</f>
        <v>68022390</v>
      </c>
      <c r="C29" s="131"/>
      <c r="D29" s="210" t="str">
        <f>'input data'!B18</f>
        <v>NATURAL POLISHED GRANITE SLABS</v>
      </c>
      <c r="E29" s="130"/>
      <c r="F29" s="130"/>
      <c r="G29" s="130"/>
      <c r="H29" s="131"/>
      <c r="I29" s="211">
        <f>'input data'!B26</f>
        <v>466.07</v>
      </c>
      <c r="J29" s="131"/>
    </row>
    <row r="30" spans="1:10" ht="15.75" customHeight="1" thickBot="1" x14ac:dyDescent="0.3">
      <c r="A30" s="46" t="s">
        <v>103</v>
      </c>
      <c r="B30" s="42"/>
      <c r="C30" s="42"/>
      <c r="D30" s="42"/>
      <c r="E30" s="42"/>
      <c r="F30" s="42"/>
      <c r="G30" s="42"/>
      <c r="H30" s="42"/>
      <c r="I30" s="212">
        <f>SUM(I29:I29)</f>
        <v>466.07</v>
      </c>
      <c r="J30" s="131"/>
    </row>
    <row r="31" spans="1:10" ht="15.75" customHeight="1" x14ac:dyDescent="0.25">
      <c r="A31" s="32"/>
      <c r="B31" s="4"/>
      <c r="C31" s="4"/>
      <c r="D31" s="4"/>
      <c r="E31" s="4"/>
      <c r="F31" s="4"/>
      <c r="G31" s="4"/>
      <c r="H31" s="4"/>
      <c r="I31" s="28"/>
      <c r="J31" s="30"/>
    </row>
    <row r="32" spans="1:10" ht="15.75" customHeight="1" x14ac:dyDescent="0.25">
      <c r="A32" s="179" t="s">
        <v>104</v>
      </c>
      <c r="B32" s="101"/>
      <c r="C32" s="28" t="s">
        <v>34</v>
      </c>
      <c r="D32" s="206" t="s">
        <v>71</v>
      </c>
      <c r="E32" s="101"/>
      <c r="F32" s="28" t="s">
        <v>72</v>
      </c>
      <c r="G32" s="28"/>
      <c r="H32" s="4"/>
      <c r="I32" s="28"/>
      <c r="J32" s="30"/>
    </row>
    <row r="33" spans="1:12" ht="15.75" customHeight="1" x14ac:dyDescent="0.25">
      <c r="A33" s="207" t="str">
        <f>Invoice!A30</f>
        <v xml:space="preserve">ONEU2943247 </v>
      </c>
      <c r="B33" s="101"/>
      <c r="C33" s="47">
        <f>'input data'!B25</f>
        <v>245</v>
      </c>
      <c r="D33" s="208" t="s">
        <v>105</v>
      </c>
      <c r="E33" s="101"/>
      <c r="F33" s="47" t="s">
        <v>106</v>
      </c>
      <c r="G33" s="47"/>
      <c r="H33" s="4"/>
      <c r="I33" s="4"/>
      <c r="J33" s="19"/>
    </row>
    <row r="34" spans="1:12" ht="15.75" customHeight="1" x14ac:dyDescent="0.25">
      <c r="A34" s="20"/>
      <c r="B34" s="48"/>
      <c r="C34" s="48"/>
      <c r="D34" s="48"/>
      <c r="E34" s="48"/>
      <c r="F34" s="48"/>
      <c r="G34" s="48"/>
      <c r="H34" s="48"/>
      <c r="I34" s="48"/>
      <c r="J34" s="49"/>
    </row>
    <row r="35" spans="1:12" ht="15.75" customHeight="1" x14ac:dyDescent="0.25">
      <c r="A35" s="20" t="s">
        <v>107</v>
      </c>
      <c r="B35" s="48"/>
      <c r="C35" s="48" t="str">
        <f>'input data'!B14</f>
        <v>Loose packing</v>
      </c>
      <c r="D35" s="48"/>
      <c r="E35" s="48"/>
      <c r="F35" s="48"/>
      <c r="G35" s="48"/>
      <c r="H35" s="48"/>
      <c r="I35" s="48"/>
      <c r="J35" s="49"/>
    </row>
    <row r="36" spans="1:12" ht="15.75" customHeight="1" x14ac:dyDescent="0.25">
      <c r="A36" s="20" t="s">
        <v>108</v>
      </c>
      <c r="B36" s="48"/>
      <c r="C36" s="48"/>
      <c r="D36" s="48"/>
      <c r="E36" s="48"/>
      <c r="F36" s="48"/>
      <c r="G36" s="48"/>
      <c r="H36" s="48"/>
      <c r="I36" s="48"/>
      <c r="J36" s="49"/>
    </row>
    <row r="37" spans="1:12" ht="15.75" customHeight="1" x14ac:dyDescent="0.25">
      <c r="A37" s="50"/>
      <c r="B37" s="51"/>
      <c r="C37" s="51"/>
      <c r="D37" s="51"/>
      <c r="E37" s="51"/>
      <c r="F37" s="51"/>
      <c r="G37" s="51"/>
      <c r="H37" s="51"/>
      <c r="I37" s="51"/>
      <c r="J37" s="52"/>
      <c r="L37" s="78"/>
    </row>
    <row r="38" spans="1:12" ht="15.75" customHeight="1" x14ac:dyDescent="0.25">
      <c r="A38" s="175" t="s">
        <v>109</v>
      </c>
      <c r="B38" s="104"/>
      <c r="C38" s="104"/>
      <c r="D38" s="104"/>
      <c r="E38" s="104"/>
      <c r="F38" s="105"/>
      <c r="G38" s="175" t="s">
        <v>77</v>
      </c>
      <c r="H38" s="104"/>
      <c r="I38" s="104"/>
      <c r="J38" s="105"/>
    </row>
    <row r="39" spans="1:12" ht="15.75" customHeight="1" x14ac:dyDescent="0.25">
      <c r="A39" s="209" t="s">
        <v>110</v>
      </c>
      <c r="B39" s="101"/>
      <c r="C39" s="101"/>
      <c r="D39" s="101"/>
      <c r="E39" s="101"/>
      <c r="F39" s="180"/>
      <c r="G39" s="18"/>
      <c r="H39" s="4"/>
      <c r="I39" s="4"/>
      <c r="J39" s="19"/>
    </row>
    <row r="40" spans="1:12" ht="15.75" customHeight="1" x14ac:dyDescent="0.25">
      <c r="A40" s="203" t="s">
        <v>111</v>
      </c>
      <c r="B40" s="110"/>
      <c r="C40" s="110"/>
      <c r="D40" s="110"/>
      <c r="E40" s="110"/>
      <c r="F40" s="126"/>
      <c r="G40" s="18"/>
      <c r="H40" s="4"/>
      <c r="I40" s="4"/>
      <c r="J40" s="19"/>
    </row>
    <row r="41" spans="1:12" ht="15.75" customHeight="1" x14ac:dyDescent="0.25">
      <c r="A41" s="204" t="s">
        <v>112</v>
      </c>
      <c r="B41" s="116"/>
      <c r="C41" s="116"/>
      <c r="D41" s="116"/>
      <c r="E41" s="116"/>
      <c r="F41" s="117"/>
      <c r="G41" s="205" t="s">
        <v>113</v>
      </c>
      <c r="H41" s="184"/>
      <c r="I41" s="184"/>
      <c r="J41" s="183"/>
    </row>
    <row r="42" spans="1:12" ht="15.75" customHeight="1" x14ac:dyDescent="0.25"/>
    <row r="43" spans="1:12" ht="15.75" customHeight="1" x14ac:dyDescent="0.25"/>
    <row r="44" spans="1:12" ht="15.75" customHeight="1" x14ac:dyDescent="0.25"/>
    <row r="45" spans="1:12" ht="15.75" customHeight="1" x14ac:dyDescent="0.25"/>
    <row r="46" spans="1:12" ht="15.75" customHeight="1" x14ac:dyDescent="0.25"/>
    <row r="47" spans="1:12" ht="15.75" customHeight="1" x14ac:dyDescent="0.25"/>
    <row r="48" spans="1:12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mergeCells count="51">
    <mergeCell ref="G25:J25"/>
    <mergeCell ref="A26:C26"/>
    <mergeCell ref="A40:F40"/>
    <mergeCell ref="A41:F41"/>
    <mergeCell ref="G41:J41"/>
    <mergeCell ref="A32:B32"/>
    <mergeCell ref="D32:E32"/>
    <mergeCell ref="A33:B33"/>
    <mergeCell ref="D33:E33"/>
    <mergeCell ref="A38:F38"/>
    <mergeCell ref="G38:J38"/>
    <mergeCell ref="A39:F39"/>
    <mergeCell ref="B29:C29"/>
    <mergeCell ref="D29:H29"/>
    <mergeCell ref="I29:J29"/>
    <mergeCell ref="I30:J30"/>
    <mergeCell ref="D23:F23"/>
    <mergeCell ref="A23:C23"/>
    <mergeCell ref="A24:C24"/>
    <mergeCell ref="D24:F24"/>
    <mergeCell ref="A25:C25"/>
    <mergeCell ref="D25:F25"/>
    <mergeCell ref="D22:F22"/>
    <mergeCell ref="G22:J22"/>
    <mergeCell ref="G18:H19"/>
    <mergeCell ref="I18:J19"/>
    <mergeCell ref="G20:H20"/>
    <mergeCell ref="I20:J20"/>
    <mergeCell ref="A1:J1"/>
    <mergeCell ref="A2:F2"/>
    <mergeCell ref="G2:H2"/>
    <mergeCell ref="I2:J2"/>
    <mergeCell ref="A3:F3"/>
    <mergeCell ref="G3:H3"/>
    <mergeCell ref="I3:J3"/>
    <mergeCell ref="G4:J4"/>
    <mergeCell ref="D26:F26"/>
    <mergeCell ref="G26:J26"/>
    <mergeCell ref="B28:C28"/>
    <mergeCell ref="D28:F28"/>
    <mergeCell ref="I28:J28"/>
    <mergeCell ref="G5:J5"/>
    <mergeCell ref="A6:E6"/>
    <mergeCell ref="A11:E11"/>
    <mergeCell ref="A12:E13"/>
    <mergeCell ref="A14:F14"/>
    <mergeCell ref="A15:F20"/>
    <mergeCell ref="A21:C21"/>
    <mergeCell ref="D21:F21"/>
    <mergeCell ref="G21:J21"/>
    <mergeCell ref="A22:C22"/>
  </mergeCells>
  <hyperlinks>
    <hyperlink ref="A9" r:id="rId1"/>
    <hyperlink ref="A10" r:id="rId2"/>
  </hyperlinks>
  <pageMargins left="0.25" right="0.25" top="0.75" bottom="0.75" header="0" footer="0"/>
  <pageSetup paperSize="9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997"/>
  <sheetViews>
    <sheetView tabSelected="1" topLeftCell="A13" zoomScaleNormal="100" workbookViewId="0">
      <selection activeCell="U24" sqref="U24"/>
    </sheetView>
  </sheetViews>
  <sheetFormatPr defaultColWidth="14.42578125" defaultRowHeight="15" customHeight="1" x14ac:dyDescent="0.25"/>
  <cols>
    <col min="1" max="2" width="8.7109375" customWidth="1"/>
    <col min="3" max="3" width="13" customWidth="1"/>
    <col min="4" max="16" width="8.7109375" customWidth="1"/>
    <col min="17" max="17" width="17.42578125" customWidth="1"/>
    <col min="18" max="27" width="8.7109375" customWidth="1"/>
  </cols>
  <sheetData>
    <row r="1" spans="1:25" ht="36" x14ac:dyDescent="0.55000000000000004">
      <c r="A1" s="53"/>
      <c r="B1" s="217" t="s">
        <v>40</v>
      </c>
      <c r="C1" s="218"/>
      <c r="D1" s="218"/>
      <c r="E1" s="218"/>
      <c r="F1" s="218"/>
      <c r="G1" s="218"/>
      <c r="H1" s="218"/>
      <c r="I1" s="218"/>
      <c r="J1" s="218"/>
      <c r="K1" s="219"/>
      <c r="R1" s="223"/>
      <c r="S1" s="101"/>
      <c r="T1" s="101"/>
      <c r="U1" s="101"/>
      <c r="V1" s="101"/>
      <c r="W1" s="224"/>
      <c r="X1" s="101"/>
      <c r="Y1" s="101"/>
    </row>
    <row r="2" spans="1:25" ht="36.75" thickBot="1" x14ac:dyDescent="0.6">
      <c r="A2" s="53"/>
      <c r="B2" s="220"/>
      <c r="C2" s="221"/>
      <c r="D2" s="221"/>
      <c r="E2" s="221"/>
      <c r="F2" s="221"/>
      <c r="G2" s="221"/>
      <c r="H2" s="221"/>
      <c r="I2" s="221"/>
      <c r="J2" s="221"/>
      <c r="K2" s="222"/>
    </row>
    <row r="3" spans="1:25" x14ac:dyDescent="0.25">
      <c r="A3" s="54"/>
      <c r="B3" s="225" t="s">
        <v>114</v>
      </c>
      <c r="C3" s="104"/>
      <c r="D3" s="104"/>
      <c r="E3" s="104"/>
      <c r="F3" s="104"/>
      <c r="G3" s="104"/>
      <c r="H3" s="104"/>
      <c r="I3" s="104"/>
      <c r="J3" s="104"/>
      <c r="K3" s="105"/>
    </row>
    <row r="4" spans="1:25" x14ac:dyDescent="0.25">
      <c r="A4" s="54"/>
      <c r="B4" s="226" t="s">
        <v>115</v>
      </c>
      <c r="C4" s="101"/>
      <c r="D4" s="101"/>
      <c r="E4" s="101"/>
      <c r="F4" s="101"/>
      <c r="G4" s="101"/>
      <c r="H4" s="101"/>
      <c r="I4" s="101"/>
      <c r="J4" s="101"/>
      <c r="K4" s="180"/>
    </row>
    <row r="5" spans="1:25" x14ac:dyDescent="0.25">
      <c r="A5" s="47"/>
      <c r="B5" s="193" t="s">
        <v>116</v>
      </c>
      <c r="C5" s="184"/>
      <c r="D5" s="184"/>
      <c r="E5" s="184"/>
      <c r="F5" s="184"/>
      <c r="G5" s="184"/>
      <c r="H5" s="184"/>
      <c r="I5" s="184"/>
      <c r="J5" s="184"/>
      <c r="K5" s="183"/>
    </row>
    <row r="6" spans="1:25" x14ac:dyDescent="0.25">
      <c r="A6" s="4"/>
      <c r="B6" s="31"/>
      <c r="C6" s="16"/>
      <c r="D6" s="16"/>
      <c r="E6" s="16"/>
      <c r="F6" s="16"/>
      <c r="G6" s="16"/>
      <c r="H6" s="16"/>
      <c r="I6" s="16"/>
      <c r="J6" s="16"/>
      <c r="K6" s="17"/>
    </row>
    <row r="7" spans="1:25" ht="18.75" x14ac:dyDescent="0.3">
      <c r="A7" s="55"/>
      <c r="B7" s="213" t="s">
        <v>117</v>
      </c>
      <c r="C7" s="101"/>
      <c r="D7" s="101"/>
      <c r="E7" s="101"/>
      <c r="F7" s="101"/>
      <c r="G7" s="101"/>
      <c r="H7" s="101"/>
      <c r="I7" s="101"/>
      <c r="J7" s="101"/>
      <c r="K7" s="180"/>
    </row>
    <row r="8" spans="1:25" x14ac:dyDescent="0.25">
      <c r="A8" s="4"/>
      <c r="B8" s="18"/>
      <c r="C8" s="4"/>
      <c r="D8" s="4"/>
      <c r="E8" s="4"/>
      <c r="F8" s="4"/>
      <c r="G8" s="4"/>
      <c r="H8" s="4"/>
      <c r="I8" s="4"/>
      <c r="J8" s="4"/>
      <c r="K8" s="19"/>
    </row>
    <row r="9" spans="1:25" x14ac:dyDescent="0.25">
      <c r="A9" s="4"/>
      <c r="B9" s="18" t="s">
        <v>118</v>
      </c>
      <c r="C9" s="216">
        <f ca="1">TODAY()</f>
        <v>46259</v>
      </c>
      <c r="D9" s="216"/>
      <c r="E9" s="4"/>
      <c r="F9" s="4"/>
      <c r="G9" s="4"/>
      <c r="H9" s="4"/>
      <c r="I9" s="4"/>
      <c r="J9" s="4"/>
      <c r="K9" s="19"/>
    </row>
    <row r="10" spans="1:25" x14ac:dyDescent="0.25">
      <c r="A10" s="4"/>
      <c r="B10" s="18" t="s">
        <v>119</v>
      </c>
      <c r="C10" s="56" t="s">
        <v>168</v>
      </c>
      <c r="D10" s="4"/>
      <c r="E10" s="4"/>
      <c r="F10" s="4"/>
      <c r="G10" s="4"/>
      <c r="H10" s="4"/>
      <c r="I10" s="4"/>
      <c r="J10" s="4"/>
      <c r="K10" s="19"/>
    </row>
    <row r="11" spans="1:25" x14ac:dyDescent="0.25">
      <c r="A11" s="4"/>
      <c r="B11" s="18"/>
      <c r="C11" s="4"/>
      <c r="D11" s="4"/>
      <c r="E11" s="4"/>
      <c r="F11" s="4"/>
      <c r="G11" s="4"/>
      <c r="H11" s="4"/>
      <c r="I11" s="4"/>
      <c r="J11" s="4"/>
      <c r="K11" s="19"/>
    </row>
    <row r="12" spans="1:25" x14ac:dyDescent="0.25">
      <c r="A12" s="4"/>
      <c r="B12" s="18" t="s">
        <v>120</v>
      </c>
      <c r="C12" s="4"/>
      <c r="D12" s="4"/>
      <c r="E12" s="4"/>
      <c r="F12" s="4"/>
      <c r="G12" s="4"/>
      <c r="H12" s="4"/>
      <c r="I12" s="4"/>
      <c r="J12" s="4"/>
      <c r="K12" s="19"/>
    </row>
    <row r="13" spans="1:25" x14ac:dyDescent="0.25">
      <c r="A13" s="15"/>
      <c r="B13" s="214" t="s">
        <v>169</v>
      </c>
      <c r="C13" s="101"/>
      <c r="D13" s="101"/>
      <c r="E13" s="101"/>
      <c r="F13" s="101"/>
      <c r="G13" s="101"/>
      <c r="H13" s="4"/>
      <c r="I13" s="4"/>
      <c r="J13" s="4"/>
      <c r="K13" s="19"/>
    </row>
    <row r="14" spans="1:25" x14ac:dyDescent="0.25">
      <c r="A14" s="57"/>
      <c r="B14" s="189" t="s">
        <v>170</v>
      </c>
      <c r="C14" s="101"/>
      <c r="D14" s="101"/>
      <c r="E14" s="101"/>
      <c r="F14" s="101"/>
      <c r="G14" s="101"/>
      <c r="H14" s="4"/>
      <c r="I14" s="4"/>
      <c r="J14" s="4"/>
      <c r="K14" s="19"/>
    </row>
    <row r="15" spans="1:25" ht="63.75" customHeight="1" x14ac:dyDescent="0.25">
      <c r="A15" s="57"/>
      <c r="B15" s="190"/>
      <c r="C15" s="101"/>
      <c r="D15" s="101"/>
      <c r="E15" s="101"/>
      <c r="F15" s="101"/>
      <c r="G15" s="101"/>
      <c r="H15" s="4"/>
      <c r="I15" s="4"/>
      <c r="J15" s="4"/>
      <c r="K15" s="19"/>
    </row>
    <row r="16" spans="1:25" x14ac:dyDescent="0.25">
      <c r="A16" s="4"/>
      <c r="B16" s="18" t="s">
        <v>121</v>
      </c>
      <c r="C16" s="4"/>
      <c r="D16" s="4"/>
      <c r="E16" s="4"/>
      <c r="F16" s="4"/>
      <c r="G16" s="4"/>
      <c r="H16" s="4"/>
      <c r="I16" s="4"/>
      <c r="J16" s="4"/>
      <c r="K16" s="19"/>
      <c r="V16" t="s">
        <v>162</v>
      </c>
    </row>
    <row r="17" spans="1:18" ht="15.75" thickBot="1" x14ac:dyDescent="0.3">
      <c r="A17" s="4"/>
      <c r="B17" s="27"/>
      <c r="C17" s="29"/>
      <c r="D17" s="29"/>
      <c r="E17" s="29"/>
      <c r="F17" s="29"/>
      <c r="G17" s="29"/>
      <c r="H17" s="29"/>
      <c r="I17" s="29"/>
      <c r="J17" s="29"/>
      <c r="K17" s="26"/>
      <c r="O17" t="s">
        <v>150</v>
      </c>
      <c r="P17" t="s">
        <v>151</v>
      </c>
      <c r="Q17" t="s">
        <v>103</v>
      </c>
    </row>
    <row r="18" spans="1:18" ht="15.75" thickBot="1" x14ac:dyDescent="0.3">
      <c r="A18" s="48"/>
      <c r="B18" s="129" t="s">
        <v>122</v>
      </c>
      <c r="C18" s="132"/>
      <c r="D18" s="132"/>
      <c r="E18" s="215"/>
      <c r="F18" s="129" t="s">
        <v>123</v>
      </c>
      <c r="G18" s="131"/>
      <c r="H18" s="129" t="s">
        <v>124</v>
      </c>
      <c r="I18" s="131"/>
      <c r="J18" s="129" t="s">
        <v>125</v>
      </c>
      <c r="K18" s="131"/>
      <c r="N18" t="s">
        <v>165</v>
      </c>
      <c r="O18">
        <v>0</v>
      </c>
      <c r="P18">
        <v>0</v>
      </c>
      <c r="Q18">
        <f>O18</f>
        <v>0</v>
      </c>
    </row>
    <row r="19" spans="1:18" ht="15.75" customHeight="1" thickBot="1" x14ac:dyDescent="0.3">
      <c r="A19" s="3"/>
      <c r="B19" s="210" t="s">
        <v>149</v>
      </c>
      <c r="C19" s="237"/>
      <c r="D19" s="237"/>
      <c r="E19" s="238"/>
      <c r="F19" s="229">
        <v>148.77000000000001</v>
      </c>
      <c r="G19" s="230"/>
      <c r="H19" s="231">
        <v>5014.91</v>
      </c>
      <c r="I19" s="131"/>
      <c r="J19" s="235">
        <f>H19*F19</f>
        <v>746068.16070000001</v>
      </c>
      <c r="K19" s="131"/>
      <c r="N19" t="s">
        <v>163</v>
      </c>
      <c r="O19">
        <v>4792</v>
      </c>
      <c r="P19">
        <v>155</v>
      </c>
      <c r="Q19" s="68">
        <f>O19*P19</f>
        <v>742760</v>
      </c>
    </row>
    <row r="20" spans="1:18" ht="15.75" customHeight="1" x14ac:dyDescent="0.25">
      <c r="A20" s="47"/>
      <c r="B20" s="207"/>
      <c r="C20" s="101"/>
      <c r="D20" s="101"/>
      <c r="E20" s="101"/>
      <c r="F20" s="224"/>
      <c r="G20" s="236"/>
      <c r="H20" s="241" t="s">
        <v>159</v>
      </c>
      <c r="I20" s="242"/>
      <c r="J20" s="239">
        <f>J19*0.001</f>
        <v>746.06816070000002</v>
      </c>
      <c r="K20" s="240"/>
      <c r="M20" s="69"/>
      <c r="N20" t="s">
        <v>164</v>
      </c>
      <c r="O20" s="74">
        <v>222</v>
      </c>
      <c r="P20">
        <v>15</v>
      </c>
      <c r="Q20" s="74">
        <f>O20*P20</f>
        <v>3330</v>
      </c>
    </row>
    <row r="21" spans="1:18" ht="15.75" customHeight="1" thickBot="1" x14ac:dyDescent="0.3">
      <c r="A21" s="3"/>
      <c r="B21" s="205"/>
      <c r="C21" s="184"/>
      <c r="D21" s="184"/>
      <c r="E21" s="184"/>
      <c r="F21" s="29"/>
      <c r="G21" s="58"/>
      <c r="H21" s="244" t="s">
        <v>103</v>
      </c>
      <c r="I21" s="245"/>
      <c r="J21" s="227">
        <f>SUM(J19:K20)</f>
        <v>746814.22886070004</v>
      </c>
      <c r="K21" s="228"/>
      <c r="Q21" s="67">
        <f>SUM(Q18:Q20)</f>
        <v>746090</v>
      </c>
    </row>
    <row r="22" spans="1:18" ht="15.75" customHeight="1" thickBot="1" x14ac:dyDescent="0.3">
      <c r="A22" s="47"/>
      <c r="B22" s="207"/>
      <c r="C22" s="101"/>
      <c r="D22" s="101"/>
      <c r="E22" s="101"/>
      <c r="F22" s="4"/>
      <c r="G22" s="4"/>
      <c r="H22" s="232"/>
      <c r="I22" s="101"/>
      <c r="J22" s="224"/>
      <c r="K22" s="180"/>
      <c r="N22" s="69"/>
    </row>
    <row r="23" spans="1:18" ht="15.75" customHeight="1" thickBot="1" x14ac:dyDescent="0.3">
      <c r="A23" s="48"/>
      <c r="B23" s="233" t="s">
        <v>126</v>
      </c>
      <c r="C23" s="130"/>
      <c r="D23" s="42"/>
      <c r="E23" s="42"/>
      <c r="F23" s="42"/>
      <c r="G23" s="42"/>
      <c r="H23" s="42"/>
      <c r="I23" s="42"/>
      <c r="J23" s="234">
        <f>J21</f>
        <v>746814.22886070004</v>
      </c>
      <c r="K23" s="131"/>
      <c r="Q23" s="77">
        <f>Q21/O25</f>
        <v>148.77425994132861</v>
      </c>
      <c r="R23" s="76" t="s">
        <v>151</v>
      </c>
    </row>
    <row r="24" spans="1:18" ht="15.75" customHeight="1" x14ac:dyDescent="0.25">
      <c r="A24" s="4"/>
      <c r="B24" s="18"/>
      <c r="C24" s="4"/>
      <c r="D24" s="4"/>
      <c r="E24" s="4"/>
      <c r="F24" s="4"/>
      <c r="G24" s="4"/>
      <c r="H24" s="4"/>
      <c r="I24" s="4"/>
      <c r="J24" s="4"/>
      <c r="K24" s="19"/>
      <c r="O24" s="68"/>
      <c r="Q24" s="75"/>
    </row>
    <row r="25" spans="1:18" ht="15.75" customHeight="1" x14ac:dyDescent="0.25">
      <c r="A25" s="59"/>
      <c r="B25" s="243" t="s">
        <v>127</v>
      </c>
      <c r="C25" s="101"/>
      <c r="D25" s="4"/>
      <c r="E25" s="4"/>
      <c r="F25" s="4"/>
      <c r="G25" s="4"/>
      <c r="H25" s="4"/>
      <c r="I25" s="4"/>
      <c r="J25" s="4"/>
      <c r="K25" s="19"/>
      <c r="M25" t="s">
        <v>153</v>
      </c>
      <c r="N25" s="73">
        <v>466.07</v>
      </c>
      <c r="O25" s="79">
        <f>N25*10.76</f>
        <v>5014.9132</v>
      </c>
      <c r="P25" s="76" t="s">
        <v>155</v>
      </c>
    </row>
    <row r="26" spans="1:18" ht="15.75" customHeight="1" x14ac:dyDescent="0.25">
      <c r="A26" s="4"/>
      <c r="B26" s="18" t="s">
        <v>128</v>
      </c>
      <c r="C26" s="4"/>
      <c r="D26" s="4" t="s">
        <v>146</v>
      </c>
      <c r="E26" s="4"/>
      <c r="F26" s="4"/>
      <c r="G26" s="4"/>
      <c r="H26" s="4"/>
      <c r="I26" s="4"/>
      <c r="J26" s="4"/>
      <c r="K26" s="19"/>
      <c r="M26" t="s">
        <v>154</v>
      </c>
      <c r="O26" s="74">
        <v>4792</v>
      </c>
    </row>
    <row r="27" spans="1:18" ht="15.75" customHeight="1" x14ac:dyDescent="0.25">
      <c r="A27" s="4"/>
      <c r="B27" s="18" t="s">
        <v>129</v>
      </c>
      <c r="C27" s="4"/>
      <c r="D27" s="4"/>
      <c r="E27" s="4"/>
      <c r="F27" s="4"/>
      <c r="G27" s="4"/>
      <c r="H27" s="4"/>
      <c r="I27" s="4"/>
      <c r="J27" s="4"/>
      <c r="K27" s="19"/>
      <c r="M27" t="s">
        <v>152</v>
      </c>
      <c r="O27" s="74">
        <f>O25-O26</f>
        <v>222.91319999999996</v>
      </c>
    </row>
    <row r="28" spans="1:18" ht="15.75" customHeight="1" x14ac:dyDescent="0.25">
      <c r="A28" s="4"/>
      <c r="B28" s="18" t="s">
        <v>130</v>
      </c>
      <c r="C28" s="4"/>
      <c r="D28" s="4"/>
      <c r="E28" s="4"/>
      <c r="F28" s="4"/>
      <c r="G28" s="4"/>
      <c r="H28" s="4"/>
      <c r="I28" s="4"/>
      <c r="J28" s="4"/>
      <c r="K28" s="19"/>
    </row>
    <row r="29" spans="1:18" ht="15.75" customHeight="1" x14ac:dyDescent="0.25">
      <c r="A29" s="4"/>
      <c r="B29" s="18" t="s">
        <v>131</v>
      </c>
      <c r="C29" s="4"/>
      <c r="D29" s="4" t="s">
        <v>147</v>
      </c>
      <c r="E29" s="4"/>
      <c r="F29" s="4"/>
      <c r="G29" s="4"/>
      <c r="H29" s="4"/>
      <c r="I29" s="4"/>
      <c r="J29" s="4"/>
      <c r="K29" s="19"/>
    </row>
    <row r="30" spans="1:18" ht="15.75" customHeight="1" x14ac:dyDescent="0.25">
      <c r="A30" s="4"/>
      <c r="B30" s="18" t="s">
        <v>132</v>
      </c>
      <c r="C30" s="4"/>
      <c r="D30" s="4"/>
      <c r="E30" s="4"/>
      <c r="F30" s="4"/>
      <c r="G30" s="4"/>
      <c r="H30" s="4"/>
      <c r="I30" s="4"/>
      <c r="J30" s="4"/>
      <c r="K30" s="19"/>
    </row>
    <row r="31" spans="1:18" ht="15.75" customHeight="1" x14ac:dyDescent="0.25">
      <c r="A31" s="4"/>
      <c r="B31" s="18" t="s">
        <v>133</v>
      </c>
      <c r="C31" s="4"/>
      <c r="D31" s="4"/>
      <c r="E31" s="4"/>
      <c r="F31" s="4"/>
      <c r="G31" s="4"/>
      <c r="H31" s="4"/>
      <c r="I31" s="4"/>
      <c r="J31" s="4"/>
      <c r="K31" s="19"/>
    </row>
    <row r="32" spans="1:18" ht="15.75" customHeight="1" x14ac:dyDescent="0.25">
      <c r="A32" s="4"/>
      <c r="B32" s="18" t="s">
        <v>134</v>
      </c>
      <c r="C32" s="4"/>
      <c r="D32" s="4" t="s">
        <v>135</v>
      </c>
      <c r="E32" s="4"/>
      <c r="F32" s="4"/>
      <c r="G32" s="4"/>
      <c r="H32" s="4"/>
      <c r="I32" s="4"/>
      <c r="J32" s="4"/>
      <c r="K32" s="19"/>
    </row>
    <row r="33" spans="1:11" ht="15.75" customHeight="1" x14ac:dyDescent="0.25">
      <c r="A33" s="4"/>
      <c r="B33" s="18"/>
      <c r="C33" s="4"/>
      <c r="D33" s="1" t="s">
        <v>136</v>
      </c>
      <c r="E33" s="4"/>
      <c r="F33" s="4"/>
      <c r="G33" s="4"/>
      <c r="H33" s="4"/>
      <c r="I33" s="4"/>
      <c r="J33" s="4"/>
      <c r="K33" s="19"/>
    </row>
    <row r="34" spans="1:11" ht="15.75" customHeight="1" x14ac:dyDescent="0.25">
      <c r="A34" s="4"/>
      <c r="B34" s="18"/>
      <c r="C34" s="4"/>
      <c r="D34" s="4" t="s">
        <v>137</v>
      </c>
      <c r="E34" s="4"/>
      <c r="F34" s="4"/>
      <c r="G34" s="4"/>
      <c r="H34" s="4"/>
      <c r="I34" s="4"/>
      <c r="J34" s="4"/>
      <c r="K34" s="19"/>
    </row>
    <row r="35" spans="1:11" ht="15.75" customHeight="1" x14ac:dyDescent="0.25">
      <c r="A35" s="60"/>
      <c r="B35" s="195" t="s">
        <v>138</v>
      </c>
      <c r="C35" s="101"/>
      <c r="D35" s="101"/>
      <c r="E35" s="101"/>
      <c r="F35" s="101"/>
      <c r="G35" s="101"/>
      <c r="H35" s="4"/>
      <c r="I35" s="4"/>
      <c r="J35" s="4"/>
      <c r="K35" s="19"/>
    </row>
    <row r="36" spans="1:11" ht="15.75" customHeight="1" x14ac:dyDescent="0.25">
      <c r="A36" s="60"/>
      <c r="B36" s="195" t="s">
        <v>139</v>
      </c>
      <c r="C36" s="101"/>
      <c r="D36" s="101"/>
      <c r="E36" s="101"/>
      <c r="F36" s="101"/>
      <c r="G36" s="101"/>
      <c r="H36" s="4"/>
      <c r="I36" s="4"/>
      <c r="J36" s="4"/>
      <c r="K36" s="19"/>
    </row>
    <row r="37" spans="1:11" ht="15.75" customHeight="1" x14ac:dyDescent="0.25">
      <c r="A37" s="34"/>
      <c r="B37" s="33" t="s">
        <v>140</v>
      </c>
      <c r="C37" s="61" t="str">
        <f>'input data'!B5</f>
        <v>AD2403260504856</v>
      </c>
      <c r="D37" s="34"/>
      <c r="E37" s="34"/>
      <c r="F37" s="34"/>
      <c r="G37" s="34"/>
      <c r="H37" s="4"/>
      <c r="I37" s="4"/>
      <c r="J37" s="4"/>
      <c r="K37" s="19"/>
    </row>
    <row r="38" spans="1:11" ht="15.75" customHeight="1" x14ac:dyDescent="0.25">
      <c r="A38" s="4"/>
      <c r="B38" s="18" t="s">
        <v>141</v>
      </c>
      <c r="C38" s="4"/>
      <c r="D38" s="4"/>
      <c r="E38" s="4"/>
      <c r="F38" s="4"/>
      <c r="G38" s="4"/>
      <c r="H38" s="4"/>
      <c r="I38" s="4"/>
      <c r="J38" s="4"/>
      <c r="K38" s="19"/>
    </row>
    <row r="39" spans="1:11" ht="15.75" customHeight="1" x14ac:dyDescent="0.25">
      <c r="A39" s="4"/>
      <c r="B39" s="18"/>
      <c r="C39" s="4"/>
      <c r="D39" s="4"/>
      <c r="E39" s="4"/>
      <c r="F39" s="4"/>
      <c r="G39" s="4"/>
      <c r="H39" s="4"/>
      <c r="I39" s="4"/>
      <c r="J39" s="4"/>
      <c r="K39" s="19"/>
    </row>
    <row r="40" spans="1:11" ht="15.75" customHeight="1" x14ac:dyDescent="0.25">
      <c r="A40" s="4"/>
      <c r="B40" s="18"/>
      <c r="C40" s="4"/>
      <c r="D40" s="4"/>
      <c r="E40" s="4"/>
      <c r="F40" s="4"/>
      <c r="G40" s="4"/>
      <c r="H40" s="4"/>
      <c r="I40" s="4"/>
      <c r="J40" s="4"/>
      <c r="K40" s="19"/>
    </row>
    <row r="41" spans="1:11" ht="15.75" customHeight="1" x14ac:dyDescent="0.25">
      <c r="A41" s="4"/>
      <c r="B41" s="27"/>
      <c r="C41" s="29"/>
      <c r="D41" s="29"/>
      <c r="E41" s="29"/>
      <c r="F41" s="29"/>
      <c r="G41" s="29"/>
      <c r="H41" s="29"/>
      <c r="I41" s="29"/>
      <c r="J41" s="29"/>
      <c r="K41" s="26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36:G36"/>
    <mergeCell ref="B21:E21"/>
    <mergeCell ref="H20:I20"/>
    <mergeCell ref="B25:C25"/>
    <mergeCell ref="H21:I21"/>
    <mergeCell ref="J21:K21"/>
    <mergeCell ref="F19:G19"/>
    <mergeCell ref="H19:I19"/>
    <mergeCell ref="B35:G35"/>
    <mergeCell ref="B22:E22"/>
    <mergeCell ref="H22:I22"/>
    <mergeCell ref="J22:K22"/>
    <mergeCell ref="B23:C23"/>
    <mergeCell ref="J23:K23"/>
    <mergeCell ref="J19:K19"/>
    <mergeCell ref="B20:E20"/>
    <mergeCell ref="F20:G20"/>
    <mergeCell ref="B19:E19"/>
    <mergeCell ref="J20:K20"/>
    <mergeCell ref="B1:K2"/>
    <mergeCell ref="R1:V1"/>
    <mergeCell ref="W1:Y1"/>
    <mergeCell ref="B3:K3"/>
    <mergeCell ref="B4:K4"/>
    <mergeCell ref="B5:K5"/>
    <mergeCell ref="B7:K7"/>
    <mergeCell ref="B13:G13"/>
    <mergeCell ref="B14:G15"/>
    <mergeCell ref="F18:G18"/>
    <mergeCell ref="H18:I18"/>
    <mergeCell ref="J18:K18"/>
    <mergeCell ref="B18:E18"/>
    <mergeCell ref="C9:D9"/>
  </mergeCells>
  <pageMargins left="0.7" right="0.7" top="0.75" bottom="0.75" header="0" footer="0"/>
  <pageSetup scale="7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company data</vt:lpstr>
      <vt:lpstr>input data</vt:lpstr>
      <vt:lpstr>Invoice</vt:lpstr>
      <vt:lpstr>Peacking List</vt:lpstr>
      <vt:lpstr>PO</vt:lpstr>
      <vt:lpstr>Invoice!Print_Area</vt:lpstr>
      <vt:lpstr>PO!Print_Area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2026-08-25T10:31:49Z</cp:lastPrinted>
  <dcterms:created xsi:type="dcterms:W3CDTF">2022-11-23T06:47:43Z</dcterms:created>
  <dcterms:modified xsi:type="dcterms:W3CDTF">2026-08-25T10:42:56Z</dcterms:modified>
</cp:coreProperties>
</file>
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6 BK006 May CMK TRADING COMPANY LIMITED (Nhan Lee) G20 LINE POLISH (VS Trans) (MC)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6" l="1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6" i="5" l="1"/>
  <c r="B5" i="2" l="1"/>
  <c r="B3" i="2" l="1"/>
  <c r="E4" i="6" s="1"/>
  <c r="Q19" i="5" l="1"/>
  <c r="C9" i="5" l="1"/>
  <c r="F28" i="3" l="1"/>
  <c r="I28" i="3" l="1"/>
  <c r="I33" i="3" s="1"/>
  <c r="Q20" i="5"/>
  <c r="Q21" i="5" s="1"/>
  <c r="O27" i="5" l="1"/>
  <c r="Q23" i="5" l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<sst xmlns="http://schemas.openxmlformats.org/spreadsheetml/2006/main" count="265" uniqueCount="170">
  <si>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</si>
  <si>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</si>
  <si>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</si>
  <si>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</si>
  <si>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</si>
  <si>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</si>
  <si>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</si>
  <si>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</si>
  <si>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</si>
  <si>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</si>
  <si>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</si>
  <si>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</si>
  <si>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</si>
  <si>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</si>
  <si>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</si>
  <si>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</si>
  <si>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</si>
  <si>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</si>
  <si>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</si>
  <si>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</si>
  <si>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</si>
  <si>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</si>
  <si>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</si>
  <si>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</si>
  <si>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</si>
  <si>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</si>
  <si>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</si>
  <si>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</si>
  <si>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</si>
  <si>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</si>
  <si>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</si>
  <si>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</si>
  <si>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</si>
  <si>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</si>
  <si>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</si>
  <si>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</si>
  <si>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</si>
  <si>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</si>
  <si>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</si>
  <si>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</si>
  <si>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</si>
  <si>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</si>
  <si>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</si>
  <si>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</si>
  <si>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</si>
  <si>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</si>
  <si>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</si>
  <si>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</si>
  <si>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</si>
  <si>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</si>
  <si>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</si>
  <si>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</si>
  <si>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</si>
  <si>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</si>
  <si>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</si>
  <si>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</si>
  <si>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</si>
  <si>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</si>
  <si>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</si>
  <si>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</si>
  <si>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</si>
  <si>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</si>
  <si>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</si>
  <si>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</si>
  <si>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</si>
  <si>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</si>
  <si>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</si>
  <si>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</si>
  <si>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</si>
  <si>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</si>
  <si>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</si>
  <si>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</si>
  <si>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</si>
  <si>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</si>
  <si>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</si>
  <si>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</si>
  <si>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</si>
  <si>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</si>
  <si>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</si>
  <si>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</si>
  <si>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</si>
  <si>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</si>
  <si>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</si>
  <si>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</si>
  <si>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</si>
  <si>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</si>
  <si>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</si>
  <si>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</si>
  <si>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</si>
  <si>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</si>
  <si>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</si>
  <si>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</si>
  <si>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</si>
  <si>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</si>
  <si>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</si>
  <si>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</si>
  <si>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</si>
  <si>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</si>
  <si>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</si>
  <si>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</si>
  <si>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</si>
  <si>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</si>
  <si>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</si>
  <si>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</si>
  <si>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</si>
  <si>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</si>
  <si>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</si>
  <si>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</si>
  <si>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</si>
  <si>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</si>
  <si>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</si>
  <si>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</si>
  <si>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</si>
  <si>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</si>
  <si>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</si>
  <si>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</si>
  <si>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</si>
  <si>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</si>
  <si>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</si>
  <si>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</si>
  <si>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</si>
  <si>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</si>
  <si>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</si>
  <si>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</si>
  <si>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</si>
  <si>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</si>
  <si>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</si>
  <si>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</si>
  <si>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</si>
  <si>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</si>
  <si>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</si>
  <si>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</si>
  <si>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</si>
  <si>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</si>
  <si>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</si>
  <si>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</si>
  <si>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</si>
  <si>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</si>
  <si>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</si>
  <si>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</si>
  <si>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</si>
  <si>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</si>
  <si>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</si>
  <si>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</si>
  <si>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</si>
  <si>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</si>
  <si>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</si>
  <si>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</si>
  <si>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</si>
  <si>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</si>
  <si>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</si>
  <si>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</si>
  <si>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</si>
  <si>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</si>
  <si>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</si>
  <si>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</si>
  <si>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</si>
  <si>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LONG</t>
  </si>
  <si>
    <t>GST 0.1%</t>
  </si>
  <si>
    <t xml:space="preserve">TAX INVOICE </t>
  </si>
  <si>
    <t>27500 KGS</t>
  </si>
  <si>
    <t xml:space="preserve">CMK TRADING COMPANY LIMITED
ADD: No 60 street 64-TML, Quarter 1, Cat Lai Ward, 
Ho Chi Minh city, Vietnam
TAX ID : 0317762127
PHONE : +84 974778685
EMAIL : cmktrading.coltd@gmail.com
</t>
  </si>
  <si>
    <t>06</t>
  </si>
  <si>
    <t>CHENNAI</t>
  </si>
  <si>
    <t>CAT LAI</t>
  </si>
  <si>
    <t>WHSU2467053</t>
  </si>
  <si>
    <t>28000 KGS</t>
  </si>
  <si>
    <t>PO 006/26-27</t>
  </si>
  <si>
    <t>Sy .NO 84/5A,5D &amp; 84-6, NARIGA PALLI  Village &amp; Post, Chittoor (M) &amp; District (A.P) 517002
GST NO : 37ADEFS4472M1ZI</t>
  </si>
  <si>
    <t>SARVA SIDDI VINAYAKA GRANITES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</si>
</sst>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6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0" fillId="0" borderId="17" xfId="0" applyFont="1" applyBorder="1" applyAlignment="1"/>
    <xf numFmtId="0" fontId="8" fillId="0" borderId="17" xfId="0" applyFont="1" applyBorder="1"/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0" fontId="8" fillId="0" borderId="20" xfId="0" applyFont="1" applyBorder="1"/>
    <xf numFmtId="0" fontId="8" fillId="0" borderId="21" xfId="0" applyFont="1" applyBorder="1"/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8" fillId="0" borderId="45" xfId="0" applyFont="1" applyBorder="1"/>
    <xf numFmtId="0" fontId="4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18" xfId="0" applyFont="1" applyBorder="1"/>
    <xf numFmtId="0" fontId="8" fillId="0" borderId="47" xfId="0" applyFont="1" applyBorder="1"/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8" fillId="0" borderId="19" xfId="0" applyFont="1" applyBorder="1"/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6" xfId="0" applyFont="1" applyBorder="1"/>
    <xf numFmtId="0" fontId="8" fillId="0" borderId="51" xfId="0" applyFont="1" applyBorder="1"/>
    <xf numFmtId="0" fontId="8" fillId="0" borderId="40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8" fillId="0" borderId="44" xfId="0" applyFont="1" applyBorder="1"/>
    <xf numFmtId="0" fontId="8" fillId="0" borderId="39" xfId="0" applyFont="1" applyBorder="1"/>
    <xf numFmtId="0" fontId="8" fillId="0" borderId="50" xfId="0" applyFont="1" applyBorder="1"/>
    <xf numFmtId="0" fontId="6" fillId="0" borderId="52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4" xfId="0" applyFont="1" applyBorder="1" applyAlignment="1">
      <alignment horizontal="left" wrapText="1"/>
    </xf>
    <xf numFmtId="0" fontId="15" fillId="0" borderId="44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E25" sqref="E25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BK006/26-27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46143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141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161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163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163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164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164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142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165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221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429.46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10" zoomScaleNormal="100" workbookViewId="0">
      <selection activeCell="I29" sqref="I29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15" t="s">
        <v>159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16.5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</row>
    <row r="3" spans="1:10" x14ac:dyDescent="0.25">
      <c r="A3" s="90" t="s">
        <v>37</v>
      </c>
      <c r="B3" s="91"/>
      <c r="C3" s="91"/>
      <c r="D3" s="92"/>
      <c r="E3" s="118" t="s">
        <v>38</v>
      </c>
      <c r="F3" s="119"/>
      <c r="G3" s="120"/>
      <c r="H3" s="118" t="s">
        <v>39</v>
      </c>
      <c r="I3" s="119"/>
      <c r="J3" s="121"/>
    </row>
    <row r="4" spans="1:10" ht="15.75" thickBot="1" x14ac:dyDescent="0.3">
      <c r="A4" s="93" t="s">
        <v>40</v>
      </c>
      <c r="B4" s="68"/>
      <c r="C4" s="68"/>
      <c r="D4" s="70"/>
      <c r="E4" s="122" t="str">
        <f>'input data'!B3</f>
        <v>BK006/26-27</v>
      </c>
      <c r="F4" s="123"/>
      <c r="G4" s="124"/>
      <c r="H4" s="125">
        <f>'input data'!B4</f>
        <v>46143</v>
      </c>
      <c r="I4" s="126"/>
      <c r="J4" s="127"/>
    </row>
    <row r="5" spans="1:10" x14ac:dyDescent="0.25">
      <c r="A5" s="94" t="s">
        <v>41</v>
      </c>
      <c r="B5" s="68"/>
      <c r="C5" s="68"/>
      <c r="D5" s="70"/>
      <c r="E5" s="110" t="s">
        <v>42</v>
      </c>
      <c r="F5" s="111"/>
      <c r="G5" s="112"/>
      <c r="H5" s="110" t="s">
        <v>43</v>
      </c>
      <c r="I5" s="111"/>
      <c r="J5" s="113"/>
    </row>
    <row r="6" spans="1:10" ht="15.75" thickBot="1" x14ac:dyDescent="0.3">
      <c r="A6" s="94" t="s">
        <v>44</v>
      </c>
      <c r="B6" s="68"/>
      <c r="C6" s="68"/>
      <c r="D6" s="70"/>
      <c r="E6" s="128"/>
      <c r="F6" s="123"/>
      <c r="G6" s="124"/>
      <c r="H6" s="129" t="str">
        <f>'input data'!B5</f>
        <v>AD2403260504856</v>
      </c>
      <c r="I6" s="123"/>
      <c r="J6" s="130"/>
    </row>
    <row r="7" spans="1:10" x14ac:dyDescent="0.25">
      <c r="A7" s="94" t="s">
        <v>45</v>
      </c>
      <c r="B7" s="68"/>
      <c r="C7" s="68"/>
      <c r="D7" s="70"/>
      <c r="E7" s="110" t="s">
        <v>46</v>
      </c>
      <c r="F7" s="111"/>
      <c r="G7" s="112"/>
      <c r="H7" s="110" t="s">
        <v>47</v>
      </c>
      <c r="I7" s="111"/>
      <c r="J7" s="113"/>
    </row>
    <row r="8" spans="1:10" ht="15.75" thickBot="1" x14ac:dyDescent="0.3">
      <c r="A8" s="93" t="s">
        <v>48</v>
      </c>
      <c r="B8" s="68"/>
      <c r="C8" s="68"/>
      <c r="D8" s="70"/>
      <c r="E8" s="128" t="s">
        <v>49</v>
      </c>
      <c r="F8" s="123"/>
      <c r="G8" s="124"/>
      <c r="H8" s="131" t="s">
        <v>50</v>
      </c>
      <c r="I8" s="123"/>
      <c r="J8" s="130"/>
    </row>
    <row r="9" spans="1:10" x14ac:dyDescent="0.25">
      <c r="A9" s="95" t="s">
        <v>51</v>
      </c>
      <c r="B9" s="68"/>
      <c r="C9" s="68"/>
      <c r="D9" s="70"/>
      <c r="E9" s="110" t="s">
        <v>52</v>
      </c>
      <c r="F9" s="111"/>
      <c r="G9" s="112"/>
      <c r="H9" s="110" t="s">
        <v>53</v>
      </c>
      <c r="I9" s="111"/>
      <c r="J9" s="113"/>
    </row>
    <row r="10" spans="1:10" ht="15.75" thickBot="1" x14ac:dyDescent="0.3">
      <c r="A10" s="95" t="s">
        <v>54</v>
      </c>
      <c r="B10" s="68"/>
      <c r="C10" s="68"/>
      <c r="D10" s="70"/>
      <c r="E10" s="132" t="str">
        <f>'input data'!B14</f>
        <v>Loose packing</v>
      </c>
      <c r="F10" s="116"/>
      <c r="G10" s="133"/>
      <c r="H10" s="132" t="str">
        <f>'input data'!B13 &amp; " " &amp; 'input data'!B15</f>
        <v>1 FCL</v>
      </c>
      <c r="I10" s="116"/>
      <c r="J10" s="134"/>
    </row>
    <row r="11" spans="1:10" ht="15.75" thickBot="1" x14ac:dyDescent="0.3">
      <c r="A11" s="135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40"/>
    </row>
    <row r="12" spans="1:10" ht="15" customHeight="1" x14ac:dyDescent="0.25">
      <c r="A12" s="147" t="str">
        <f>'input data'!B6</f>
        <v>To the Order</v>
      </c>
      <c r="B12" s="116"/>
      <c r="C12" s="116"/>
      <c r="D12" s="133"/>
      <c r="E12" s="148" t="str">
        <f>'input data'!B16</f>
        <v>CNF</v>
      </c>
      <c r="F12" s="116"/>
      <c r="G12" s="133"/>
      <c r="H12" s="149" t="str">
        <f>'input data'!B17</f>
        <v>100% Against Documents</v>
      </c>
      <c r="I12" s="116"/>
      <c r="J12" s="134"/>
    </row>
    <row r="13" spans="1:10" ht="15.75" thickBot="1" x14ac:dyDescent="0.3">
      <c r="A13" s="93"/>
      <c r="B13" s="68"/>
      <c r="C13" s="68"/>
      <c r="D13" s="70"/>
      <c r="E13" s="144"/>
      <c r="F13" s="123"/>
      <c r="G13" s="124"/>
      <c r="H13" s="123"/>
      <c r="I13" s="123"/>
      <c r="J13" s="130"/>
    </row>
    <row r="14" spans="1:10" x14ac:dyDescent="0.25">
      <c r="A14" s="96" t="s">
        <v>58</v>
      </c>
      <c r="B14" s="17"/>
      <c r="C14" s="17"/>
      <c r="D14" s="18"/>
      <c r="E14" s="150" t="s">
        <v>153</v>
      </c>
      <c r="F14" s="111"/>
      <c r="G14" s="111"/>
      <c r="H14" s="111"/>
      <c r="I14" s="111"/>
      <c r="J14" s="113"/>
    </row>
    <row r="15" spans="1:10" x14ac:dyDescent="0.25">
      <c r="A15" s="155" t="str">
        <f>'input data'!B7</f>
        <v xml:space="preserve">CMK TRADING COMPANY LIMITED
ADD: No 60 street 64-TML, Quarter 1, Cat Lai Ward, 
Ho Chi Minh city, Vietnam
TAX ID : 0317762127
PHONE : +84 974778685
EMAIL : cmktrading.coltd@gmail.com
</v>
      </c>
      <c r="B15" s="116"/>
      <c r="C15" s="116"/>
      <c r="D15" s="133"/>
      <c r="E15" s="151"/>
      <c r="F15" s="116"/>
      <c r="G15" s="116"/>
      <c r="H15" s="116"/>
      <c r="I15" s="116"/>
      <c r="J15" s="134"/>
    </row>
    <row r="16" spans="1:10" x14ac:dyDescent="0.25">
      <c r="A16" s="156"/>
      <c r="B16" s="116"/>
      <c r="C16" s="116"/>
      <c r="D16" s="133"/>
      <c r="E16" s="151"/>
      <c r="F16" s="116"/>
      <c r="G16" s="116"/>
      <c r="H16" s="116"/>
      <c r="I16" s="116"/>
      <c r="J16" s="134"/>
    </row>
    <row r="17" spans="1:20" x14ac:dyDescent="0.25">
      <c r="A17" s="156"/>
      <c r="B17" s="116"/>
      <c r="C17" s="116"/>
      <c r="D17" s="133"/>
      <c r="E17" s="151"/>
      <c r="F17" s="116"/>
      <c r="G17" s="116"/>
      <c r="H17" s="116"/>
      <c r="I17" s="116"/>
      <c r="J17" s="134"/>
    </row>
    <row r="18" spans="1:20" x14ac:dyDescent="0.25">
      <c r="A18" s="156"/>
      <c r="B18" s="116"/>
      <c r="C18" s="116"/>
      <c r="D18" s="133"/>
      <c r="E18" s="151"/>
      <c r="F18" s="116"/>
      <c r="G18" s="116"/>
      <c r="H18" s="116"/>
      <c r="I18" s="116"/>
      <c r="J18" s="134"/>
    </row>
    <row r="19" spans="1:20" x14ac:dyDescent="0.25">
      <c r="A19" s="156"/>
      <c r="B19" s="116"/>
      <c r="C19" s="116"/>
      <c r="D19" s="133"/>
      <c r="E19" s="151"/>
      <c r="F19" s="116"/>
      <c r="G19" s="116"/>
      <c r="H19" s="116"/>
      <c r="I19" s="116"/>
      <c r="J19" s="134"/>
    </row>
    <row r="20" spans="1:20" ht="48" customHeight="1" thickBot="1" x14ac:dyDescent="0.3">
      <c r="A20" s="157"/>
      <c r="B20" s="153"/>
      <c r="C20" s="153"/>
      <c r="D20" s="158"/>
      <c r="E20" s="152"/>
      <c r="F20" s="153"/>
      <c r="G20" s="153"/>
      <c r="H20" s="153"/>
      <c r="I20" s="153"/>
      <c r="J20" s="154"/>
    </row>
    <row r="21" spans="1:20" ht="15.75" customHeight="1" x14ac:dyDescent="0.25">
      <c r="A21" s="141" t="s">
        <v>59</v>
      </c>
      <c r="B21" s="133"/>
      <c r="C21" s="142" t="s">
        <v>28</v>
      </c>
      <c r="D21" s="133"/>
      <c r="E21" s="142" t="s">
        <v>60</v>
      </c>
      <c r="F21" s="117"/>
      <c r="G21" s="133"/>
      <c r="H21" s="142" t="s">
        <v>32</v>
      </c>
      <c r="I21" s="117"/>
      <c r="J21" s="134"/>
    </row>
    <row r="22" spans="1:20" ht="14.25" customHeight="1" x14ac:dyDescent="0.25">
      <c r="A22" s="141" t="s">
        <v>61</v>
      </c>
      <c r="B22" s="133"/>
      <c r="C22" s="143" t="str">
        <f>'input data'!B19</f>
        <v>CHENNAI</v>
      </c>
      <c r="D22" s="133"/>
      <c r="E22" s="145" t="s">
        <v>62</v>
      </c>
      <c r="F22" s="116"/>
      <c r="G22" s="133"/>
      <c r="H22" s="145" t="str">
        <f>'input data'!B23</f>
        <v>VIETNAM</v>
      </c>
      <c r="I22" s="116"/>
      <c r="J22" s="134"/>
    </row>
    <row r="23" spans="1:20" ht="15" customHeight="1" thickBot="1" x14ac:dyDescent="0.3">
      <c r="A23" s="146"/>
      <c r="B23" s="133"/>
      <c r="C23" s="144"/>
      <c r="D23" s="124"/>
      <c r="E23" s="144"/>
      <c r="F23" s="123"/>
      <c r="G23" s="124"/>
      <c r="H23" s="144"/>
      <c r="I23" s="123"/>
      <c r="J23" s="130"/>
    </row>
    <row r="24" spans="1:20" ht="15.75" customHeight="1" x14ac:dyDescent="0.25">
      <c r="A24" s="16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3"/>
    </row>
    <row r="25" spans="1:20" ht="15.75" customHeight="1" thickBot="1" x14ac:dyDescent="0.3">
      <c r="A25" s="159"/>
      <c r="B25" s="124"/>
      <c r="C25" s="131" t="str">
        <f>'input data'!B20</f>
        <v>CHENNAI</v>
      </c>
      <c r="D25" s="124"/>
      <c r="E25" s="131" t="str">
        <f>'input data'!B21</f>
        <v>CAT LAI</v>
      </c>
      <c r="F25" s="123"/>
      <c r="G25" s="124"/>
      <c r="H25" s="131" t="str">
        <f>'input data'!B22</f>
        <v>CAT LAI</v>
      </c>
      <c r="I25" s="123"/>
      <c r="J25" s="130"/>
    </row>
    <row r="26" spans="1:20" ht="15.75" customHeight="1" x14ac:dyDescent="0.25">
      <c r="A26" s="162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3"/>
    </row>
    <row r="27" spans="1:20" ht="15.75" customHeight="1" thickBot="1" x14ac:dyDescent="0.3">
      <c r="A27" s="163"/>
      <c r="B27" s="151"/>
      <c r="C27" s="116"/>
      <c r="D27" s="133"/>
      <c r="E27" s="166"/>
      <c r="F27" s="131" t="s">
        <v>69</v>
      </c>
      <c r="G27" s="124"/>
      <c r="H27" s="74" t="s">
        <v>69</v>
      </c>
      <c r="I27" s="131" t="s">
        <v>70</v>
      </c>
      <c r="J27" s="130"/>
    </row>
    <row r="28" spans="1:20" ht="15.75" customHeight="1" thickBot="1" x14ac:dyDescent="0.3">
      <c r="A28" s="9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429.46</v>
      </c>
      <c r="G28" s="137"/>
      <c r="H28" s="89">
        <f>'input data'!B27</f>
        <v>26.5</v>
      </c>
      <c r="I28" s="169">
        <f>F28*H28</f>
        <v>11380.689999999999</v>
      </c>
      <c r="J28" s="170"/>
      <c r="O28" s="75"/>
      <c r="P28" s="75"/>
      <c r="Q28" s="75"/>
    </row>
    <row r="29" spans="1:20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71" t="s">
        <v>145</v>
      </c>
      <c r="I29" s="68"/>
      <c r="J29" s="98"/>
      <c r="S29" s="114"/>
      <c r="T29" s="114"/>
    </row>
    <row r="30" spans="1:20" ht="15.75" customHeight="1" x14ac:dyDescent="0.25">
      <c r="A30" s="173" t="str">
        <f>UPPER('input data'!B24)</f>
        <v>WHSU2467053</v>
      </c>
      <c r="B30" s="116"/>
      <c r="C30" s="99">
        <f>'input data'!B25</f>
        <v>221</v>
      </c>
      <c r="D30" s="68" t="s">
        <v>166</v>
      </c>
      <c r="E30" s="68" t="s">
        <v>160</v>
      </c>
      <c r="F30" s="68"/>
      <c r="G30" s="68"/>
      <c r="H30" s="171"/>
      <c r="I30" s="68"/>
      <c r="J30" s="98"/>
    </row>
    <row r="31" spans="1:20" ht="15.75" customHeight="1" x14ac:dyDescent="0.25">
      <c r="A31" s="93"/>
      <c r="B31" s="68"/>
      <c r="C31" s="68"/>
      <c r="D31" s="68"/>
      <c r="E31" s="68"/>
      <c r="F31" s="68"/>
      <c r="G31" s="68"/>
      <c r="H31" s="171"/>
      <c r="I31" s="68"/>
      <c r="J31" s="98"/>
    </row>
    <row r="32" spans="1:20" ht="15.75" customHeight="1" x14ac:dyDescent="0.25">
      <c r="A32" s="93"/>
      <c r="B32" s="68"/>
      <c r="C32" s="68"/>
      <c r="D32" s="68"/>
      <c r="E32" s="68"/>
      <c r="F32" s="68"/>
      <c r="G32" s="68"/>
      <c r="H32" s="171"/>
      <c r="I32" s="68"/>
      <c r="J32" s="98"/>
    </row>
    <row r="33" spans="1:10" ht="15.75" customHeight="1" x14ac:dyDescent="0.25">
      <c r="A33" s="93"/>
      <c r="B33" s="68"/>
      <c r="C33" s="68"/>
      <c r="D33" s="68"/>
      <c r="E33" s="68"/>
      <c r="F33" s="68"/>
      <c r="G33" s="68"/>
      <c r="H33" s="171"/>
      <c r="I33" s="68"/>
      <c r="J33" s="98"/>
    </row>
    <row r="34" spans="1:10" ht="15.75" customHeight="1" thickBot="1" x14ac:dyDescent="0.3">
      <c r="A34" s="93"/>
      <c r="B34" s="68"/>
      <c r="C34" s="68"/>
      <c r="D34" s="68"/>
      <c r="E34" s="68"/>
      <c r="F34" s="174"/>
      <c r="G34" s="116"/>
      <c r="H34" s="171"/>
      <c r="I34" s="68"/>
      <c r="J34" s="98"/>
    </row>
    <row r="35" spans="1:10" ht="15.75" customHeight="1" thickBot="1" x14ac:dyDescent="0.3">
      <c r="A35" s="100"/>
      <c r="B35" s="69"/>
      <c r="C35" s="69"/>
      <c r="D35" s="69"/>
      <c r="E35" s="69"/>
      <c r="F35" s="69"/>
      <c r="G35" s="69"/>
      <c r="H35" s="172"/>
      <c r="I35" s="175"/>
      <c r="J35" s="176"/>
    </row>
    <row r="36" spans="1:10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77">
        <f>I28</f>
        <v>11380.689999999999</v>
      </c>
      <c r="J36" s="178"/>
    </row>
    <row r="37" spans="1:10" ht="15.75" customHeight="1" thickBot="1" x14ac:dyDescent="0.3">
      <c r="A37" s="101" t="str">
        <f>SpellNumberUSD(I36)</f>
        <v>Eleven Thousand Three Hundred Eighty  Dollars and Sixty Nine Cents</v>
      </c>
      <c r="B37" s="69"/>
      <c r="C37" s="69"/>
      <c r="D37" s="69"/>
      <c r="E37" s="69"/>
      <c r="F37" s="69"/>
      <c r="G37" s="69"/>
      <c r="H37" s="102"/>
      <c r="I37" s="179"/>
      <c r="J37" s="180"/>
    </row>
    <row r="38" spans="1:10" ht="15.75" customHeight="1" x14ac:dyDescent="0.25">
      <c r="A38" s="181" t="s">
        <v>76</v>
      </c>
      <c r="B38" s="111"/>
      <c r="C38" s="111"/>
      <c r="D38" s="112"/>
      <c r="E38" s="182" t="s">
        <v>77</v>
      </c>
      <c r="F38" s="111"/>
      <c r="G38" s="111"/>
      <c r="H38" s="111"/>
      <c r="I38" s="111"/>
      <c r="J38" s="113"/>
    </row>
    <row r="39" spans="1:10" ht="19.5" customHeight="1" x14ac:dyDescent="0.25">
      <c r="A39" s="183" t="s">
        <v>78</v>
      </c>
      <c r="B39" s="116"/>
      <c r="C39" s="116"/>
      <c r="D39" s="133"/>
      <c r="E39" s="103" t="s">
        <v>79</v>
      </c>
      <c r="F39" s="68"/>
      <c r="G39" s="68"/>
      <c r="H39" s="68"/>
      <c r="I39" s="68"/>
      <c r="J39" s="98"/>
    </row>
    <row r="40" spans="1:10" ht="19.5" customHeight="1" x14ac:dyDescent="0.25">
      <c r="A40" s="156"/>
      <c r="B40" s="116"/>
      <c r="C40" s="116"/>
      <c r="D40" s="133"/>
      <c r="E40" s="103"/>
      <c r="F40" s="68"/>
      <c r="G40" s="68"/>
      <c r="H40" s="68"/>
      <c r="I40" s="68"/>
      <c r="J40" s="98"/>
    </row>
    <row r="41" spans="1:10" ht="15.75" customHeight="1" x14ac:dyDescent="0.25">
      <c r="A41" s="184" t="s">
        <v>80</v>
      </c>
      <c r="B41" s="116"/>
      <c r="C41" s="116"/>
      <c r="D41" s="133"/>
      <c r="E41" s="103"/>
      <c r="F41" s="68"/>
      <c r="G41" s="68"/>
      <c r="H41" s="68"/>
      <c r="I41" s="68"/>
      <c r="J41" s="98"/>
    </row>
    <row r="42" spans="1:10" ht="18.75" customHeight="1" thickBot="1" x14ac:dyDescent="0.3">
      <c r="A42" s="157"/>
      <c r="B42" s="153"/>
      <c r="C42" s="153"/>
      <c r="D42" s="158"/>
      <c r="E42" s="104" t="s">
        <v>81</v>
      </c>
      <c r="F42" s="105"/>
      <c r="G42" s="105"/>
      <c r="H42" s="105"/>
      <c r="I42" s="105"/>
      <c r="J42" s="106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3" workbookViewId="0">
      <selection activeCell="T27" sqref="T2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82" t="s">
        <v>83</v>
      </c>
      <c r="B2" s="111"/>
      <c r="C2" s="111"/>
      <c r="D2" s="111"/>
      <c r="E2" s="111"/>
      <c r="F2" s="112"/>
      <c r="G2" s="110" t="s">
        <v>38</v>
      </c>
      <c r="H2" s="112"/>
      <c r="I2" s="185" t="s">
        <v>39</v>
      </c>
      <c r="J2" s="112"/>
    </row>
    <row r="3" spans="1:10" ht="15.75" x14ac:dyDescent="0.25">
      <c r="A3" s="202" t="s">
        <v>84</v>
      </c>
      <c r="B3" s="108"/>
      <c r="C3" s="108"/>
      <c r="D3" s="108"/>
      <c r="E3" s="108"/>
      <c r="F3" s="187"/>
      <c r="G3" s="203" t="str">
        <f>'indian rupees igst'!E4</f>
        <v>BK006/26-27</v>
      </c>
      <c r="H3" s="190"/>
      <c r="I3" s="204">
        <f>'indian rupees igst'!H4</f>
        <v>46143</v>
      </c>
      <c r="J3" s="205"/>
    </row>
    <row r="4" spans="1:10" x14ac:dyDescent="0.25">
      <c r="A4" s="19" t="s">
        <v>85</v>
      </c>
      <c r="B4" s="4"/>
      <c r="C4" s="4"/>
      <c r="D4" s="4"/>
      <c r="E4" s="4"/>
      <c r="F4" s="20"/>
      <c r="G4" s="185" t="s">
        <v>43</v>
      </c>
      <c r="H4" s="111"/>
      <c r="I4" s="111"/>
      <c r="J4" s="112"/>
    </row>
    <row r="5" spans="1:10" x14ac:dyDescent="0.25">
      <c r="A5" s="19" t="s">
        <v>86</v>
      </c>
      <c r="B5" s="4"/>
      <c r="C5" s="4"/>
      <c r="D5" s="4"/>
      <c r="E5" s="4"/>
      <c r="F5" s="20"/>
      <c r="G5" s="189" t="str">
        <f>'input data'!B5</f>
        <v>AD2403260504856</v>
      </c>
      <c r="H5" s="191"/>
      <c r="I5" s="191"/>
      <c r="J5" s="190"/>
    </row>
    <row r="6" spans="1:10" x14ac:dyDescent="0.25">
      <c r="A6" s="192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93" t="s">
        <v>55</v>
      </c>
      <c r="B11" s="111"/>
      <c r="C11" s="111"/>
      <c r="D11" s="111"/>
      <c r="E11" s="111"/>
      <c r="F11" s="18"/>
      <c r="G11" s="35" t="s">
        <v>93</v>
      </c>
      <c r="H11" s="17"/>
      <c r="I11" s="17"/>
      <c r="J11" s="18"/>
    </row>
    <row r="12" spans="1:10" x14ac:dyDescent="0.25">
      <c r="A12" s="194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19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193" t="s">
        <v>58</v>
      </c>
      <c r="B14" s="111"/>
      <c r="C14" s="111"/>
      <c r="D14" s="111"/>
      <c r="E14" s="111"/>
      <c r="F14" s="112"/>
      <c r="G14" s="19"/>
      <c r="H14" s="4"/>
      <c r="I14" s="4"/>
      <c r="J14" s="20"/>
    </row>
    <row r="15" spans="1:10" x14ac:dyDescent="0.25">
      <c r="A15" s="196" t="str">
        <f>'indian rupees igst'!A15</f>
        <v xml:space="preserve">CMK TRADING COMPANY LIMITED
ADD: No 60 street 64-TML, Quarter 1, Cat Lai Ward, 
Ho Chi Minh city, Vietnam
TAX ID : 0317762127
PHONE : +84 974778685
EMAIL : cmktrading.coltd@gmail.com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197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197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197"/>
      <c r="B18" s="108"/>
      <c r="C18" s="108"/>
      <c r="D18" s="108"/>
      <c r="E18" s="108"/>
      <c r="F18" s="187"/>
      <c r="G18" s="188" t="s">
        <v>94</v>
      </c>
      <c r="H18" s="112"/>
      <c r="I18" s="207" t="s">
        <v>95</v>
      </c>
      <c r="J18" s="112"/>
    </row>
    <row r="19" spans="1:10" ht="15" customHeight="1" x14ac:dyDescent="0.25">
      <c r="A19" s="197"/>
      <c r="B19" s="108"/>
      <c r="C19" s="108"/>
      <c r="D19" s="108"/>
      <c r="E19" s="108"/>
      <c r="F19" s="187"/>
      <c r="G19" s="195"/>
      <c r="H19" s="190"/>
      <c r="I19" s="191"/>
      <c r="J19" s="190"/>
    </row>
    <row r="20" spans="1:10" ht="30.75" customHeight="1" x14ac:dyDescent="0.25">
      <c r="A20" s="195"/>
      <c r="B20" s="191"/>
      <c r="C20" s="191"/>
      <c r="D20" s="191"/>
      <c r="E20" s="191"/>
      <c r="F20" s="190"/>
      <c r="G20" s="208" t="s">
        <v>62</v>
      </c>
      <c r="H20" s="190"/>
      <c r="I20" s="208" t="str">
        <f>'indian rupees igst'!H22</f>
        <v>VIETNAM</v>
      </c>
      <c r="J20" s="190"/>
    </row>
    <row r="21" spans="1:10" ht="15.75" customHeight="1" x14ac:dyDescent="0.25">
      <c r="A21" s="198" t="s">
        <v>96</v>
      </c>
      <c r="B21" s="111"/>
      <c r="C21" s="112"/>
      <c r="D21" s="198" t="s">
        <v>97</v>
      </c>
      <c r="E21" s="111"/>
      <c r="F21" s="112"/>
      <c r="G21" s="199" t="s">
        <v>98</v>
      </c>
      <c r="H21" s="137"/>
      <c r="I21" s="137"/>
      <c r="J21" s="138"/>
    </row>
    <row r="22" spans="1:10" ht="15.75" customHeight="1" x14ac:dyDescent="0.25">
      <c r="A22" s="200"/>
      <c r="B22" s="191"/>
      <c r="C22" s="190"/>
      <c r="D22" s="189" t="str">
        <f>'indian rupees igst'!C22</f>
        <v>CHENNAI</v>
      </c>
      <c r="E22" s="191"/>
      <c r="F22" s="190"/>
      <c r="G22" s="206" t="str">
        <f>'input data'!B16</f>
        <v>CNF</v>
      </c>
      <c r="H22" s="191"/>
      <c r="I22" s="191"/>
      <c r="J22" s="190"/>
    </row>
    <row r="23" spans="1:10" ht="15.75" customHeight="1" x14ac:dyDescent="0.25">
      <c r="A23" s="198" t="s">
        <v>99</v>
      </c>
      <c r="B23" s="111"/>
      <c r="C23" s="112"/>
      <c r="D23" s="198" t="s">
        <v>100</v>
      </c>
      <c r="E23" s="111"/>
      <c r="F23" s="112"/>
      <c r="G23" s="42"/>
      <c r="H23" s="43"/>
      <c r="I23" s="43"/>
      <c r="J23" s="44"/>
    </row>
    <row r="24" spans="1:10" ht="15.75" customHeight="1" x14ac:dyDescent="0.25">
      <c r="A24" s="200"/>
      <c r="B24" s="191"/>
      <c r="C24" s="190"/>
      <c r="D24" s="189" t="str">
        <f>'indian rupees igst'!C25</f>
        <v>CHENNAI</v>
      </c>
      <c r="E24" s="191"/>
      <c r="F24" s="190"/>
      <c r="G24" s="30"/>
      <c r="H24" s="32"/>
      <c r="I24" s="32"/>
      <c r="J24" s="29"/>
    </row>
    <row r="25" spans="1:10" ht="15.75" customHeight="1" x14ac:dyDescent="0.25">
      <c r="A25" s="198" t="s">
        <v>30</v>
      </c>
      <c r="B25" s="111"/>
      <c r="C25" s="112"/>
      <c r="D25" s="198" t="s">
        <v>31</v>
      </c>
      <c r="E25" s="111"/>
      <c r="F25" s="112"/>
      <c r="G25" s="209" t="s">
        <v>101</v>
      </c>
      <c r="H25" s="137"/>
      <c r="I25" s="137"/>
      <c r="J25" s="138"/>
    </row>
    <row r="26" spans="1:10" ht="15.75" customHeight="1" x14ac:dyDescent="0.25">
      <c r="A26" s="186" t="str">
        <f>'indian rupees igst'!E25</f>
        <v>CAT LAI</v>
      </c>
      <c r="B26" s="108"/>
      <c r="C26" s="187"/>
      <c r="D26" s="186" t="str">
        <f>'indian rupees igst'!H25</f>
        <v>CAT LAI</v>
      </c>
      <c r="E26" s="108"/>
      <c r="F26" s="187"/>
      <c r="G26" s="188" t="str">
        <f>'input data'!B17</f>
        <v>100% Against Documents</v>
      </c>
      <c r="H26" s="111"/>
      <c r="I26" s="111"/>
      <c r="J26" s="11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189" t="s">
        <v>102</v>
      </c>
      <c r="C28" s="190"/>
      <c r="D28" s="189" t="s">
        <v>65</v>
      </c>
      <c r="E28" s="191"/>
      <c r="F28" s="191"/>
      <c r="G28" s="48"/>
      <c r="H28" s="49"/>
      <c r="I28" s="189" t="s">
        <v>69</v>
      </c>
      <c r="J28" s="190"/>
    </row>
    <row r="29" spans="1:10" ht="15.75" customHeight="1" thickBot="1" x14ac:dyDescent="0.3">
      <c r="A29" s="27">
        <v>1</v>
      </c>
      <c r="B29" s="167">
        <f>Invoice!E28</f>
        <v>68022390</v>
      </c>
      <c r="C29" s="138"/>
      <c r="D29" s="217" t="str">
        <f>'indian rupees igst'!B28</f>
        <v>NATURAL POLISHED GRANITE SLABS</v>
      </c>
      <c r="E29" s="137"/>
      <c r="F29" s="137"/>
      <c r="G29" s="137"/>
      <c r="H29" s="138"/>
      <c r="I29" s="218">
        <f>'indian rupees igst'!F28</f>
        <v>429.46</v>
      </c>
      <c r="J29" s="138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219">
        <f>SUM(I29:I29)</f>
        <v>429.46</v>
      </c>
      <c r="J30" s="138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21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214" t="str">
        <f>Invoice!A30</f>
        <v>WHSU2467053</v>
      </c>
      <c r="B33" s="108"/>
      <c r="C33" s="51">
        <f>'input data'!B25</f>
        <v>221</v>
      </c>
      <c r="D33" s="215" t="s">
        <v>166</v>
      </c>
      <c r="E33" s="108"/>
      <c r="F33" s="51" t="s">
        <v>160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105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106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82" t="s">
        <v>107</v>
      </c>
      <c r="B38" s="111"/>
      <c r="C38" s="111"/>
      <c r="D38" s="111"/>
      <c r="E38" s="111"/>
      <c r="F38" s="112"/>
      <c r="G38" s="182" t="s">
        <v>77</v>
      </c>
      <c r="H38" s="111"/>
      <c r="I38" s="111"/>
      <c r="J38" s="112"/>
    </row>
    <row r="39" spans="1:12" ht="15.75" customHeight="1" x14ac:dyDescent="0.25">
      <c r="A39" s="216" t="s">
        <v>108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210" t="s">
        <v>109</v>
      </c>
      <c r="B40" s="117"/>
      <c r="C40" s="117"/>
      <c r="D40" s="117"/>
      <c r="E40" s="117"/>
      <c r="F40" s="133"/>
      <c r="G40" s="19"/>
      <c r="H40" s="4"/>
      <c r="I40" s="4"/>
      <c r="J40" s="20"/>
    </row>
    <row r="41" spans="1:12" ht="15.75" customHeight="1" x14ac:dyDescent="0.25">
      <c r="A41" s="211" t="s">
        <v>110</v>
      </c>
      <c r="B41" s="123"/>
      <c r="C41" s="123"/>
      <c r="D41" s="123"/>
      <c r="E41" s="123"/>
      <c r="F41" s="124"/>
      <c r="G41" s="212" t="s">
        <v>111</v>
      </c>
      <c r="H41" s="191"/>
      <c r="I41" s="191"/>
      <c r="J41" s="1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zoomScaleNormal="100" workbookViewId="0">
      <selection activeCell="X21" sqref="X21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24" t="s">
        <v>40</v>
      </c>
      <c r="C1" s="225"/>
      <c r="D1" s="225"/>
      <c r="E1" s="225"/>
      <c r="F1" s="225"/>
      <c r="G1" s="225"/>
      <c r="H1" s="225"/>
      <c r="I1" s="225"/>
      <c r="J1" s="225"/>
      <c r="K1" s="226"/>
      <c r="R1" s="230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27"/>
      <c r="C2" s="228"/>
      <c r="D2" s="228"/>
      <c r="E2" s="228"/>
      <c r="F2" s="228"/>
      <c r="G2" s="228"/>
      <c r="H2" s="228"/>
      <c r="I2" s="228"/>
      <c r="J2" s="228"/>
      <c r="K2" s="229"/>
    </row>
    <row r="3" spans="1:25" x14ac:dyDescent="0.25">
      <c r="A3" s="58"/>
      <c r="B3" s="232" t="s">
        <v>112</v>
      </c>
      <c r="C3" s="111"/>
      <c r="D3" s="111"/>
      <c r="E3" s="111"/>
      <c r="F3" s="111"/>
      <c r="G3" s="111"/>
      <c r="H3" s="111"/>
      <c r="I3" s="111"/>
      <c r="J3" s="111"/>
      <c r="K3" s="112"/>
    </row>
    <row r="4" spans="1:25" x14ac:dyDescent="0.25">
      <c r="A4" s="58"/>
      <c r="B4" s="233" t="s">
        <v>113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0" t="s">
        <v>114</v>
      </c>
      <c r="C5" s="191"/>
      <c r="D5" s="191"/>
      <c r="E5" s="191"/>
      <c r="F5" s="191"/>
      <c r="G5" s="191"/>
      <c r="H5" s="191"/>
      <c r="I5" s="191"/>
      <c r="J5" s="191"/>
      <c r="K5" s="1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20" t="s">
        <v>115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116</v>
      </c>
      <c r="C9" s="223">
        <f ca="1">TODAY()</f>
        <v>46143</v>
      </c>
      <c r="D9" s="223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117</v>
      </c>
      <c r="C10" s="60" t="s">
        <v>167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118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21" t="s">
        <v>169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196" t="s">
        <v>168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197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119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147</v>
      </c>
      <c r="P17" t="s">
        <v>148</v>
      </c>
      <c r="Q17" t="s">
        <v>103</v>
      </c>
    </row>
    <row r="18" spans="1:18" ht="15.75" thickBot="1" x14ac:dyDescent="0.3">
      <c r="A18" s="52"/>
      <c r="B18" s="136" t="s">
        <v>120</v>
      </c>
      <c r="C18" s="139"/>
      <c r="D18" s="139"/>
      <c r="E18" s="222"/>
      <c r="F18" s="136" t="s">
        <v>121</v>
      </c>
      <c r="G18" s="138"/>
      <c r="H18" s="136" t="s">
        <v>122</v>
      </c>
      <c r="I18" s="138"/>
      <c r="J18" s="136" t="s">
        <v>123</v>
      </c>
      <c r="K18" s="138"/>
    </row>
    <row r="19" spans="1:18" ht="15.75" customHeight="1" thickBot="1" x14ac:dyDescent="0.3">
      <c r="A19" s="3"/>
      <c r="B19" s="217" t="s">
        <v>146</v>
      </c>
      <c r="C19" s="244"/>
      <c r="D19" s="244"/>
      <c r="E19" s="245"/>
      <c r="F19" s="236">
        <v>201.53</v>
      </c>
      <c r="G19" s="237"/>
      <c r="H19" s="238">
        <v>4620.99</v>
      </c>
      <c r="I19" s="138"/>
      <c r="J19" s="242">
        <f>H19*F19</f>
        <v>931268.11469999992</v>
      </c>
      <c r="K19" s="138"/>
      <c r="N19" t="s">
        <v>157</v>
      </c>
      <c r="O19">
        <v>4565</v>
      </c>
      <c r="P19">
        <v>204</v>
      </c>
      <c r="Q19" s="72">
        <f>O19*P19</f>
        <v>931260</v>
      </c>
    </row>
    <row r="20" spans="1:18" ht="15.75" customHeight="1" x14ac:dyDescent="0.25">
      <c r="A20" s="51"/>
      <c r="B20" s="214"/>
      <c r="C20" s="108"/>
      <c r="D20" s="108"/>
      <c r="E20" s="108"/>
      <c r="F20" s="231"/>
      <c r="G20" s="243"/>
      <c r="H20" s="248" t="s">
        <v>158</v>
      </c>
      <c r="I20" s="249"/>
      <c r="J20" s="246">
        <f>J19*0.001</f>
        <v>931.26811469999996</v>
      </c>
      <c r="K20" s="247"/>
      <c r="M20" s="73"/>
      <c r="O20" s="78"/>
      <c r="P20">
        <v>0</v>
      </c>
      <c r="Q20" s="79">
        <f>O20*P20</f>
        <v>0</v>
      </c>
    </row>
    <row r="21" spans="1:18" ht="15.75" customHeight="1" thickBot="1" x14ac:dyDescent="0.3">
      <c r="A21" s="3"/>
      <c r="B21" s="212"/>
      <c r="C21" s="191"/>
      <c r="D21" s="191"/>
      <c r="E21" s="191"/>
      <c r="F21" s="32"/>
      <c r="G21" s="62"/>
      <c r="H21" s="251" t="s">
        <v>103</v>
      </c>
      <c r="I21" s="252"/>
      <c r="J21" s="234">
        <f>SUM(J19:K20)</f>
        <v>932199.3828146999</v>
      </c>
      <c r="K21" s="235"/>
      <c r="Q21" s="71">
        <f>Q18+Q19+Q20</f>
        <v>931260</v>
      </c>
    </row>
    <row r="22" spans="1:18" ht="15.75" customHeight="1" thickBot="1" x14ac:dyDescent="0.3">
      <c r="A22" s="51"/>
      <c r="B22" s="214"/>
      <c r="C22" s="108"/>
      <c r="D22" s="108"/>
      <c r="E22" s="108"/>
      <c r="F22" s="4"/>
      <c r="G22" s="4"/>
      <c r="H22" s="239"/>
      <c r="I22" s="108"/>
      <c r="J22" s="231"/>
      <c r="K22" s="187"/>
      <c r="N22" s="73"/>
    </row>
    <row r="23" spans="1:18" ht="15.75" customHeight="1" thickBot="1" x14ac:dyDescent="0.3">
      <c r="A23" s="52"/>
      <c r="B23" s="240" t="s">
        <v>124</v>
      </c>
      <c r="C23" s="137"/>
      <c r="D23" s="46"/>
      <c r="E23" s="46"/>
      <c r="F23" s="46"/>
      <c r="G23" s="46"/>
      <c r="H23" s="46"/>
      <c r="I23" s="46"/>
      <c r="J23" s="241">
        <f>J21</f>
        <v>932199.3828146999</v>
      </c>
      <c r="K23" s="138"/>
      <c r="Q23" s="82">
        <f>Q21/O25</f>
        <v>201.5282613923217</v>
      </c>
      <c r="R23" s="81" t="s">
        <v>148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50" t="s">
        <v>125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150</v>
      </c>
      <c r="N25" s="77">
        <v>429.46</v>
      </c>
      <c r="O25" s="84">
        <f>N25*10.76</f>
        <v>4620.9895999999999</v>
      </c>
      <c r="P25" s="81" t="s">
        <v>152</v>
      </c>
    </row>
    <row r="26" spans="1:18" ht="15.75" customHeight="1" x14ac:dyDescent="0.25">
      <c r="A26" s="4"/>
      <c r="B26" s="19" t="s">
        <v>126</v>
      </c>
      <c r="C26" s="4"/>
      <c r="D26" s="4" t="s">
        <v>143</v>
      </c>
      <c r="E26" s="4"/>
      <c r="F26" s="4"/>
      <c r="G26" s="4"/>
      <c r="H26" s="4"/>
      <c r="I26" s="4"/>
      <c r="J26" s="4"/>
      <c r="K26" s="20"/>
      <c r="M26" t="s">
        <v>151</v>
      </c>
      <c r="O26" s="78">
        <f>O20</f>
        <v>0</v>
      </c>
    </row>
    <row r="27" spans="1:18" ht="15.75" customHeight="1" x14ac:dyDescent="0.25">
      <c r="A27" s="4"/>
      <c r="B27" s="19" t="s">
        <v>127</v>
      </c>
      <c r="C27" s="4"/>
      <c r="D27" s="4"/>
      <c r="E27" s="4"/>
      <c r="F27" s="4"/>
      <c r="G27" s="4"/>
      <c r="H27" s="4"/>
      <c r="I27" s="4"/>
      <c r="J27" s="4"/>
      <c r="K27" s="20"/>
      <c r="M27" t="s">
        <v>149</v>
      </c>
      <c r="O27" s="78">
        <f>O25-O26</f>
        <v>4620.9895999999999</v>
      </c>
    </row>
    <row r="28" spans="1:18" ht="15.75" customHeight="1" x14ac:dyDescent="0.25">
      <c r="A28" s="4"/>
      <c r="B28" s="19" t="s">
        <v>128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129</v>
      </c>
      <c r="C29" s="4"/>
      <c r="D29" s="4" t="s">
        <v>144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130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131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132</v>
      </c>
      <c r="C32" s="4"/>
      <c r="D32" s="4" t="s">
        <v>133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134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135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02" t="s">
        <v>136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02" t="s">
        <v>137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138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139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2" t="s">
        <v>155</v>
      </c>
      <c r="B1" s="263"/>
      <c r="C1" s="263"/>
      <c r="D1" s="263"/>
      <c r="E1" s="263"/>
      <c r="F1" s="263"/>
      <c r="G1" s="263"/>
      <c r="H1" s="263"/>
      <c r="I1" s="263"/>
      <c r="J1" s="264"/>
    </row>
    <row r="2" spans="1:10" ht="29.25" customHeight="1" thickBot="1" x14ac:dyDescent="0.3">
      <c r="A2" s="157"/>
      <c r="B2" s="153"/>
      <c r="C2" s="153"/>
      <c r="D2" s="153"/>
      <c r="E2" s="153"/>
      <c r="F2" s="153"/>
      <c r="G2" s="153"/>
      <c r="H2" s="153"/>
      <c r="I2" s="153"/>
      <c r="J2" s="154"/>
    </row>
    <row r="3" spans="1:10" x14ac:dyDescent="0.25">
      <c r="A3" s="86" t="s">
        <v>37</v>
      </c>
      <c r="B3" s="68"/>
      <c r="C3" s="68"/>
      <c r="D3" s="70"/>
      <c r="E3" s="265" t="s">
        <v>38</v>
      </c>
      <c r="F3" s="117"/>
      <c r="G3" s="133"/>
      <c r="H3" s="265" t="s">
        <v>39</v>
      </c>
      <c r="I3" s="117"/>
      <c r="J3" s="133"/>
    </row>
    <row r="4" spans="1:10" ht="15.75" thickBot="1" x14ac:dyDescent="0.3">
      <c r="A4" s="19" t="s">
        <v>40</v>
      </c>
      <c r="B4" s="4"/>
      <c r="C4" s="4"/>
      <c r="D4" s="20"/>
      <c r="E4" s="203" t="str">
        <f>'input data'!B3</f>
        <v>BK006/26-27</v>
      </c>
      <c r="F4" s="191"/>
      <c r="G4" s="190"/>
      <c r="H4" s="204">
        <f>'input data'!B4</f>
        <v>46143</v>
      </c>
      <c r="I4" s="266"/>
      <c r="J4" s="205"/>
    </row>
    <row r="5" spans="1:10" x14ac:dyDescent="0.25">
      <c r="A5" s="21" t="s">
        <v>41</v>
      </c>
      <c r="B5" s="4"/>
      <c r="C5" s="4"/>
      <c r="D5" s="20"/>
      <c r="E5" s="110" t="s">
        <v>42</v>
      </c>
      <c r="F5" s="111"/>
      <c r="G5" s="112"/>
      <c r="H5" s="110" t="s">
        <v>43</v>
      </c>
      <c r="I5" s="111"/>
      <c r="J5" s="112"/>
    </row>
    <row r="6" spans="1:10" x14ac:dyDescent="0.25">
      <c r="A6" s="21" t="s">
        <v>44</v>
      </c>
      <c r="B6" s="4"/>
      <c r="C6" s="4"/>
      <c r="D6" s="20"/>
      <c r="E6" s="200"/>
      <c r="F6" s="191"/>
      <c r="G6" s="190"/>
      <c r="H6" s="267" t="str">
        <f>'input data'!B5</f>
        <v>AD2403260504856</v>
      </c>
      <c r="I6" s="191"/>
      <c r="J6" s="190"/>
    </row>
    <row r="7" spans="1:10" x14ac:dyDescent="0.25">
      <c r="A7" s="21" t="s">
        <v>45</v>
      </c>
      <c r="B7" s="4"/>
      <c r="C7" s="4"/>
      <c r="D7" s="20"/>
      <c r="E7" s="110" t="s">
        <v>46</v>
      </c>
      <c r="F7" s="111"/>
      <c r="G7" s="112"/>
      <c r="H7" s="110" t="s">
        <v>47</v>
      </c>
      <c r="I7" s="111"/>
      <c r="J7" s="112"/>
    </row>
    <row r="8" spans="1:10" x14ac:dyDescent="0.25">
      <c r="A8" s="19" t="s">
        <v>48</v>
      </c>
      <c r="B8" s="4"/>
      <c r="C8" s="4"/>
      <c r="D8" s="20"/>
      <c r="E8" s="200" t="s">
        <v>49</v>
      </c>
      <c r="F8" s="191"/>
      <c r="G8" s="190"/>
      <c r="H8" s="189" t="s">
        <v>50</v>
      </c>
      <c r="I8" s="191"/>
      <c r="J8" s="190"/>
    </row>
    <row r="9" spans="1:10" x14ac:dyDescent="0.25">
      <c r="A9" s="22" t="s">
        <v>51</v>
      </c>
      <c r="B9" s="4"/>
      <c r="C9" s="4"/>
      <c r="D9" s="20"/>
      <c r="E9" s="110" t="s">
        <v>52</v>
      </c>
      <c r="F9" s="111"/>
      <c r="G9" s="112"/>
      <c r="H9" s="110" t="s">
        <v>53</v>
      </c>
      <c r="I9" s="111"/>
      <c r="J9" s="112"/>
    </row>
    <row r="10" spans="1:10" x14ac:dyDescent="0.25">
      <c r="A10" s="22" t="s">
        <v>54</v>
      </c>
      <c r="B10" s="4"/>
      <c r="C10" s="4"/>
      <c r="D10" s="20"/>
      <c r="E10" s="214" t="str">
        <f>'input data'!B14</f>
        <v>Loose packing</v>
      </c>
      <c r="F10" s="108"/>
      <c r="G10" s="187"/>
      <c r="H10" s="214" t="str">
        <f>'input data'!B13 &amp; " " &amp; 'input data'!B15</f>
        <v>1 FCL</v>
      </c>
      <c r="I10" s="108"/>
      <c r="J10" s="187"/>
    </row>
    <row r="11" spans="1:10" x14ac:dyDescent="0.25">
      <c r="A11" s="182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38"/>
    </row>
    <row r="12" spans="1:10" ht="15" customHeight="1" x14ac:dyDescent="0.25">
      <c r="A12" s="269" t="str">
        <f>'input data'!B6</f>
        <v>To the Order</v>
      </c>
      <c r="B12" s="108"/>
      <c r="C12" s="108"/>
      <c r="D12" s="187"/>
      <c r="E12" s="270" t="str">
        <f>'input data'!B16</f>
        <v>CNF</v>
      </c>
      <c r="F12" s="108"/>
      <c r="G12" s="187"/>
      <c r="H12" s="268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195"/>
      <c r="F13" s="191"/>
      <c r="G13" s="190"/>
      <c r="H13" s="191"/>
      <c r="I13" s="191"/>
      <c r="J13" s="190"/>
    </row>
    <row r="14" spans="1:10" x14ac:dyDescent="0.25">
      <c r="A14" s="16" t="s">
        <v>58</v>
      </c>
      <c r="B14" s="17"/>
      <c r="C14" s="17"/>
      <c r="D14" s="18"/>
      <c r="E14" s="150" t="s">
        <v>153</v>
      </c>
      <c r="F14" s="111"/>
      <c r="G14" s="111"/>
      <c r="H14" s="111"/>
      <c r="I14" s="111"/>
      <c r="J14" s="112"/>
    </row>
    <row r="15" spans="1:10" x14ac:dyDescent="0.25">
      <c r="A15" s="196" t="str">
        <f>'input data'!B7</f>
        <v xml:space="preserve">CMK TRADING COMPANY LIMITED
ADD: No 60 street 64-TML, Quarter 1, Cat Lai Ward, 
Ho Chi Minh city, Vietnam
TAX ID : 0317762127
PHONE : +84 974778685
EMAIL : cmktrading.coltd@gmail.com
</v>
      </c>
      <c r="B15" s="108"/>
      <c r="C15" s="108"/>
      <c r="D15" s="187"/>
      <c r="E15" s="197"/>
      <c r="F15" s="108"/>
      <c r="G15" s="108"/>
      <c r="H15" s="108"/>
      <c r="I15" s="108"/>
      <c r="J15" s="187"/>
    </row>
    <row r="16" spans="1:10" x14ac:dyDescent="0.25">
      <c r="A16" s="197"/>
      <c r="B16" s="108"/>
      <c r="C16" s="108"/>
      <c r="D16" s="187"/>
      <c r="E16" s="197"/>
      <c r="F16" s="108"/>
      <c r="G16" s="108"/>
      <c r="H16" s="108"/>
      <c r="I16" s="108"/>
      <c r="J16" s="187"/>
    </row>
    <row r="17" spans="1:15" x14ac:dyDescent="0.25">
      <c r="A17" s="197"/>
      <c r="B17" s="108"/>
      <c r="C17" s="108"/>
      <c r="D17" s="187"/>
      <c r="E17" s="197"/>
      <c r="F17" s="108"/>
      <c r="G17" s="108"/>
      <c r="H17" s="108"/>
      <c r="I17" s="108"/>
      <c r="J17" s="187"/>
    </row>
    <row r="18" spans="1:15" x14ac:dyDescent="0.25">
      <c r="A18" s="197"/>
      <c r="B18" s="108"/>
      <c r="C18" s="108"/>
      <c r="D18" s="187"/>
      <c r="E18" s="197"/>
      <c r="F18" s="108"/>
      <c r="G18" s="108"/>
      <c r="H18" s="108"/>
      <c r="I18" s="108"/>
      <c r="J18" s="187"/>
    </row>
    <row r="19" spans="1:15" x14ac:dyDescent="0.25">
      <c r="A19" s="197"/>
      <c r="B19" s="108"/>
      <c r="C19" s="108"/>
      <c r="D19" s="187"/>
      <c r="E19" s="197"/>
      <c r="F19" s="108"/>
      <c r="G19" s="108"/>
      <c r="H19" s="108"/>
      <c r="I19" s="108"/>
      <c r="J19" s="187"/>
    </row>
    <row r="20" spans="1:15" ht="48" customHeight="1" x14ac:dyDescent="0.25">
      <c r="A20" s="195"/>
      <c r="B20" s="191"/>
      <c r="C20" s="191"/>
      <c r="D20" s="190"/>
      <c r="E20" s="195"/>
      <c r="F20" s="191"/>
      <c r="G20" s="191"/>
      <c r="H20" s="191"/>
      <c r="I20" s="191"/>
      <c r="J20" s="190"/>
    </row>
    <row r="21" spans="1:15" ht="15.75" customHeight="1" x14ac:dyDescent="0.25">
      <c r="A21" s="271" t="s">
        <v>59</v>
      </c>
      <c r="B21" s="112"/>
      <c r="C21" s="271" t="s">
        <v>28</v>
      </c>
      <c r="D21" s="112"/>
      <c r="E21" s="271" t="s">
        <v>60</v>
      </c>
      <c r="F21" s="111"/>
      <c r="G21" s="112"/>
      <c r="H21" s="271" t="s">
        <v>32</v>
      </c>
      <c r="I21" s="111"/>
      <c r="J21" s="112"/>
    </row>
    <row r="22" spans="1:15" ht="14.25" customHeight="1" x14ac:dyDescent="0.25">
      <c r="A22" s="272" t="s">
        <v>61</v>
      </c>
      <c r="B22" s="187"/>
      <c r="C22" s="273" t="str">
        <f>'input data'!B19</f>
        <v>CHENNAI</v>
      </c>
      <c r="D22" s="187"/>
      <c r="E22" s="274" t="s">
        <v>62</v>
      </c>
      <c r="F22" s="108"/>
      <c r="G22" s="187"/>
      <c r="H22" s="274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195"/>
      <c r="D23" s="190"/>
      <c r="E23" s="195"/>
      <c r="F23" s="191"/>
      <c r="G23" s="190"/>
      <c r="H23" s="195"/>
      <c r="I23" s="191"/>
      <c r="J23" s="190"/>
    </row>
    <row r="24" spans="1:15" ht="15.75" customHeight="1" x14ac:dyDescent="0.25">
      <c r="A24" s="11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2"/>
    </row>
    <row r="25" spans="1:15" ht="15.75" customHeight="1" x14ac:dyDescent="0.25">
      <c r="A25" s="200"/>
      <c r="B25" s="190"/>
      <c r="C25" s="189" t="str">
        <f>'input data'!B20</f>
        <v>CHENNAI</v>
      </c>
      <c r="D25" s="190"/>
      <c r="E25" s="189" t="str">
        <f>'input data'!B21</f>
        <v>CAT LAI</v>
      </c>
      <c r="F25" s="191"/>
      <c r="G25" s="190"/>
      <c r="H25" s="189" t="str">
        <f>'input data'!B22</f>
        <v>CAT LAI</v>
      </c>
      <c r="I25" s="191"/>
      <c r="J25" s="190"/>
    </row>
    <row r="26" spans="1:15" ht="15.75" customHeight="1" x14ac:dyDescent="0.25">
      <c r="A26" s="165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2"/>
    </row>
    <row r="27" spans="1:15" ht="15.75" customHeight="1" thickBot="1" x14ac:dyDescent="0.3">
      <c r="A27" s="166"/>
      <c r="B27" s="197"/>
      <c r="C27" s="108"/>
      <c r="D27" s="187"/>
      <c r="E27" s="166"/>
      <c r="F27" s="189" t="s">
        <v>69</v>
      </c>
      <c r="G27" s="190"/>
      <c r="H27" s="74" t="s">
        <v>69</v>
      </c>
      <c r="I27" s="189" t="s">
        <v>70</v>
      </c>
      <c r="J27" s="190"/>
    </row>
    <row r="28" spans="1:15" ht="15.75" customHeight="1" thickBot="1" x14ac:dyDescent="0.3">
      <c r="A28" s="2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429.46</v>
      </c>
      <c r="G28" s="137"/>
      <c r="H28" s="87">
        <v>1581.75</v>
      </c>
      <c r="I28" s="260">
        <f>F28*H28</f>
        <v>679298.35499999998</v>
      </c>
      <c r="J28" s="26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71" t="s">
        <v>145</v>
      </c>
      <c r="I29" s="68"/>
      <c r="J29" s="20"/>
    </row>
    <row r="30" spans="1:15" ht="15.75" customHeight="1" x14ac:dyDescent="0.25">
      <c r="A30" s="214" t="str">
        <f>UPPER('input data'!B24)</f>
        <v>WHSU2467053</v>
      </c>
      <c r="B30" s="108"/>
      <c r="C30" s="3">
        <f>'input data'!B25</f>
        <v>221</v>
      </c>
      <c r="D30" s="4" t="s">
        <v>73</v>
      </c>
      <c r="E30" s="4" t="s">
        <v>74</v>
      </c>
      <c r="F30" s="4"/>
      <c r="G30" s="68"/>
      <c r="H30" s="171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213"/>
      <c r="G31" s="116"/>
      <c r="H31" s="171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72"/>
      <c r="I32" s="175"/>
      <c r="J32" s="259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55">
        <f>I28</f>
        <v>679298.35499999998</v>
      </c>
      <c r="J33" s="256"/>
    </row>
    <row r="34" spans="1:10" ht="15.75" customHeight="1" thickBot="1" x14ac:dyDescent="0.3">
      <c r="A34" s="33" t="s">
        <v>156</v>
      </c>
      <c r="B34" s="32"/>
      <c r="C34" s="32"/>
      <c r="D34" s="32"/>
      <c r="E34" s="32"/>
      <c r="F34" s="32"/>
      <c r="G34" s="32"/>
      <c r="H34" s="29"/>
      <c r="I34" s="257"/>
      <c r="J34" s="258"/>
    </row>
    <row r="35" spans="1:10" ht="15.75" customHeight="1" x14ac:dyDescent="0.25">
      <c r="A35" s="254" t="s">
        <v>76</v>
      </c>
      <c r="B35" s="111"/>
      <c r="C35" s="111"/>
      <c r="D35" s="112"/>
      <c r="E35" s="182" t="s">
        <v>77</v>
      </c>
      <c r="F35" s="111"/>
      <c r="G35" s="111"/>
      <c r="H35" s="111"/>
      <c r="I35" s="111"/>
      <c r="J35" s="112"/>
    </row>
    <row r="36" spans="1:10" ht="19.5" customHeight="1" x14ac:dyDescent="0.25">
      <c r="A36" s="221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97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53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195"/>
      <c r="B39" s="191"/>
      <c r="C39" s="191"/>
      <c r="D39" s="190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2026-05-01T05:00:02Z</cp:lastPrinted>
  <dcterms:created xsi:type="dcterms:W3CDTF">2022-11-23T06:47:43Z</dcterms:created>
  <dcterms:modified xsi:type="dcterms:W3CDTF">2026-05-01T05:01:37Z</dcterms:modified>
</cp:coreProperties>
</file>
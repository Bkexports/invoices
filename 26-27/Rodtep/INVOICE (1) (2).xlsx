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8800" windowHeight="11835"/>
  </bookViews>
  <sheets>
    <sheet name="Sheet1" sheetId="1" r:id="rId1"/>
  </sheets>
  <definedNames>
    <definedName name="_xlnm.Print_Area" localSheetId="0">Sheet1!$A$1:$N$38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9" i="1" l="1"/>
  <c r="H20" i="1"/>
  <c r="H21" i="1"/>
  <c r="H22" i="1"/>
  <c r="H23" i="1"/>
  <c r="H24" i="1"/>
  <c r="H25" i="1"/>
  <c r="H19" i="1" l="1"/>
  <c r="H29" i="1" s="1"/>
  <c r="N29" i="1"/>
  <c r="N30" i="1" l="1"/>
</calcChain>
</file>

<file path=xl/sharedStrings.xml><?xml version="1.0" encoding="utf-8"?>
<sst xmlns="http://schemas.openxmlformats.org/spreadsheetml/2006/main" count="115" uniqueCount="58">
  <si>
    <t>ADDRESS</t>
  </si>
  <si>
    <t>GSTIN/UNIQUE ID</t>
  </si>
  <si>
    <t xml:space="preserve">DETAILS OF RECEIVER (BILLED TO) </t>
  </si>
  <si>
    <t>NAME</t>
  </si>
  <si>
    <t>SR.NO</t>
  </si>
  <si>
    <t>DESCRIPTION OF GOODS</t>
  </si>
  <si>
    <t>HSN / SAC</t>
  </si>
  <si>
    <t>UNIT</t>
  </si>
  <si>
    <t>RATE ( PER ITEM)</t>
  </si>
  <si>
    <t>TAXABLE VALUE</t>
  </si>
  <si>
    <t>CGST</t>
  </si>
  <si>
    <t>RATE</t>
  </si>
  <si>
    <t>AMT</t>
  </si>
  <si>
    <t>SGST</t>
  </si>
  <si>
    <t>IGST</t>
  </si>
  <si>
    <t>FREIGHT</t>
  </si>
  <si>
    <t>INSURANCE</t>
  </si>
  <si>
    <t>PACKING AND FORWADING CHARGES</t>
  </si>
  <si>
    <t>ELECTRONIC REFERENCE NUMBER</t>
  </si>
  <si>
    <t>LICENSE NO &amp; DT</t>
  </si>
  <si>
    <t>VALUE</t>
  </si>
  <si>
    <t xml:space="preserve">TOTAL                           </t>
  </si>
  <si>
    <t xml:space="preserve">TOTAL INVOICE VALUE (IN FIGURE)                                                                                                                                                 </t>
  </si>
  <si>
    <t>QTY</t>
  </si>
  <si>
    <t xml:space="preserve">DUPLICATE FOR TRANSPORTER </t>
  </si>
  <si>
    <t>TRILPICATE FOR SUPPLIER</t>
  </si>
  <si>
    <r>
      <t xml:space="preserve">DETAILS OF CONSIGNEE : </t>
    </r>
    <r>
      <rPr>
        <b/>
        <sz val="8"/>
        <color theme="1"/>
        <rFont val="Times New Roman"/>
        <family val="1"/>
      </rPr>
      <t>SAME AS RECEIVER</t>
    </r>
  </si>
  <si>
    <t xml:space="preserve">STATE CODE : </t>
  </si>
  <si>
    <t xml:space="preserve">STATE : </t>
  </si>
  <si>
    <t>STATE : GUJARAT</t>
  </si>
  <si>
    <t>STATE CODE : 24</t>
  </si>
  <si>
    <t>NIL</t>
  </si>
  <si>
    <t>NAME : ASHUTOSH OVERSEAS</t>
  </si>
  <si>
    <t>STATE : MAHARASHTRA</t>
  </si>
  <si>
    <r>
      <t xml:space="preserve">STATE CODE : </t>
    </r>
    <r>
      <rPr>
        <b/>
        <sz val="8"/>
        <color theme="1"/>
        <rFont val="Times New Roman"/>
        <family val="1"/>
      </rPr>
      <t>27</t>
    </r>
  </si>
  <si>
    <t>GSTIN/UNIQUE ID :  27ADFPJ3083J1ZF</t>
  </si>
  <si>
    <t>ADDRESS:  OFFICE NO.30, 2ND FLOOR, KHATAU BUILDING, PLOT NO.8, ALKESH DIENESH MODI ROAD, BOMBAY STOCK EXCHANGE, FORT, MUMBAI- 400001</t>
  </si>
  <si>
    <t>DUTY CREDIT SCRIP</t>
  </si>
  <si>
    <t xml:space="preserve">   DESIGNATION : PROPRIETOR
 STATUS: REGISTERED</t>
  </si>
  <si>
    <t>GSTIN : 24AGQPJ1643Q1ZW</t>
  </si>
  <si>
    <r>
      <t>SUPPLIER ADDRESS :</t>
    </r>
    <r>
      <rPr>
        <b/>
        <sz val="8"/>
        <color theme="1"/>
        <rFont val="Times New Roman"/>
        <family val="1"/>
      </rPr>
      <t xml:space="preserve"> 90, Jasodanagar Cross Road, Nr. Canal,
 Opp.Baroda Express Highway, Amraiwadi,
 Ahmedabad, Gujarat, India - 380026.</t>
    </r>
  </si>
  <si>
    <t>SERIAL NO. OF INVOICE :  BK007/26-27</t>
  </si>
  <si>
    <t>DATE OF INVOICE : 11-05-2026</t>
  </si>
  <si>
    <t>2605014383
08.05.2026</t>
  </si>
  <si>
    <t>2604106587/
28.04.2026</t>
  </si>
  <si>
    <t>2605014382/
08.05.2026</t>
  </si>
  <si>
    <t>2604170948/
29.04.2026</t>
  </si>
  <si>
    <t>2604150905/
28.04.2026</t>
  </si>
  <si>
    <t>2605014375/
08.05.2026</t>
  </si>
  <si>
    <t>2604130749/
28.04.2026</t>
  </si>
  <si>
    <t>TOTAL INVOICE VALUE (IN WORDS) : FIVE LAKH SIXTY FIVE THOUSAND FIVE HUNDRED FIFTY SEVEN RUPEES</t>
  </si>
  <si>
    <t>BANK NAME : BANK OF BARODA</t>
  </si>
  <si>
    <t>BRANCH NAME : Maninagar East</t>
  </si>
  <si>
    <t>BANK A/C NUMBER :14970200000658</t>
  </si>
  <si>
    <t>BANK IFSC CODE : BARB0MANEAS</t>
  </si>
  <si>
    <t>BANK ACCOUNT TYPE : CURRENT</t>
  </si>
  <si>
    <t>SUPPLIER NAME : B K Exports</t>
  </si>
  <si>
    <r>
      <t xml:space="preserve">                                                                                                BILL OF SUPPLY                                                       </t>
    </r>
    <r>
      <rPr>
        <sz val="8"/>
        <color theme="1"/>
        <rFont val="Times New Roman"/>
        <family val="1"/>
      </rPr>
      <t>ORIGINAL FOR RECEIPTENT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</si>
</sst>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8"/>
      <color theme="1"/>
      <name val="Times New Roman"/>
      <family val="1"/>
    </font>
    <font>
      <b/>
      <sz val="8"/>
      <color theme="1"/>
      <name val="Times New Roman"/>
      <family val="1"/>
    </font>
    <font>
      <sz val="8"/>
      <color rgb="FFFF0000"/>
      <name val="Times New Roman"/>
      <family val="1"/>
    </font>
    <font>
      <sz val="8"/>
      <name val="Times New Roman"/>
      <family val="1"/>
    </font>
    <font>
      <b/>
      <sz val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1" fillId="0" borderId="9" xfId="0" applyFont="1" applyBorder="1"/>
    <xf numFmtId="0" fontId="1" fillId="0" borderId="20" xfId="0" applyFont="1" applyBorder="1"/>
    <xf numFmtId="0" fontId="1" fillId="0" borderId="21" xfId="0" applyFont="1" applyBorder="1" applyAlignment="1">
      <alignment horizontal="center"/>
    </xf>
    <xf numFmtId="0" fontId="1" fillId="0" borderId="9" xfId="0" applyFont="1" applyBorder="1" applyAlignment="1">
      <alignment wrapText="1"/>
    </xf>
    <xf numFmtId="1" fontId="1" fillId="0" borderId="20" xfId="0" applyNumberFormat="1" applyFont="1" applyBorder="1"/>
    <xf numFmtId="0" fontId="1" fillId="0" borderId="21" xfId="0" applyFont="1" applyBorder="1"/>
    <xf numFmtId="0" fontId="1" fillId="0" borderId="11" xfId="0" applyFont="1" applyBorder="1" applyAlignment="1"/>
    <xf numFmtId="0" fontId="2" fillId="0" borderId="9" xfId="0" applyFont="1" applyBorder="1"/>
    <xf numFmtId="2" fontId="1" fillId="2" borderId="22" xfId="0" applyNumberFormat="1" applyFont="1" applyFill="1" applyBorder="1" applyAlignment="1"/>
    <xf numFmtId="0" fontId="1" fillId="2" borderId="14" xfId="0" applyFont="1" applyFill="1" applyBorder="1" applyAlignment="1"/>
    <xf numFmtId="0" fontId="1" fillId="0" borderId="15" xfId="0" applyFont="1" applyBorder="1" applyAlignment="1"/>
    <xf numFmtId="0" fontId="1" fillId="0" borderId="16" xfId="0" applyFont="1" applyBorder="1" applyAlignment="1"/>
    <xf numFmtId="0" fontId="1" fillId="0" borderId="4" xfId="0" applyFont="1" applyBorder="1"/>
    <xf numFmtId="0" fontId="1" fillId="0" borderId="0" xfId="0" applyFont="1" applyBorder="1" applyAlignment="1"/>
    <xf numFmtId="0" fontId="1" fillId="0" borderId="4" xfId="0" applyFont="1" applyBorder="1" applyAlignment="1"/>
    <xf numFmtId="0" fontId="1" fillId="0" borderId="6" xfId="0" applyFont="1" applyBorder="1" applyAlignment="1"/>
    <xf numFmtId="0" fontId="1" fillId="0" borderId="7" xfId="0" applyFont="1" applyBorder="1" applyAlignment="1"/>
    <xf numFmtId="0" fontId="1" fillId="0" borderId="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10" xfId="0" applyFont="1" applyBorder="1" applyAlignment="1"/>
    <xf numFmtId="0" fontId="1" fillId="0" borderId="14" xfId="0" applyFont="1" applyBorder="1" applyAlignment="1"/>
    <xf numFmtId="0" fontId="1" fillId="2" borderId="9" xfId="0" applyFont="1" applyFill="1" applyBorder="1" applyAlignment="1"/>
    <xf numFmtId="0" fontId="2" fillId="0" borderId="4" xfId="0" applyFont="1" applyBorder="1" applyAlignment="1">
      <alignment horizontal="center"/>
    </xf>
    <xf numFmtId="2" fontId="1" fillId="0" borderId="9" xfId="0" applyNumberFormat="1" applyFont="1" applyBorder="1"/>
    <xf numFmtId="2" fontId="2" fillId="2" borderId="20" xfId="0" applyNumberFormat="1" applyFont="1" applyFill="1" applyBorder="1" applyAlignment="1"/>
    <xf numFmtId="2" fontId="2" fillId="0" borderId="20" xfId="0" applyNumberFormat="1" applyFont="1" applyBorder="1" applyAlignment="1"/>
    <xf numFmtId="2" fontId="2" fillId="2" borderId="9" xfId="0" applyNumberFormat="1" applyFont="1" applyFill="1" applyBorder="1" applyAlignment="1"/>
    <xf numFmtId="10" fontId="1" fillId="0" borderId="9" xfId="0" applyNumberFormat="1" applyFont="1" applyBorder="1"/>
    <xf numFmtId="0" fontId="4" fillId="0" borderId="0" xfId="0" applyFont="1" applyBorder="1" applyAlignment="1">
      <alignment wrapText="1"/>
    </xf>
    <xf numFmtId="0" fontId="4" fillId="0" borderId="5" xfId="0" applyFont="1" applyBorder="1" applyAlignment="1">
      <alignment wrapText="1"/>
    </xf>
    <xf numFmtId="2" fontId="2" fillId="0" borderId="9" xfId="0" applyNumberFormat="1" applyFont="1" applyBorder="1" applyAlignment="1"/>
    <xf numFmtId="2" fontId="1" fillId="0" borderId="14" xfId="0" applyNumberFormat="1" applyFont="1" applyBorder="1" applyAlignment="1"/>
    <xf numFmtId="0" fontId="1" fillId="0" borderId="9" xfId="0" applyFont="1" applyBorder="1" applyAlignment="1">
      <alignment horizontal="right"/>
    </xf>
    <xf numFmtId="0" fontId="1" fillId="0" borderId="10" xfId="0" applyFont="1" applyBorder="1" applyAlignment="1">
      <alignment horizontal="center" wrapText="1"/>
    </xf>
    <xf numFmtId="0" fontId="1" fillId="0" borderId="4" xfId="0" applyFont="1" applyBorder="1" applyAlignment="1">
      <alignment horizontal="left" wrapText="1"/>
    </xf>
    <xf numFmtId="0" fontId="1" fillId="0" borderId="0" xfId="0" applyFont="1" applyBorder="1" applyAlignment="1">
      <alignment horizontal="left" wrapText="1"/>
    </xf>
    <xf numFmtId="0" fontId="1" fillId="0" borderId="5" xfId="0" applyFont="1" applyBorder="1" applyAlignment="1">
      <alignment horizontal="left" wrapText="1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9" xfId="0" applyFont="1" applyBorder="1" applyAlignment="1">
      <alignment horizontal="center" wrapText="1"/>
    </xf>
    <xf numFmtId="0" fontId="1" fillId="0" borderId="20" xfId="0" applyFont="1" applyBorder="1" applyAlignment="1">
      <alignment horizontal="right"/>
    </xf>
    <xf numFmtId="0" fontId="1" fillId="0" borderId="0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4" fillId="0" borderId="0" xfId="0" applyFont="1" applyBorder="1" applyAlignment="1">
      <alignment horizontal="left"/>
    </xf>
    <xf numFmtId="0" fontId="2" fillId="0" borderId="1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5" fillId="0" borderId="4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5" fillId="0" borderId="4" xfId="0" applyFont="1" applyBorder="1" applyAlignment="1">
      <alignment vertical="center" wrapText="1"/>
    </xf>
    <xf numFmtId="0" fontId="5" fillId="0" borderId="0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1" fillId="0" borderId="4" xfId="0" applyFont="1" applyBorder="1" applyAlignment="1">
      <alignment horizontal="right"/>
    </xf>
    <xf numFmtId="0" fontId="1" fillId="0" borderId="0" xfId="0" applyFont="1" applyBorder="1" applyAlignment="1">
      <alignment horizontal="right"/>
    </xf>
    <xf numFmtId="0" fontId="1" fillId="0" borderId="5" xfId="0" applyFont="1" applyBorder="1" applyAlignment="1">
      <alignment horizontal="right"/>
    </xf>
    <xf numFmtId="0" fontId="4" fillId="0" borderId="4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1" fillId="0" borderId="7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12" xfId="0" applyFont="1" applyBorder="1" applyAlignment="1">
      <alignment horizontal="center" wrapText="1"/>
    </xf>
    <xf numFmtId="0" fontId="1" fillId="0" borderId="13" xfId="0" applyFont="1" applyBorder="1" applyAlignment="1">
      <alignment horizontal="center" wrapText="1"/>
    </xf>
    <xf numFmtId="0" fontId="1" fillId="0" borderId="4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1" fillId="0" borderId="0" xfId="0" applyFont="1" applyFill="1" applyBorder="1" applyAlignment="1">
      <alignment horizontal="left"/>
    </xf>
    <xf numFmtId="0" fontId="1" fillId="0" borderId="5" xfId="0" applyFont="1" applyFill="1" applyBorder="1" applyAlignment="1">
      <alignment horizontal="left"/>
    </xf>
    <xf numFmtId="0" fontId="1" fillId="0" borderId="4" xfId="0" applyFont="1" applyBorder="1" applyAlignment="1">
      <alignment horizontal="left" wrapText="1"/>
    </xf>
    <xf numFmtId="0" fontId="1" fillId="0" borderId="5" xfId="0" applyFont="1" applyBorder="1" applyAlignment="1">
      <alignment horizontal="left" wrapText="1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7" xfId="0" applyFont="1" applyBorder="1" applyAlignment="1">
      <alignment horizontal="center" wrapText="1"/>
    </xf>
    <xf numFmtId="0" fontId="1" fillId="0" borderId="19" xfId="0" applyFont="1" applyBorder="1" applyAlignment="1">
      <alignment horizontal="center" wrapText="1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3" fillId="0" borderId="0" xfId="0" applyFont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0" fontId="1" fillId="0" borderId="5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5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1" fillId="0" borderId="14" xfId="0" applyFont="1" applyBorder="1" applyAlignment="1">
      <alignment horizontal="left"/>
    </xf>
    <xf numFmtId="0" fontId="1" fillId="0" borderId="1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20827</xdr:colOff>
      <xdr:row>33</xdr:row>
      <xdr:rowOff>38100</xdr:rowOff>
    </xdr:from>
    <xdr:to>
      <xdr:col>13</xdr:col>
      <xdr:colOff>388166</xdr:colOff>
      <xdr:row>36</xdr:row>
      <xdr:rowOff>51997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7102" y="9420225"/>
          <a:ext cx="1643689" cy="67112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8"/>
  <sheetViews>
    <sheetView showGridLines="0" tabSelected="1" topLeftCell="A18" zoomScaleNormal="100" zoomScaleSheetLayoutView="130" workbookViewId="0">
      <selection sqref="A1:N38"/>
    </sheetView>
  </sheetViews>
  <sheetFormatPr defaultRowHeight="15" x14ac:dyDescent="0.25"/>
  <cols>
    <col min="1" max="1" width="3.7109375" customWidth="1"/>
    <col min="2" max="2" width="7.42578125" customWidth="1"/>
    <col min="3" max="3" width="9.42578125" customWidth="1"/>
    <col min="4" max="4" width="8.85546875" customWidth="1"/>
    <col min="5" max="5" width="10.28515625" customWidth="1"/>
    <col min="6" max="6" width="6" customWidth="1"/>
    <col min="7" max="7" width="7.140625" customWidth="1"/>
    <col min="8" max="8" width="10.85546875" customWidth="1"/>
    <col min="9" max="9" width="5.28515625" customWidth="1"/>
    <col min="10" max="10" width="4.7109375" customWidth="1"/>
    <col min="11" max="11" width="4.85546875" customWidth="1"/>
    <col min="12" max="12" width="4.7109375" customWidth="1"/>
    <col min="13" max="13" width="4.85546875" customWidth="1"/>
    <col min="14" max="14" width="10" bestFit="1" customWidth="1"/>
  </cols>
  <sheetData>
    <row r="1" spans="1:14" x14ac:dyDescent="0.25">
      <c r="A1" s="45" t="s">
        <v>57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7"/>
    </row>
    <row r="2" spans="1:14" x14ac:dyDescent="0.25">
      <c r="A2" s="54" t="s">
        <v>24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6"/>
    </row>
    <row r="3" spans="1:14" x14ac:dyDescent="0.25">
      <c r="A3" s="23"/>
      <c r="B3" s="55" t="s">
        <v>25</v>
      </c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6"/>
    </row>
    <row r="4" spans="1:14" x14ac:dyDescent="0.25">
      <c r="A4" s="48" t="s">
        <v>39</v>
      </c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50"/>
    </row>
    <row r="5" spans="1:14" x14ac:dyDescent="0.25">
      <c r="A5" s="51" t="s">
        <v>56</v>
      </c>
      <c r="B5" s="52"/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  <c r="N5" s="53"/>
    </row>
    <row r="6" spans="1:14" ht="39.75" customHeight="1" x14ac:dyDescent="0.25">
      <c r="A6" s="57" t="s">
        <v>40</v>
      </c>
      <c r="B6" s="58"/>
      <c r="C6" s="58"/>
      <c r="D6" s="58"/>
      <c r="E6" s="58"/>
      <c r="F6" s="58"/>
      <c r="G6" s="29"/>
      <c r="H6" s="29"/>
      <c r="I6" s="29"/>
      <c r="J6" s="29"/>
      <c r="K6" s="29"/>
      <c r="L6" s="29"/>
      <c r="M6" s="29"/>
      <c r="N6" s="30"/>
    </row>
    <row r="7" spans="1:14" x14ac:dyDescent="0.25">
      <c r="A7" s="83" t="s">
        <v>41</v>
      </c>
      <c r="B7" s="84"/>
      <c r="C7" s="84"/>
      <c r="D7" s="84"/>
      <c r="E7" s="84"/>
      <c r="F7" s="84"/>
      <c r="G7" s="84"/>
      <c r="H7" s="84"/>
      <c r="I7" s="84"/>
      <c r="J7" s="84"/>
      <c r="K7" s="84"/>
      <c r="L7" s="84"/>
      <c r="M7" s="84"/>
      <c r="N7" s="85"/>
    </row>
    <row r="8" spans="1:14" x14ac:dyDescent="0.25">
      <c r="A8" s="86" t="s">
        <v>42</v>
      </c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87"/>
    </row>
    <row r="9" spans="1:14" x14ac:dyDescent="0.25">
      <c r="A9" s="86" t="s">
        <v>29</v>
      </c>
      <c r="B9" s="44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87"/>
    </row>
    <row r="10" spans="1:14" x14ac:dyDescent="0.25">
      <c r="A10" s="86" t="s">
        <v>30</v>
      </c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87"/>
    </row>
    <row r="11" spans="1:14" x14ac:dyDescent="0.25">
      <c r="A11" s="65" t="s">
        <v>2</v>
      </c>
      <c r="B11" s="66"/>
      <c r="C11" s="66"/>
      <c r="D11" s="66"/>
      <c r="E11" s="66"/>
      <c r="F11" s="66"/>
      <c r="G11" s="66" t="s">
        <v>26</v>
      </c>
      <c r="H11" s="66"/>
      <c r="I11" s="66"/>
      <c r="J11" s="66"/>
      <c r="K11" s="66"/>
      <c r="L11" s="66"/>
      <c r="M11" s="66"/>
      <c r="N11" s="82"/>
    </row>
    <row r="12" spans="1:14" x14ac:dyDescent="0.25">
      <c r="A12" s="67" t="s">
        <v>32</v>
      </c>
      <c r="B12" s="68"/>
      <c r="C12" s="68"/>
      <c r="D12" s="68"/>
      <c r="E12" s="68"/>
      <c r="F12" s="68"/>
      <c r="G12" s="66" t="s">
        <v>3</v>
      </c>
      <c r="H12" s="66"/>
      <c r="I12" s="66"/>
      <c r="J12" s="66"/>
      <c r="K12" s="66"/>
      <c r="L12" s="66"/>
      <c r="M12" s="66"/>
      <c r="N12" s="82"/>
    </row>
    <row r="13" spans="1:14" ht="39.75" customHeight="1" x14ac:dyDescent="0.25">
      <c r="A13" s="71" t="s">
        <v>36</v>
      </c>
      <c r="B13" s="42"/>
      <c r="C13" s="42"/>
      <c r="D13" s="42"/>
      <c r="E13" s="42"/>
      <c r="F13" s="42"/>
      <c r="G13" s="66" t="s">
        <v>0</v>
      </c>
      <c r="H13" s="66"/>
      <c r="I13" s="66"/>
      <c r="J13" s="66"/>
      <c r="K13" s="66"/>
      <c r="L13" s="66"/>
      <c r="M13" s="66"/>
      <c r="N13" s="82"/>
    </row>
    <row r="14" spans="1:14" x14ac:dyDescent="0.25">
      <c r="A14" s="65" t="s">
        <v>33</v>
      </c>
      <c r="B14" s="66"/>
      <c r="C14" s="66"/>
      <c r="D14" s="66"/>
      <c r="E14" s="66"/>
      <c r="F14" s="66"/>
      <c r="G14" s="69" t="s">
        <v>28</v>
      </c>
      <c r="H14" s="69"/>
      <c r="I14" s="69"/>
      <c r="J14" s="69"/>
      <c r="K14" s="69"/>
      <c r="L14" s="69"/>
      <c r="M14" s="69"/>
      <c r="N14" s="70"/>
    </row>
    <row r="15" spans="1:14" x14ac:dyDescent="0.25">
      <c r="A15" s="65" t="s">
        <v>34</v>
      </c>
      <c r="B15" s="66"/>
      <c r="C15" s="66"/>
      <c r="D15" s="66"/>
      <c r="E15" s="66"/>
      <c r="F15" s="66"/>
      <c r="G15" s="69" t="s">
        <v>27</v>
      </c>
      <c r="H15" s="69"/>
      <c r="I15" s="69"/>
      <c r="J15" s="69"/>
      <c r="K15" s="69"/>
      <c r="L15" s="69"/>
      <c r="M15" s="69"/>
      <c r="N15" s="70"/>
    </row>
    <row r="16" spans="1:14" x14ac:dyDescent="0.25">
      <c r="A16" s="67" t="s">
        <v>35</v>
      </c>
      <c r="B16" s="68"/>
      <c r="C16" s="68"/>
      <c r="D16" s="68"/>
      <c r="E16" s="68"/>
      <c r="F16" s="68"/>
      <c r="G16" s="69" t="s">
        <v>1</v>
      </c>
      <c r="H16" s="69"/>
      <c r="I16" s="69"/>
      <c r="J16" s="69"/>
      <c r="K16" s="69"/>
      <c r="L16" s="69"/>
      <c r="M16" s="69"/>
      <c r="N16" s="70"/>
    </row>
    <row r="17" spans="1:14" x14ac:dyDescent="0.25">
      <c r="A17" s="76" t="s">
        <v>4</v>
      </c>
      <c r="B17" s="63" t="s">
        <v>5</v>
      </c>
      <c r="C17" s="63" t="s">
        <v>19</v>
      </c>
      <c r="D17" s="78" t="s">
        <v>6</v>
      </c>
      <c r="E17" s="63" t="s">
        <v>23</v>
      </c>
      <c r="F17" s="38" t="s">
        <v>7</v>
      </c>
      <c r="G17" s="63" t="s">
        <v>8</v>
      </c>
      <c r="H17" s="63" t="s">
        <v>9</v>
      </c>
      <c r="I17" s="73" t="s">
        <v>10</v>
      </c>
      <c r="J17" s="74"/>
      <c r="K17" s="73" t="s">
        <v>13</v>
      </c>
      <c r="L17" s="74"/>
      <c r="M17" s="73" t="s">
        <v>14</v>
      </c>
      <c r="N17" s="75"/>
    </row>
    <row r="18" spans="1:14" ht="46.5" customHeight="1" x14ac:dyDescent="0.25">
      <c r="A18" s="77"/>
      <c r="B18" s="64"/>
      <c r="C18" s="64"/>
      <c r="D18" s="79"/>
      <c r="E18" s="64"/>
      <c r="F18" s="39"/>
      <c r="G18" s="64"/>
      <c r="H18" s="64"/>
      <c r="I18" s="18" t="s">
        <v>11</v>
      </c>
      <c r="J18" s="18" t="s">
        <v>12</v>
      </c>
      <c r="K18" s="18" t="s">
        <v>11</v>
      </c>
      <c r="L18" s="18" t="s">
        <v>12</v>
      </c>
      <c r="M18" s="18" t="s">
        <v>11</v>
      </c>
      <c r="N18" s="19" t="s">
        <v>12</v>
      </c>
    </row>
    <row r="19" spans="1:14" ht="36.75" customHeight="1" x14ac:dyDescent="0.25">
      <c r="A19" s="3">
        <v>1</v>
      </c>
      <c r="B19" s="4" t="s">
        <v>37</v>
      </c>
      <c r="C19" s="4" t="s">
        <v>44</v>
      </c>
      <c r="D19" s="34">
        <v>490700</v>
      </c>
      <c r="E19" s="40">
        <v>7858</v>
      </c>
      <c r="F19" s="18" t="s">
        <v>20</v>
      </c>
      <c r="G19" s="28">
        <v>0.5</v>
      </c>
      <c r="H19" s="24">
        <f t="shared" ref="H19:H25" si="0">ROUND(E19*G19,0)</f>
        <v>3929</v>
      </c>
      <c r="I19" s="33" t="s">
        <v>31</v>
      </c>
      <c r="J19" s="33" t="s">
        <v>31</v>
      </c>
      <c r="K19" s="33" t="s">
        <v>31</v>
      </c>
      <c r="L19" s="33" t="s">
        <v>31</v>
      </c>
      <c r="M19" s="33" t="s">
        <v>31</v>
      </c>
      <c r="N19" s="41" t="s">
        <v>31</v>
      </c>
    </row>
    <row r="20" spans="1:14" ht="36.75" customHeight="1" x14ac:dyDescent="0.25">
      <c r="A20" s="3">
        <v>2</v>
      </c>
      <c r="B20" s="4" t="s">
        <v>37</v>
      </c>
      <c r="C20" s="4" t="s">
        <v>43</v>
      </c>
      <c r="D20" s="34">
        <v>490700</v>
      </c>
      <c r="E20" s="40">
        <v>4935</v>
      </c>
      <c r="F20" s="18" t="s">
        <v>20</v>
      </c>
      <c r="G20" s="28">
        <v>0.5</v>
      </c>
      <c r="H20" s="24">
        <f t="shared" si="0"/>
        <v>2468</v>
      </c>
      <c r="I20" s="33" t="s">
        <v>31</v>
      </c>
      <c r="J20" s="33" t="s">
        <v>31</v>
      </c>
      <c r="K20" s="33" t="s">
        <v>31</v>
      </c>
      <c r="L20" s="33" t="s">
        <v>31</v>
      </c>
      <c r="M20" s="33" t="s">
        <v>31</v>
      </c>
      <c r="N20" s="41" t="s">
        <v>31</v>
      </c>
    </row>
    <row r="21" spans="1:14" ht="36.75" customHeight="1" x14ac:dyDescent="0.25">
      <c r="A21" s="3">
        <v>3</v>
      </c>
      <c r="B21" s="4" t="s">
        <v>37</v>
      </c>
      <c r="C21" s="4" t="s">
        <v>45</v>
      </c>
      <c r="D21" s="34">
        <v>490700</v>
      </c>
      <c r="E21" s="40">
        <v>39340</v>
      </c>
      <c r="F21" s="18" t="s">
        <v>20</v>
      </c>
      <c r="G21" s="28">
        <v>0.91</v>
      </c>
      <c r="H21" s="24">
        <f t="shared" si="0"/>
        <v>35799</v>
      </c>
      <c r="I21" s="33" t="s">
        <v>31</v>
      </c>
      <c r="J21" s="33" t="s">
        <v>31</v>
      </c>
      <c r="K21" s="33" t="s">
        <v>31</v>
      </c>
      <c r="L21" s="33" t="s">
        <v>31</v>
      </c>
      <c r="M21" s="33" t="s">
        <v>31</v>
      </c>
      <c r="N21" s="41" t="s">
        <v>31</v>
      </c>
    </row>
    <row r="22" spans="1:14" ht="36.75" customHeight="1" x14ac:dyDescent="0.25">
      <c r="A22" s="3">
        <v>4</v>
      </c>
      <c r="B22" s="4" t="s">
        <v>37</v>
      </c>
      <c r="C22" s="4" t="s">
        <v>46</v>
      </c>
      <c r="D22" s="34">
        <v>490700</v>
      </c>
      <c r="E22" s="40">
        <v>7519</v>
      </c>
      <c r="F22" s="18" t="s">
        <v>20</v>
      </c>
      <c r="G22" s="28">
        <v>0.5</v>
      </c>
      <c r="H22" s="24">
        <f t="shared" si="0"/>
        <v>3760</v>
      </c>
      <c r="I22" s="33" t="s">
        <v>31</v>
      </c>
      <c r="J22" s="33" t="s">
        <v>31</v>
      </c>
      <c r="K22" s="33" t="s">
        <v>31</v>
      </c>
      <c r="L22" s="33" t="s">
        <v>31</v>
      </c>
      <c r="M22" s="33" t="s">
        <v>31</v>
      </c>
      <c r="N22" s="41" t="s">
        <v>31</v>
      </c>
    </row>
    <row r="23" spans="1:14" ht="36.75" customHeight="1" x14ac:dyDescent="0.25">
      <c r="A23" s="3">
        <v>5</v>
      </c>
      <c r="B23" s="4" t="s">
        <v>37</v>
      </c>
      <c r="C23" s="4" t="s">
        <v>47</v>
      </c>
      <c r="D23" s="34">
        <v>490700</v>
      </c>
      <c r="E23" s="40">
        <v>11317</v>
      </c>
      <c r="F23" s="18" t="s">
        <v>20</v>
      </c>
      <c r="G23" s="28">
        <v>0.91</v>
      </c>
      <c r="H23" s="24">
        <f t="shared" si="0"/>
        <v>10298</v>
      </c>
      <c r="I23" s="33" t="s">
        <v>31</v>
      </c>
      <c r="J23" s="33" t="s">
        <v>31</v>
      </c>
      <c r="K23" s="33" t="s">
        <v>31</v>
      </c>
      <c r="L23" s="33" t="s">
        <v>31</v>
      </c>
      <c r="M23" s="33" t="s">
        <v>31</v>
      </c>
      <c r="N23" s="41" t="s">
        <v>31</v>
      </c>
    </row>
    <row r="24" spans="1:14" ht="36.75" customHeight="1" x14ac:dyDescent="0.25">
      <c r="A24" s="3">
        <v>6</v>
      </c>
      <c r="B24" s="4" t="s">
        <v>37</v>
      </c>
      <c r="C24" s="4" t="s">
        <v>48</v>
      </c>
      <c r="D24" s="34">
        <v>490700</v>
      </c>
      <c r="E24" s="40">
        <v>521495</v>
      </c>
      <c r="F24" s="18" t="s">
        <v>20</v>
      </c>
      <c r="G24" s="28">
        <v>0.97</v>
      </c>
      <c r="H24" s="24">
        <f t="shared" si="0"/>
        <v>505850</v>
      </c>
      <c r="I24" s="33" t="s">
        <v>31</v>
      </c>
      <c r="J24" s="33" t="s">
        <v>31</v>
      </c>
      <c r="K24" s="33" t="s">
        <v>31</v>
      </c>
      <c r="L24" s="33" t="s">
        <v>31</v>
      </c>
      <c r="M24" s="33" t="s">
        <v>31</v>
      </c>
      <c r="N24" s="41" t="s">
        <v>31</v>
      </c>
    </row>
    <row r="25" spans="1:14" ht="36.75" customHeight="1" x14ac:dyDescent="0.25">
      <c r="A25" s="3">
        <v>7</v>
      </c>
      <c r="B25" s="4" t="s">
        <v>37</v>
      </c>
      <c r="C25" s="4" t="s">
        <v>49</v>
      </c>
      <c r="D25" s="34">
        <v>490700</v>
      </c>
      <c r="E25" s="40">
        <v>6905</v>
      </c>
      <c r="F25" s="18" t="s">
        <v>20</v>
      </c>
      <c r="G25" s="28">
        <v>0.5</v>
      </c>
      <c r="H25" s="24">
        <f t="shared" si="0"/>
        <v>3453</v>
      </c>
      <c r="I25" s="33" t="s">
        <v>31</v>
      </c>
      <c r="J25" s="33" t="s">
        <v>31</v>
      </c>
      <c r="K25" s="33" t="s">
        <v>31</v>
      </c>
      <c r="L25" s="33" t="s">
        <v>31</v>
      </c>
      <c r="M25" s="33" t="s">
        <v>31</v>
      </c>
      <c r="N25" s="41" t="s">
        <v>31</v>
      </c>
    </row>
    <row r="26" spans="1:14" x14ac:dyDescent="0.25">
      <c r="A26" s="6"/>
      <c r="B26" s="88" t="s">
        <v>15</v>
      </c>
      <c r="C26" s="89"/>
      <c r="D26" s="90"/>
      <c r="E26" s="31"/>
      <c r="F26" s="7"/>
      <c r="G26" s="1"/>
      <c r="H26" s="8"/>
      <c r="I26" s="1"/>
      <c r="J26" s="1"/>
      <c r="K26" s="1"/>
      <c r="L26" s="1"/>
      <c r="M26" s="1"/>
      <c r="N26" s="5">
        <v>0</v>
      </c>
    </row>
    <row r="27" spans="1:14" x14ac:dyDescent="0.25">
      <c r="A27" s="6"/>
      <c r="B27" s="20" t="s">
        <v>16</v>
      </c>
      <c r="C27" s="21"/>
      <c r="D27" s="21"/>
      <c r="E27" s="32"/>
      <c r="F27" s="7"/>
      <c r="G27" s="1"/>
      <c r="H27" s="1"/>
      <c r="I27" s="1"/>
      <c r="J27" s="1"/>
      <c r="K27" s="1"/>
      <c r="L27" s="1"/>
      <c r="M27" s="1"/>
      <c r="N27" s="2">
        <v>0</v>
      </c>
    </row>
    <row r="28" spans="1:14" x14ac:dyDescent="0.25">
      <c r="A28" s="6"/>
      <c r="B28" s="20" t="s">
        <v>17</v>
      </c>
      <c r="C28" s="21"/>
      <c r="D28" s="21"/>
      <c r="E28" s="32"/>
      <c r="F28" s="7"/>
      <c r="G28" s="1"/>
      <c r="H28" s="1"/>
      <c r="I28" s="1"/>
      <c r="J28" s="1"/>
      <c r="K28" s="1"/>
      <c r="L28" s="1"/>
      <c r="M28" s="1"/>
      <c r="N28" s="2">
        <v>0</v>
      </c>
    </row>
    <row r="29" spans="1:14" x14ac:dyDescent="0.25">
      <c r="A29" s="9" t="s">
        <v>21</v>
      </c>
      <c r="B29" s="10"/>
      <c r="C29" s="10"/>
      <c r="D29" s="10"/>
      <c r="E29" s="27">
        <f>SUM(E19:E28)</f>
        <v>599369</v>
      </c>
      <c r="F29" s="10"/>
      <c r="G29" s="10"/>
      <c r="H29" s="27">
        <f>SUM(H19:H28)</f>
        <v>565557</v>
      </c>
      <c r="I29" s="22"/>
      <c r="J29" s="22"/>
      <c r="K29" s="22"/>
      <c r="L29" s="22"/>
      <c r="M29" s="22"/>
      <c r="N29" s="25">
        <f>SUM(N26:N28)</f>
        <v>0</v>
      </c>
    </row>
    <row r="30" spans="1:14" x14ac:dyDescent="0.25">
      <c r="A30" s="11" t="s">
        <v>22</v>
      </c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26">
        <f>H29+N29</f>
        <v>565557</v>
      </c>
    </row>
    <row r="31" spans="1:14" ht="17.25" customHeight="1" x14ac:dyDescent="0.25">
      <c r="A31" s="71" t="s">
        <v>50</v>
      </c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72"/>
    </row>
    <row r="32" spans="1:14" ht="21.75" customHeight="1" x14ac:dyDescent="0.25">
      <c r="A32" s="35"/>
      <c r="B32" s="42" t="s">
        <v>51</v>
      </c>
      <c r="C32" s="42"/>
      <c r="D32" s="42"/>
      <c r="E32" s="42"/>
      <c r="F32" s="36"/>
      <c r="G32" s="36"/>
      <c r="H32" s="36"/>
      <c r="I32" s="36"/>
      <c r="J32" s="36"/>
      <c r="K32" s="36"/>
      <c r="L32" s="36"/>
      <c r="M32" s="36"/>
      <c r="N32" s="37"/>
    </row>
    <row r="33" spans="1:14" ht="16.899999999999999" customHeight="1" x14ac:dyDescent="0.25">
      <c r="A33" s="35"/>
      <c r="B33" s="42" t="s">
        <v>52</v>
      </c>
      <c r="C33" s="42"/>
      <c r="D33" s="42"/>
      <c r="E33" s="42"/>
      <c r="F33" s="36"/>
      <c r="G33" s="36"/>
      <c r="H33" s="36"/>
      <c r="I33" s="36"/>
      <c r="J33" s="36"/>
      <c r="K33" s="36"/>
      <c r="L33" s="36"/>
      <c r="M33" s="36"/>
      <c r="N33" s="37"/>
    </row>
    <row r="34" spans="1:14" ht="16.899999999999999" customHeight="1" x14ac:dyDescent="0.25">
      <c r="A34" s="35"/>
      <c r="B34" s="43" t="s">
        <v>53</v>
      </c>
      <c r="C34" s="43"/>
      <c r="D34" s="43"/>
      <c r="E34" s="43"/>
      <c r="F34" s="36"/>
      <c r="G34" s="36"/>
      <c r="H34" s="36"/>
      <c r="I34" s="36"/>
      <c r="J34" s="36"/>
      <c r="K34" s="36"/>
      <c r="L34" s="36"/>
      <c r="M34" s="36"/>
      <c r="N34" s="37"/>
    </row>
    <row r="35" spans="1:14" ht="16.899999999999999" customHeight="1" x14ac:dyDescent="0.25">
      <c r="A35" s="35"/>
      <c r="B35" s="44" t="s">
        <v>54</v>
      </c>
      <c r="C35" s="44"/>
      <c r="D35" s="44"/>
      <c r="E35" s="44"/>
      <c r="F35" s="36"/>
      <c r="G35" s="36"/>
      <c r="H35" s="36"/>
      <c r="I35" s="36"/>
      <c r="J35" s="36"/>
      <c r="K35" s="36"/>
      <c r="L35" s="36"/>
      <c r="M35" s="36"/>
      <c r="N35" s="37"/>
    </row>
    <row r="36" spans="1:14" ht="18.75" customHeight="1" x14ac:dyDescent="0.25">
      <c r="A36" s="13"/>
      <c r="B36" s="44" t="s">
        <v>55</v>
      </c>
      <c r="C36" s="44"/>
      <c r="D36" s="44"/>
      <c r="E36" s="44"/>
      <c r="F36" s="14"/>
      <c r="G36" s="14"/>
      <c r="H36" s="14"/>
      <c r="I36" s="80"/>
      <c r="J36" s="80"/>
      <c r="K36" s="80"/>
      <c r="L36" s="80"/>
      <c r="M36" s="80"/>
      <c r="N36" s="81"/>
    </row>
    <row r="37" spans="1:14" ht="26.25" customHeight="1" x14ac:dyDescent="0.25">
      <c r="A37" s="15"/>
      <c r="B37" s="14"/>
      <c r="C37" s="14"/>
      <c r="D37" s="14"/>
      <c r="E37" s="14"/>
      <c r="F37" s="14"/>
      <c r="G37" s="14"/>
      <c r="H37" s="14"/>
      <c r="I37" s="59" t="s">
        <v>38</v>
      </c>
      <c r="J37" s="59"/>
      <c r="K37" s="59"/>
      <c r="L37" s="59"/>
      <c r="M37" s="59"/>
      <c r="N37" s="60"/>
    </row>
    <row r="38" spans="1:14" ht="15.75" thickBot="1" x14ac:dyDescent="0.3">
      <c r="A38" s="16" t="s">
        <v>18</v>
      </c>
      <c r="B38" s="17"/>
      <c r="C38" s="17"/>
      <c r="D38" s="17"/>
      <c r="E38" s="17"/>
      <c r="F38" s="17"/>
      <c r="G38" s="17"/>
      <c r="H38" s="17"/>
      <c r="I38" s="61"/>
      <c r="J38" s="61"/>
      <c r="K38" s="61"/>
      <c r="L38" s="61"/>
      <c r="M38" s="61"/>
      <c r="N38" s="62"/>
    </row>
  </sheetData>
  <mergeCells count="42">
    <mergeCell ref="A7:N7"/>
    <mergeCell ref="A9:N9"/>
    <mergeCell ref="A10:N10"/>
    <mergeCell ref="A8:N8"/>
    <mergeCell ref="B26:D26"/>
    <mergeCell ref="A11:F11"/>
    <mergeCell ref="A12:F12"/>
    <mergeCell ref="A13:F13"/>
    <mergeCell ref="A14:F14"/>
    <mergeCell ref="E17:E18"/>
    <mergeCell ref="I36:N36"/>
    <mergeCell ref="G12:N12"/>
    <mergeCell ref="G11:N11"/>
    <mergeCell ref="G13:N13"/>
    <mergeCell ref="G14:N14"/>
    <mergeCell ref="G17:G18"/>
    <mergeCell ref="A6:F6"/>
    <mergeCell ref="I37:N37"/>
    <mergeCell ref="I38:N38"/>
    <mergeCell ref="H17:H18"/>
    <mergeCell ref="A15:F15"/>
    <mergeCell ref="A16:F16"/>
    <mergeCell ref="G15:N15"/>
    <mergeCell ref="G16:N16"/>
    <mergeCell ref="A31:N31"/>
    <mergeCell ref="I17:J17"/>
    <mergeCell ref="K17:L17"/>
    <mergeCell ref="M17:N17"/>
    <mergeCell ref="A17:A18"/>
    <mergeCell ref="B17:B18"/>
    <mergeCell ref="C17:C18"/>
    <mergeCell ref="D17:D18"/>
    <mergeCell ref="A1:N1"/>
    <mergeCell ref="A4:N4"/>
    <mergeCell ref="A5:N5"/>
    <mergeCell ref="A2:N2"/>
    <mergeCell ref="B3:N3"/>
    <mergeCell ref="B32:E32"/>
    <mergeCell ref="B33:E33"/>
    <mergeCell ref="B34:E34"/>
    <mergeCell ref="B35:E35"/>
    <mergeCell ref="B36:E36"/>
  </mergeCells>
  <pageMargins left="0.70866141732283472" right="0.70866141732283472" top="0.74803149606299213" bottom="0.74803149606299213" header="0.31496062992125984" footer="0.31496062992125984"/>
  <pageSetup paperSize="9" scale="8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2026-05-11T13:42:01Z</dcterms:modified>
</cp:coreProperties>
</file>
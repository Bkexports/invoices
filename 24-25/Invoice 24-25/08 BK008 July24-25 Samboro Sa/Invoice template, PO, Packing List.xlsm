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in\BK Exports bills\24-25\Invoice 24-25\bk009\"/>
    </mc:Choice>
  </mc:AlternateContent>
  <xr:revisionPtr revIDLastSave="0" documentId="13_ncr:1_{9A7CDEFF-F3E4-47CF-90F2-720D33171297}" xr6:coauthVersionLast="36" xr6:coauthVersionMax="36" xr10:uidLastSave="{00000000-0000-0000-0000-000000000000}"/>
  <bookViews>
    <workbookView xWindow="0" yWindow="0" windowWidth="20400" windowHeight="8940" activeTab="2" xr2:uid="{00000000-000D-0000-FFFF-FFFF00000000}"/>
  </bookViews>
  <sheets>
    <sheet name="company data" sheetId="5" r:id="rId1"/>
    <sheet name="input data" sheetId="4" r:id="rId2"/>
    <sheet name="Inovice" sheetId="1" r:id="rId3"/>
    <sheet name="Peacking List" sheetId="2" r:id="rId4"/>
    <sheet name="PO" sheetId="3" r:id="rId5"/>
  </sheets>
  <functionGroups builtInGroupCount="19"/>
  <calcPr calcId="191029"/>
</workbook>
</file>

<file path=xl/calcChain.xml><?xml version="1.0" encoding="utf-8"?>
<calcChain xmlns="http://schemas.openxmlformats.org/spreadsheetml/2006/main">
  <c r="G26" i="2" l="1"/>
  <c r="H10" i="1" l="1"/>
  <c r="B3" i="4" l="1"/>
  <c r="A35" i="1" l="1"/>
  <c r="C39" i="2"/>
  <c r="B5" i="4" l="1"/>
  <c r="B42" i="3" s="1"/>
  <c r="E4" i="1" l="1"/>
  <c r="G3" i="2" s="1"/>
  <c r="A16" i="3"/>
  <c r="H6" i="1" l="1"/>
  <c r="E10" i="1"/>
  <c r="G22" i="2" l="1"/>
  <c r="E12" i="1"/>
  <c r="H12" i="1"/>
  <c r="I24" i="3" l="1"/>
  <c r="H28" i="1" l="1"/>
  <c r="F28" i="1"/>
  <c r="C35" i="1"/>
  <c r="C37" i="2" s="1"/>
  <c r="H22" i="1"/>
  <c r="I20" i="2" s="1"/>
  <c r="H25" i="1"/>
  <c r="E25" i="1"/>
  <c r="C25" i="1"/>
  <c r="C22" i="1"/>
  <c r="B28" i="1"/>
  <c r="A15" i="1"/>
  <c r="H4" i="1"/>
  <c r="I28" i="1" l="1"/>
  <c r="I38" i="1" s="1"/>
  <c r="A37" i="2"/>
  <c r="I29" i="2"/>
  <c r="I34" i="2" s="1"/>
  <c r="B29" i="2"/>
  <c r="D29" i="2"/>
  <c r="D26" i="2"/>
  <c r="A26" i="2"/>
  <c r="D24" i="2"/>
  <c r="D22" i="2"/>
  <c r="A15" i="2"/>
  <c r="I3" i="2"/>
  <c r="A39" i="1"/>
</calcChain>
</file>

<file path=xl/sharedStrings.xml><?xml version="1.0" encoding="utf-8"?>
<sst xmlns="http://schemas.openxmlformats.org/spreadsheetml/2006/main" count="209" uniqueCount="170">
  <si>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</si>
  <si>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</si>
  <si>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</si>
  <si>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</si>
  <si>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</si>
  <si>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</si>
  <si>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</si>
  <si>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</si>
  <si>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</si>
  <si>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</si>
  <si>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</si>
  <si>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</si>
  <si>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</si>
  <si>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</si>
  <si>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                        TO THE ORDER </t>
  </si>
  <si>
    <t>NOTIFY PARTY</t>
  </si>
  <si>
    <t>PAN NO. /IEC CODE</t>
  </si>
  <si>
    <t>BUYER'S ORDER NO.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</si>
  <si>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</si>
  <si>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</si>
  <si>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</si>
  <si>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</si>
  <si>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</si>
  <si>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</si>
  <si>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</si>
  <si>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</si>
  <si>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</si>
  <si>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</si>
  <si>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</si>
  <si>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</si>
  <si>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</si>
  <si>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</si>
  <si>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</si>
  <si>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</si>
  <si>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</si>
  <si>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</si>
  <si>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</si>
  <si>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</si>
  <si>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</si>
  <si>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</si>
  <si>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</si>
  <si>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 xml:space="preserve"> +91 9313035076,  +91 9537651265</t>
  </si>
  <si>
    <t>AD240322004861M</t>
  </si>
  <si>
    <t>TYPE OF CONTAINER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</si>
  <si>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</si>
  <si>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</si>
  <si>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</si>
  <si>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</si>
  <si>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</si>
  <si>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</si>
  <si>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</si>
  <si>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</si>
  <si>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</si>
  <si>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 xml:space="preserve">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</si>
  <si>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</si>
  <si>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</si>
  <si>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</si>
  <si>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</si>
  <si>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</si>
  <si>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</si>
  <si>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</si>
  <si>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</si>
  <si>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</si>
  <si>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</si>
  <si>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</si>
  <si>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</si>
  <si>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</si>
  <si>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</si>
  <si>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</si>
  <si>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</si>
  <si>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</si>
  <si>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</si>
  <si>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</si>
  <si>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</si>
  <si>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</si>
  <si>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</si>
  <si>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</si>
  <si>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</si>
  <si>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</si>
  <si>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</si>
  <si>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</si>
  <si>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</si>
  <si>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</si>
  <si>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</si>
  <si>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Date</t>
  </si>
  <si>
    <t>Party Name</t>
  </si>
  <si>
    <t>Product Name</t>
  </si>
  <si>
    <t>Quantity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</si>
  <si>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</si>
  <si>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</si>
  <si>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</si>
  <si>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</si>
  <si>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</si>
  <si>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</si>
  <si>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BK029/23-24</t>
  </si>
  <si>
    <t>TO,</t>
  </si>
  <si>
    <t>SIYARAM GRANITE</t>
  </si>
  <si>
    <t>GSTIN NO.- 08ADHFS5738B1Z</t>
  </si>
  <si>
    <t>Dear Sir/ Mdam,</t>
  </si>
  <si>
    <t xml:space="preserve">COLORS </t>
  </si>
  <si>
    <t xml:space="preserve">RATES </t>
  </si>
  <si>
    <t>SQFT</t>
  </si>
  <si>
    <t>AMOUNT</t>
  </si>
  <si>
    <t>GRANITE POLISHED SLABS</t>
  </si>
  <si>
    <t>GST 0.1%</t>
  </si>
  <si>
    <t>GRAND TOTAL</t>
  </si>
  <si>
    <t xml:space="preserve">OTHER DETAILS </t>
  </si>
  <si>
    <t>Packing</t>
  </si>
  <si>
    <t>Loose</t>
  </si>
  <si>
    <t>Terms</t>
  </si>
  <si>
    <t>Port of Delivery</t>
  </si>
  <si>
    <t xml:space="preserve">Port of Loading </t>
  </si>
  <si>
    <t>Chennai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</si>
  <si>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</si>
  <si>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</si>
  <si>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</si>
  <si>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  <scheme val="minor"/>
      </rPr>
      <t>B K EXPORTS</t>
    </r>
    <r>
      <rPr>
        <sz val="11"/>
        <color theme="1"/>
        <rFont val="Calibri"/>
        <family val="2"/>
        <scheme val="minor"/>
      </rPr>
      <t xml:space="preserve">  </t>
    </r>
  </si>
  <si>
    <t xml:space="preserve">90, Jasodanagar Cross Road, Nr. Canal, Opp. Baroda Express Highway,  </t>
  </si>
  <si>
    <r>
      <t xml:space="preserve"> </t>
    </r>
    <r>
      <rPr>
        <b/>
        <sz val="11"/>
        <color theme="1"/>
        <rFont val="Calibri"/>
        <family val="2"/>
        <scheme val="minor"/>
      </rPr>
      <t>Amraiwadi, Ahmedabad, Gujarat, India - 380026</t>
    </r>
  </si>
  <si>
    <t>IEC NO.    AGQPJ1643Q</t>
  </si>
  <si>
    <t>GSTIN NO.  24AGQPJ1643Q1ZW</t>
  </si>
  <si>
    <r>
      <rPr>
        <b/>
        <sz val="11"/>
        <color theme="1"/>
        <rFont val="Calibri"/>
        <family val="2"/>
        <scheme val="minor"/>
      </rPr>
      <t>For B K EXPORTS</t>
    </r>
    <r>
      <rPr>
        <sz val="11"/>
        <color theme="1"/>
        <rFont val="Calibri"/>
        <family val="2"/>
        <scheme val="minor"/>
      </rPr>
      <t xml:space="preserve"> </t>
    </r>
  </si>
  <si>
    <t>PLOT NO.-8 KHASARA NO.-949/1 RALWATA, KISHANGARH
Ajmer  - 308012</t>
  </si>
  <si>
    <t>BANK DETAILS: 
ACCOUNT NAME : B K  EXPORTS
BANK NAME : BANK OF BARODA
ACCOUNT NUMBER : 14970200000658
SWIFT CODE : BARBINBBVAT
IFSC CODE : BARB0MANEAS (fifth digit zero)
BRANCH : MANINAGAR (EAST)</t>
  </si>
  <si>
    <t xml:space="preserve">TERMS OF DELIVERY </t>
  </si>
  <si>
    <t>TERMS OF PAYMENT</t>
  </si>
  <si>
    <t>Terms of delivery</t>
  </si>
  <si>
    <t>Terms of payment</t>
  </si>
  <si>
    <t>Terms of Delivery.</t>
  </si>
  <si>
    <t>Terms of Payment</t>
  </si>
  <si>
    <t>Kind of Packing</t>
  </si>
  <si>
    <t>Type of container</t>
  </si>
  <si>
    <t xml:space="preserve">LUT No: </t>
  </si>
  <si>
    <t>Amount in Words:</t>
  </si>
  <si>
    <t>financial year</t>
  </si>
  <si>
    <t>24-25</t>
  </si>
  <si>
    <t>Financial Year</t>
  </si>
  <si>
    <t>Kind of packing</t>
  </si>
  <si>
    <t>type of container</t>
  </si>
  <si>
    <t>terms of delivery</t>
  </si>
  <si>
    <t>terms of payment</t>
  </si>
  <si>
    <t>Loose packing</t>
  </si>
  <si>
    <t>100 % Advance</t>
  </si>
  <si>
    <t>FOB</t>
  </si>
  <si>
    <t>American Standard</t>
  </si>
  <si>
    <t>30 % Advance, Remaning Against Document</t>
  </si>
  <si>
    <t>70 %  Advance, Remaning Against Document</t>
  </si>
  <si>
    <t>No.</t>
  </si>
  <si>
    <t>Invoice Number</t>
  </si>
  <si>
    <t xml:space="preserve">PACKING TYPE : </t>
  </si>
  <si>
    <t xml:space="preserve">LUT NO: </t>
  </si>
  <si>
    <t>CIF</t>
  </si>
  <si>
    <t>number of containers</t>
  </si>
  <si>
    <t>09</t>
  </si>
  <si>
    <t>SAMBORO, S.A.
10 AVENIDA 0-19 ZONA 7, GUATEMALA
GUATEMALA
NIT:  544251-6</t>
  </si>
  <si>
    <t>POLISHED FINE GREY QUARTZ</t>
  </si>
  <si>
    <t>Mundra</t>
  </si>
  <si>
    <t>Puerto Quetzal</t>
  </si>
  <si>
    <t>Guatemala</t>
  </si>
  <si>
    <t>TEMU5601524</t>
  </si>
  <si>
    <t xml:space="preserve"> POLISHED CRYSTAL BROWN QUARTZ</t>
  </si>
  <si>
    <t>$    26.25</t>
  </si>
  <si>
    <t>*  Thickness Variation will be -/+1mm.
*  Slab Size : 3200mm x 1600mm and Thickness 15mm.</t>
  </si>
  <si>
    <t>POLISHED CRYSTAL BROWN QUARTZ</t>
  </si>
  <si>
    <t>Wooden Crate packing</t>
  </si>
  <si>
    <t>-</t>
  </si>
  <si>
    <t>Sample Box (Free Cost)</t>
  </si>
  <si>
    <t xml:space="preserve"> - </t>
  </si>
  <si>
    <t>Sample Box (Free Box)</t>
  </si>
  <si>
    <t xml:space="preserve">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</si>
</sst>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#&quot; / &quot;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28"/>
      <color rgb="FF00B0F0"/>
      <name val="Calibri"/>
      <family val="2"/>
      <scheme val="minor"/>
    </font>
    <font>
      <sz val="11"/>
      <color rgb="FF666666"/>
      <name val="Calibri"/>
      <family val="2"/>
      <scheme val="minor"/>
    </font>
    <font>
      <b/>
      <sz val="11"/>
      <color rgb="FF666666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2" fillId="0" borderId="1" xfId="0" applyFont="1" applyBorder="1" applyAlignment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11" xfId="0" applyBorder="1" applyAlignment="1"/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13" fillId="0" borderId="0" xfId="0" applyFont="1" applyAlignment="1">
      <alignment horizontal="center"/>
    </xf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0" xfId="0" applyBorder="1" applyAlignment="1"/>
    <xf numFmtId="0" fontId="0" fillId="0" borderId="10" xfId="0" applyFill="1" applyBorder="1"/>
    <xf numFmtId="0" fontId="0" fillId="0" borderId="12" xfId="0" applyBorder="1" applyAlignment="1">
      <alignment horizontal="center"/>
    </xf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8" xfId="0" applyBorder="1" applyAlignment="1"/>
    <xf numFmtId="165" fontId="0" fillId="0" borderId="0" xfId="0" applyNumberFormat="1" applyAlignment="1" applyProtection="1">
      <alignment horizontal="left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14" fontId="0" fillId="0" borderId="0" xfId="0" applyNumberFormat="1" applyAlignment="1" applyProtection="1">
      <alignment horizontal="left"/>
    </xf>
    <xf numFmtId="0" fontId="11" fillId="0" borderId="0" xfId="0" applyFont="1" applyAlignment="1"/>
    <xf numFmtId="14" fontId="11" fillId="0" borderId="0" xfId="0" applyNumberFormat="1" applyFont="1" applyAlignment="1"/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14" fontId="2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3" xfId="0" applyBorder="1" applyAlignment="1">
      <alignment horizont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3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1" fillId="0" borderId="0" xfId="0" applyFont="1" applyAlignment="1">
      <alignment horizontal="center"/>
    </xf>
    <xf numFmtId="0" fontId="11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7" xfId="0" applyBorder="1" applyAlignment="1">
      <alignment horizontal="left"/>
    </xf>
    <xf numFmtId="164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4" xfId="0" applyFont="1" applyBorder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4" xfId="0" applyBorder="1" applyAlignment="1">
      <alignment horizontal="left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2" fontId="0" fillId="0" borderId="13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3">
    <dxf>
      <fill>
        <patternFill>
          <bgColor rgb="FFFF0000"/>
        </patternFill>
      </fill>
    </dxf>
    <dxf>
      <numFmt numFmtId="0" formatCode="General"/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41</xdr:row>
      <xdr:rowOff>157880</xdr:rowOff>
    </xdr:from>
    <xdr:to>
      <xdr:col>9</xdr:col>
      <xdr:colOff>114301</xdr:colOff>
      <xdr:row>44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43</xdr:row>
      <xdr:rowOff>7620</xdr:rowOff>
    </xdr:from>
    <xdr:to>
      <xdr:col>2</xdr:col>
      <xdr:colOff>211455</xdr:colOff>
      <xdr:row>45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397044-EF3F-456F-B5F1-87A9DE8B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8237220"/>
          <a:ext cx="1402080" cy="5486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748B-8537-47B8-8E12-C840F354FB77}">
  <dimension ref="A1:E4"/>
  <sheetViews>
    <sheetView workbookViewId="0">
      <selection activeCell="D17" sqref="D17"/>
    </sheetView>
  </sheetViews>
  <sheetFormatPr defaultRowHeight="15" x14ac:dyDescent="0.25"/>
  <cols>
    <col min="1" max="1" width="12.85546875" bestFit="1" customWidth="1"/>
    <col min="2" max="2" width="18" bestFit="1" customWidth="1"/>
    <col min="3" max="4" width="16.28515625" bestFit="1" customWidth="1"/>
    <col min="5" max="5" width="39.28515625" bestFit="1" customWidth="1"/>
  </cols>
  <sheetData>
    <row r="1" spans="1:5" x14ac:dyDescent="0.25">
      <c r="A1" s="55" t="s">
        <v>134</v>
      </c>
      <c r="B1" s="55" t="s">
        <v>137</v>
      </c>
      <c r="C1" s="55" t="s">
        <v>138</v>
      </c>
      <c r="D1" s="55" t="s">
        <v>139</v>
      </c>
      <c r="E1" s="55" t="s">
        <v>140</v>
      </c>
    </row>
    <row r="2" spans="1:5" x14ac:dyDescent="0.25">
      <c r="A2" t="s">
        <v>135</v>
      </c>
      <c r="B2" t="s">
        <v>164</v>
      </c>
      <c r="C2" t="s">
        <v>44</v>
      </c>
      <c r="D2" t="s">
        <v>143</v>
      </c>
      <c r="E2" t="s">
        <v>145</v>
      </c>
    </row>
    <row r="3" spans="1:5" x14ac:dyDescent="0.25">
      <c r="B3" t="s">
        <v>141</v>
      </c>
      <c r="D3" t="s">
        <v>151</v>
      </c>
      <c r="E3" t="s">
        <v>142</v>
      </c>
    </row>
    <row r="4" spans="1:5" x14ac:dyDescent="0.25">
      <c r="B4" t="s">
        <v>144</v>
      </c>
      <c r="E4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1:N27"/>
  <sheetViews>
    <sheetView topLeftCell="A10" workbookViewId="0">
      <selection activeCell="H27" sqref="H27"/>
    </sheetView>
  </sheetViews>
  <sheetFormatPr defaultRowHeight="15" x14ac:dyDescent="0.25"/>
  <cols>
    <col min="1" max="1" width="20.28515625" style="72" bestFit="1" customWidth="1"/>
    <col min="2" max="2" width="39.5703125" style="71" customWidth="1"/>
    <col min="3" max="16384" width="9.140625" style="72"/>
  </cols>
  <sheetData>
    <row r="1" spans="1:14" x14ac:dyDescent="0.25">
      <c r="A1" s="70" t="s">
        <v>136</v>
      </c>
      <c r="B1" s="71" t="s">
        <v>135</v>
      </c>
    </row>
    <row r="2" spans="1:14" x14ac:dyDescent="0.25">
      <c r="A2" s="70" t="s">
        <v>147</v>
      </c>
      <c r="B2" s="73" t="s">
        <v>153</v>
      </c>
    </row>
    <row r="3" spans="1:14" x14ac:dyDescent="0.25">
      <c r="A3" s="70" t="s">
        <v>148</v>
      </c>
      <c r="B3" s="69" t="str">
        <f>"BK0" &amp; B2 &amp; "/" &amp; B1</f>
        <v>BK009/24-25</v>
      </c>
    </row>
    <row r="4" spans="1:14" x14ac:dyDescent="0.25">
      <c r="A4" s="70" t="s">
        <v>84</v>
      </c>
      <c r="B4" s="74">
        <v>45542</v>
      </c>
    </row>
    <row r="5" spans="1:14" x14ac:dyDescent="0.25">
      <c r="A5" s="70" t="s">
        <v>132</v>
      </c>
      <c r="B5" s="79" t="str">
        <f>IF(B1="24-25","AD240424008317F",IF(B1="23-24","AD240322004861M",IF(B1="","select the financial year")))</f>
        <v>AD240424008317F</v>
      </c>
    </row>
    <row r="6" spans="1:14" ht="15" customHeight="1" x14ac:dyDescent="0.25">
      <c r="A6" s="87" t="s">
        <v>85</v>
      </c>
      <c r="B6" s="86" t="s">
        <v>154</v>
      </c>
      <c r="C6" s="75"/>
      <c r="D6" s="75"/>
      <c r="E6" s="75"/>
      <c r="F6" s="75"/>
    </row>
    <row r="7" spans="1:14" ht="30" customHeight="1" x14ac:dyDescent="0.25">
      <c r="A7" s="87"/>
      <c r="B7" s="86"/>
      <c r="C7" s="75"/>
      <c r="D7" s="75"/>
      <c r="E7" s="75"/>
      <c r="F7" s="75"/>
    </row>
    <row r="8" spans="1:14" ht="35.25" customHeight="1" x14ac:dyDescent="0.25">
      <c r="A8" s="87"/>
      <c r="B8" s="86"/>
      <c r="C8" s="75"/>
      <c r="D8" s="75"/>
      <c r="E8" s="75"/>
      <c r="F8" s="75"/>
    </row>
    <row r="9" spans="1:14" x14ac:dyDescent="0.25">
      <c r="A9" s="87"/>
      <c r="B9" s="86"/>
      <c r="C9" s="75"/>
      <c r="D9" s="75"/>
      <c r="E9" s="75"/>
      <c r="F9" s="75"/>
      <c r="N9" s="76"/>
    </row>
    <row r="10" spans="1:14" x14ac:dyDescent="0.25">
      <c r="A10" s="87"/>
      <c r="B10" s="86"/>
      <c r="C10" s="75"/>
      <c r="D10" s="75"/>
      <c r="E10" s="75"/>
      <c r="F10" s="75"/>
    </row>
    <row r="11" spans="1:14" ht="34.5" customHeight="1" x14ac:dyDescent="0.25">
      <c r="A11" s="87"/>
      <c r="B11" s="86"/>
      <c r="C11" s="75"/>
      <c r="D11" s="75"/>
      <c r="E11" s="75"/>
      <c r="F11" s="75"/>
    </row>
    <row r="12" spans="1:14" ht="34.5" customHeight="1" x14ac:dyDescent="0.25">
      <c r="A12" s="83" t="s">
        <v>152</v>
      </c>
      <c r="B12" s="82">
        <v>1</v>
      </c>
      <c r="C12" s="75"/>
      <c r="D12" s="75"/>
      <c r="E12" s="75"/>
      <c r="F12" s="75"/>
    </row>
    <row r="13" spans="1:14" x14ac:dyDescent="0.25">
      <c r="A13" s="70" t="s">
        <v>130</v>
      </c>
      <c r="B13" s="71" t="s">
        <v>164</v>
      </c>
      <c r="C13" s="71"/>
      <c r="D13" s="71"/>
      <c r="E13" s="71"/>
      <c r="F13" s="71"/>
    </row>
    <row r="14" spans="1:14" x14ac:dyDescent="0.25">
      <c r="A14" s="70" t="s">
        <v>131</v>
      </c>
      <c r="B14" s="71" t="s">
        <v>44</v>
      </c>
      <c r="C14" s="71"/>
      <c r="D14" s="71"/>
      <c r="E14" s="71"/>
      <c r="F14" s="71"/>
    </row>
    <row r="15" spans="1:14" x14ac:dyDescent="0.25">
      <c r="A15" s="70" t="s">
        <v>126</v>
      </c>
      <c r="B15" s="71" t="s">
        <v>143</v>
      </c>
    </row>
    <row r="16" spans="1:14" x14ac:dyDescent="0.25">
      <c r="A16" s="70" t="s">
        <v>127</v>
      </c>
      <c r="B16" s="71" t="s">
        <v>145</v>
      </c>
    </row>
    <row r="17" spans="1:2" x14ac:dyDescent="0.25">
      <c r="A17" s="70" t="s">
        <v>86</v>
      </c>
      <c r="B17" s="71" t="s">
        <v>155</v>
      </c>
    </row>
    <row r="18" spans="1:2" ht="30" x14ac:dyDescent="0.25">
      <c r="A18" s="77" t="s">
        <v>21</v>
      </c>
      <c r="B18" s="71" t="s">
        <v>156</v>
      </c>
    </row>
    <row r="19" spans="1:2" x14ac:dyDescent="0.25">
      <c r="A19" s="77" t="s">
        <v>26</v>
      </c>
      <c r="B19" s="71" t="s">
        <v>156</v>
      </c>
    </row>
    <row r="20" spans="1:2" x14ac:dyDescent="0.25">
      <c r="A20" s="77" t="s">
        <v>27</v>
      </c>
      <c r="B20" t="s">
        <v>157</v>
      </c>
    </row>
    <row r="21" spans="1:2" x14ac:dyDescent="0.25">
      <c r="A21" s="77" t="s">
        <v>28</v>
      </c>
      <c r="B21" t="s">
        <v>157</v>
      </c>
    </row>
    <row r="22" spans="1:2" ht="30" x14ac:dyDescent="0.25">
      <c r="A22" s="78" t="s">
        <v>24</v>
      </c>
      <c r="B22" s="71" t="s">
        <v>158</v>
      </c>
    </row>
    <row r="23" spans="1:2" x14ac:dyDescent="0.25">
      <c r="A23" s="70" t="s">
        <v>45</v>
      </c>
      <c r="B23" s="71" t="s">
        <v>159</v>
      </c>
    </row>
    <row r="24" spans="1:2" x14ac:dyDescent="0.25">
      <c r="A24" s="70" t="s">
        <v>46</v>
      </c>
      <c r="B24" s="71">
        <v>140</v>
      </c>
    </row>
    <row r="25" spans="1:2" x14ac:dyDescent="0.25">
      <c r="A25" s="70" t="s">
        <v>87</v>
      </c>
      <c r="B25" s="71">
        <v>512</v>
      </c>
    </row>
    <row r="26" spans="1:2" x14ac:dyDescent="0.25">
      <c r="A26" s="72" t="s">
        <v>33</v>
      </c>
      <c r="B26" s="71">
        <v>34</v>
      </c>
    </row>
    <row r="27" spans="1:2" x14ac:dyDescent="0.25">
      <c r="A27" s="70"/>
    </row>
  </sheetData>
  <sheetProtection algorithmName="SHA-512" hashValue="HgOt/jB0qbLWRmcvgd5bl3zPQXgZnm3qzPcWrhj6JWaJGDTumKrg7q8XSulMhYbX7185j8jPdltSnnBTRldZbA==" saltValue="WaPOpHnBSLYf38+Tj4Rfxg==" spinCount="100000" sheet="1" objects="1" scenarios="1"/>
  <mergeCells count="2">
    <mergeCell ref="B6:B11"/>
    <mergeCell ref="A6:A11"/>
  </mergeCells>
  <conditionalFormatting sqref="B1:B19 B22:B26">
    <cfRule type="containsBlanks" dxfId="2" priority="3">
      <formula>LEN(TRIM(B1))=0</formula>
    </cfRule>
  </conditionalFormatting>
  <conditionalFormatting sqref="B5">
    <cfRule type="containsText" dxfId="1" priority="1" operator="containsText" text="FALSE">
      <formula>NOT(ISERROR(SEARCH("FALSE",B5)))</formula>
    </cfRule>
    <cfRule type="containsText" dxfId="0" priority="2" operator="containsText" text="select the financial year">
      <formula>NOT(ISERROR(SEARCH("select the financial year",B5)))</formula>
    </cfRule>
  </conditionalFormatting>
  <dataValidations count="3">
    <dataValidation type="decimal" allowBlank="1" showInputMessage="1" showErrorMessage="1" prompt="kindly enter numeric values only" sqref="B24:B26" xr:uid="{25D7E45D-D7ED-4747-9F75-04482F4C17A3}">
      <formula1>0</formula1>
      <formula2>9999999999</formula2>
    </dataValidation>
    <dataValidation type="date" operator="greaterThan" allowBlank="1" showInputMessage="1" showErrorMessage="1" prompt="kindly enter date" sqref="B4" xr:uid="{8AC4F205-955D-4632-AF8C-5BA0103398BB}">
      <formula1>44927</formula1>
    </dataValidation>
    <dataValidation type="whole" allowBlank="1" showInputMessage="1" showErrorMessage="1" sqref="B12" xr:uid="{9AF38294-B95E-4253-AF7D-ECE973050793}">
      <formula1>1</formula1>
      <formula2>100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621EB73-C21C-4C3D-B068-B91248CCADC1}">
          <x14:formula1>
            <xm:f>'company data'!$A$2:$A$7</xm:f>
          </x14:formula1>
          <xm:sqref>B1</xm:sqref>
        </x14:dataValidation>
        <x14:dataValidation type="list" allowBlank="1" showInputMessage="1" showErrorMessage="1" xr:uid="{E6999424-146D-410B-899C-9A2043D27F9E}">
          <x14:formula1>
            <xm:f>'company data'!$B$2:$B$13</xm:f>
          </x14:formula1>
          <xm:sqref>B13</xm:sqref>
        </x14:dataValidation>
        <x14:dataValidation type="list" allowBlank="1" showInputMessage="1" showErrorMessage="1" xr:uid="{09DC2243-DC43-4B0E-829F-0E9D570E5302}">
          <x14:formula1>
            <xm:f>'company data'!$C$2:$C$16</xm:f>
          </x14:formula1>
          <xm:sqref>B14</xm:sqref>
        </x14:dataValidation>
        <x14:dataValidation type="list" allowBlank="1" showInputMessage="1" showErrorMessage="1" xr:uid="{9F43AC56-5DB6-4236-A38F-5BC2334846D6}">
          <x14:formula1>
            <xm:f>'company data'!$D$2:$D$23</xm:f>
          </x14:formula1>
          <xm:sqref>B15</xm:sqref>
        </x14:dataValidation>
        <x14:dataValidation type="list" allowBlank="1" showInputMessage="1" showErrorMessage="1" xr:uid="{EE0243DC-B499-494D-88B6-7DEE13915349}">
          <x14:formula1>
            <xm:f>'company data'!$E$2:$E$18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4"/>
  <sheetViews>
    <sheetView tabSelected="1" topLeftCell="A7" workbookViewId="0">
      <selection activeCell="L18" sqref="L18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4.7109375" customWidth="1"/>
    <col min="8" max="8" width="9.28515625" customWidth="1"/>
    <col min="10" max="10" width="6.5703125" customWidth="1"/>
  </cols>
  <sheetData>
    <row r="1" spans="1:10" x14ac:dyDescent="0.25">
      <c r="A1" s="115" t="s">
        <v>40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15.75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</row>
    <row r="3" spans="1:10" x14ac:dyDescent="0.25">
      <c r="A3" s="9" t="s">
        <v>0</v>
      </c>
      <c r="B3" s="1"/>
      <c r="C3" s="1"/>
      <c r="D3" s="2"/>
      <c r="E3" s="126" t="s">
        <v>7</v>
      </c>
      <c r="F3" s="131"/>
      <c r="G3" s="127"/>
      <c r="H3" s="126" t="s">
        <v>8</v>
      </c>
      <c r="I3" s="131"/>
      <c r="J3" s="127"/>
    </row>
    <row r="4" spans="1:10" ht="15.75" thickBot="1" x14ac:dyDescent="0.3">
      <c r="A4" s="3" t="s">
        <v>1</v>
      </c>
      <c r="B4" s="4"/>
      <c r="C4" s="4"/>
      <c r="D4" s="5"/>
      <c r="E4" s="102" t="str">
        <f>'input data'!B3</f>
        <v>BK009/24-25</v>
      </c>
      <c r="F4" s="114"/>
      <c r="G4" s="103"/>
      <c r="H4" s="145">
        <f>'input data'!B4</f>
        <v>45542</v>
      </c>
      <c r="I4" s="114"/>
      <c r="J4" s="103"/>
    </row>
    <row r="5" spans="1:10" x14ac:dyDescent="0.25">
      <c r="A5" s="10" t="s">
        <v>2</v>
      </c>
      <c r="B5" s="4"/>
      <c r="C5" s="4"/>
      <c r="D5" s="5"/>
      <c r="E5" s="126" t="s">
        <v>17</v>
      </c>
      <c r="F5" s="131"/>
      <c r="G5" s="127"/>
      <c r="H5" s="126" t="s">
        <v>9</v>
      </c>
      <c r="I5" s="131"/>
      <c r="J5" s="127"/>
    </row>
    <row r="6" spans="1:10" ht="15.75" thickBot="1" x14ac:dyDescent="0.3">
      <c r="A6" s="10" t="s">
        <v>4</v>
      </c>
      <c r="B6" s="4"/>
      <c r="C6" s="4"/>
      <c r="D6" s="5"/>
      <c r="E6" s="102"/>
      <c r="F6" s="114"/>
      <c r="G6" s="103"/>
      <c r="H6" s="146" t="str">
        <f>'input data'!B5</f>
        <v>AD240424008317F</v>
      </c>
      <c r="I6" s="147"/>
      <c r="J6" s="129"/>
    </row>
    <row r="7" spans="1:10" x14ac:dyDescent="0.25">
      <c r="A7" s="10" t="s">
        <v>3</v>
      </c>
      <c r="B7" s="4"/>
      <c r="C7" s="4"/>
      <c r="D7" s="5"/>
      <c r="E7" s="126" t="s">
        <v>16</v>
      </c>
      <c r="F7" s="131"/>
      <c r="G7" s="127"/>
      <c r="H7" s="126" t="s">
        <v>10</v>
      </c>
      <c r="I7" s="131"/>
      <c r="J7" s="127"/>
    </row>
    <row r="8" spans="1:10" ht="15.75" thickBot="1" x14ac:dyDescent="0.3">
      <c r="A8" s="11" t="s">
        <v>41</v>
      </c>
      <c r="B8" s="4"/>
      <c r="C8" s="4"/>
      <c r="D8" s="5"/>
      <c r="E8" s="102" t="s">
        <v>12</v>
      </c>
      <c r="F8" s="114"/>
      <c r="G8" s="103"/>
      <c r="H8" s="128" t="s">
        <v>11</v>
      </c>
      <c r="I8" s="147"/>
      <c r="J8" s="129"/>
    </row>
    <row r="9" spans="1:10" x14ac:dyDescent="0.25">
      <c r="A9" s="12" t="s">
        <v>5</v>
      </c>
      <c r="B9" s="4"/>
      <c r="C9" s="4"/>
      <c r="D9" s="5"/>
      <c r="E9" s="126" t="s">
        <v>18</v>
      </c>
      <c r="F9" s="131"/>
      <c r="G9" s="127"/>
      <c r="H9" s="126" t="s">
        <v>43</v>
      </c>
      <c r="I9" s="131"/>
      <c r="J9" s="127"/>
    </row>
    <row r="10" spans="1:10" ht="15.75" thickBot="1" x14ac:dyDescent="0.3">
      <c r="A10" s="12" t="s">
        <v>6</v>
      </c>
      <c r="B10" s="4"/>
      <c r="C10" s="4"/>
      <c r="D10" s="5"/>
      <c r="E10" s="98" t="str">
        <f>'input data'!B13</f>
        <v>Wooden Crate packing</v>
      </c>
      <c r="F10" s="109"/>
      <c r="G10" s="99"/>
      <c r="H10" s="98" t="str">
        <f>'input data'!B12 &amp; " " &amp; 'input data'!B14</f>
        <v>1 FCL</v>
      </c>
      <c r="I10" s="109"/>
      <c r="J10" s="99"/>
    </row>
    <row r="11" spans="1:10" ht="15.75" thickBot="1" x14ac:dyDescent="0.3">
      <c r="A11" s="88" t="s">
        <v>13</v>
      </c>
      <c r="B11" s="112"/>
      <c r="C11" s="112"/>
      <c r="D11" s="113"/>
      <c r="E11" s="167" t="s">
        <v>124</v>
      </c>
      <c r="F11" s="161"/>
      <c r="G11" s="162"/>
      <c r="H11" s="161" t="s">
        <v>125</v>
      </c>
      <c r="I11" s="161"/>
      <c r="J11" s="162"/>
    </row>
    <row r="12" spans="1:10" ht="15" customHeight="1" x14ac:dyDescent="0.25">
      <c r="A12" s="174" t="s">
        <v>14</v>
      </c>
      <c r="B12" s="175"/>
      <c r="C12" s="175"/>
      <c r="D12" s="176"/>
      <c r="E12" s="168" t="str">
        <f>'input data'!B15</f>
        <v>FOB</v>
      </c>
      <c r="F12" s="169"/>
      <c r="G12" s="170"/>
      <c r="H12" s="163" t="str">
        <f>'input data'!B16</f>
        <v>30 % Advance, Remaning Against Document</v>
      </c>
      <c r="I12" s="163"/>
      <c r="J12" s="164"/>
    </row>
    <row r="13" spans="1:10" ht="15.75" thickBot="1" x14ac:dyDescent="0.3">
      <c r="A13" s="3"/>
      <c r="B13" s="4"/>
      <c r="C13" s="4"/>
      <c r="D13" s="5"/>
      <c r="E13" s="171"/>
      <c r="F13" s="172"/>
      <c r="G13" s="173"/>
      <c r="H13" s="165"/>
      <c r="I13" s="165"/>
      <c r="J13" s="166"/>
    </row>
    <row r="14" spans="1:10" x14ac:dyDescent="0.25">
      <c r="A14" s="9" t="s">
        <v>15</v>
      </c>
      <c r="B14" s="1"/>
      <c r="C14" s="1"/>
      <c r="D14" s="2"/>
      <c r="E14" s="159" t="s">
        <v>123</v>
      </c>
      <c r="F14" s="119"/>
      <c r="G14" s="119"/>
      <c r="H14" s="119"/>
      <c r="I14" s="119"/>
      <c r="J14" s="120"/>
    </row>
    <row r="15" spans="1:10" x14ac:dyDescent="0.25">
      <c r="A15" s="152" t="str">
        <f>'input data'!B6</f>
        <v>SAMBORO, S.A.
10 AVENIDA 0-19 ZONA 7, GUATEMALA
GUATEMALA
NIT:  544251-6</v>
      </c>
      <c r="B15" s="153"/>
      <c r="C15" s="153"/>
      <c r="D15" s="154"/>
      <c r="E15" s="121"/>
      <c r="F15" s="122"/>
      <c r="G15" s="122"/>
      <c r="H15" s="122"/>
      <c r="I15" s="122"/>
      <c r="J15" s="123"/>
    </row>
    <row r="16" spans="1:10" x14ac:dyDescent="0.25">
      <c r="A16" s="155"/>
      <c r="B16" s="153"/>
      <c r="C16" s="153"/>
      <c r="D16" s="154"/>
      <c r="E16" s="121"/>
      <c r="F16" s="122"/>
      <c r="G16" s="122"/>
      <c r="H16" s="122"/>
      <c r="I16" s="122"/>
      <c r="J16" s="123"/>
    </row>
    <row r="17" spans="1:10" x14ac:dyDescent="0.25">
      <c r="A17" s="155"/>
      <c r="B17" s="153"/>
      <c r="C17" s="153"/>
      <c r="D17" s="154"/>
      <c r="E17" s="121"/>
      <c r="F17" s="122"/>
      <c r="G17" s="122"/>
      <c r="H17" s="122"/>
      <c r="I17" s="122"/>
      <c r="J17" s="123"/>
    </row>
    <row r="18" spans="1:10" x14ac:dyDescent="0.25">
      <c r="A18" s="155"/>
      <c r="B18" s="153"/>
      <c r="C18" s="153"/>
      <c r="D18" s="154"/>
      <c r="E18" s="121"/>
      <c r="F18" s="122"/>
      <c r="G18" s="122"/>
      <c r="H18" s="122"/>
      <c r="I18" s="122"/>
      <c r="J18" s="123"/>
    </row>
    <row r="19" spans="1:10" x14ac:dyDescent="0.25">
      <c r="A19" s="155"/>
      <c r="B19" s="153"/>
      <c r="C19" s="153"/>
      <c r="D19" s="154"/>
      <c r="E19" s="121"/>
      <c r="F19" s="122"/>
      <c r="G19" s="122"/>
      <c r="H19" s="122"/>
      <c r="I19" s="122"/>
      <c r="J19" s="123"/>
    </row>
    <row r="20" spans="1:10" ht="33.75" customHeight="1" thickBot="1" x14ac:dyDescent="0.3">
      <c r="A20" s="156"/>
      <c r="B20" s="157"/>
      <c r="C20" s="157"/>
      <c r="D20" s="158"/>
      <c r="E20" s="143"/>
      <c r="F20" s="160"/>
      <c r="G20" s="160"/>
      <c r="H20" s="160"/>
      <c r="I20" s="160"/>
      <c r="J20" s="144"/>
    </row>
    <row r="21" spans="1:10" x14ac:dyDescent="0.25">
      <c r="A21" s="130" t="s">
        <v>19</v>
      </c>
      <c r="B21" s="137"/>
      <c r="C21" s="130" t="s">
        <v>21</v>
      </c>
      <c r="D21" s="137"/>
      <c r="E21" s="130" t="s">
        <v>22</v>
      </c>
      <c r="F21" s="131"/>
      <c r="G21" s="127"/>
      <c r="H21" s="130" t="s">
        <v>24</v>
      </c>
      <c r="I21" s="136"/>
      <c r="J21" s="137"/>
    </row>
    <row r="22" spans="1:10" ht="14.45" customHeight="1" x14ac:dyDescent="0.25">
      <c r="A22" s="150" t="s">
        <v>20</v>
      </c>
      <c r="B22" s="151"/>
      <c r="C22" s="121" t="str">
        <f>'input data'!B18</f>
        <v>Mundra</v>
      </c>
      <c r="D22" s="123"/>
      <c r="E22" s="132" t="s">
        <v>23</v>
      </c>
      <c r="F22" s="133"/>
      <c r="G22" s="105"/>
      <c r="H22" s="132" t="str">
        <f>'input data'!B22</f>
        <v>Guatemala</v>
      </c>
      <c r="I22" s="138"/>
      <c r="J22" s="139"/>
    </row>
    <row r="23" spans="1:10" ht="15" customHeight="1" thickBot="1" x14ac:dyDescent="0.3">
      <c r="A23" s="148"/>
      <c r="B23" s="149"/>
      <c r="C23" s="143"/>
      <c r="D23" s="144"/>
      <c r="E23" s="134"/>
      <c r="F23" s="117"/>
      <c r="G23" s="135"/>
      <c r="H23" s="140"/>
      <c r="I23" s="141"/>
      <c r="J23" s="142"/>
    </row>
    <row r="24" spans="1:10" x14ac:dyDescent="0.25">
      <c r="A24" s="126" t="s">
        <v>25</v>
      </c>
      <c r="B24" s="127"/>
      <c r="C24" s="131" t="s">
        <v>26</v>
      </c>
      <c r="D24" s="127"/>
      <c r="E24" s="126" t="s">
        <v>27</v>
      </c>
      <c r="F24" s="131"/>
      <c r="G24" s="127"/>
      <c r="H24" s="131" t="s">
        <v>28</v>
      </c>
      <c r="I24" s="131"/>
      <c r="J24" s="127"/>
    </row>
    <row r="25" spans="1:10" ht="15.75" thickBot="1" x14ac:dyDescent="0.3">
      <c r="A25" s="102"/>
      <c r="B25" s="103"/>
      <c r="C25" s="128" t="str">
        <f>'input data'!B19</f>
        <v>Mundra</v>
      </c>
      <c r="D25" s="129"/>
      <c r="E25" s="128" t="str">
        <f>'input data'!B20</f>
        <v>Puerto Quetzal</v>
      </c>
      <c r="F25" s="147"/>
      <c r="G25" s="129"/>
      <c r="H25" s="128" t="str">
        <f>'input data'!B21</f>
        <v>Puerto Quetzal</v>
      </c>
      <c r="I25" s="147"/>
      <c r="J25" s="129"/>
    </row>
    <row r="26" spans="1:10" x14ac:dyDescent="0.25">
      <c r="A26" s="124" t="s">
        <v>51</v>
      </c>
      <c r="B26" s="118" t="s">
        <v>29</v>
      </c>
      <c r="C26" s="119"/>
      <c r="D26" s="120"/>
      <c r="E26" s="124" t="s">
        <v>30</v>
      </c>
      <c r="F26" s="126" t="s">
        <v>31</v>
      </c>
      <c r="G26" s="127"/>
      <c r="H26" s="13" t="s">
        <v>33</v>
      </c>
      <c r="I26" s="126" t="s">
        <v>34</v>
      </c>
      <c r="J26" s="127"/>
    </row>
    <row r="27" spans="1:10" ht="15.75" thickBot="1" x14ac:dyDescent="0.3">
      <c r="A27" s="125"/>
      <c r="B27" s="121"/>
      <c r="C27" s="122"/>
      <c r="D27" s="123"/>
      <c r="E27" s="125"/>
      <c r="F27" s="128" t="s">
        <v>32</v>
      </c>
      <c r="G27" s="129"/>
      <c r="H27" s="14" t="s">
        <v>32</v>
      </c>
      <c r="I27" s="128" t="s">
        <v>35</v>
      </c>
      <c r="J27" s="129"/>
    </row>
    <row r="28" spans="1:10" ht="15.75" thickBot="1" x14ac:dyDescent="0.3">
      <c r="A28" s="65">
        <v>1</v>
      </c>
      <c r="B28" s="96" t="str">
        <f>'input data'!B17</f>
        <v>POLISHED FINE GREY QUARTZ</v>
      </c>
      <c r="C28" s="110"/>
      <c r="D28" s="97"/>
      <c r="E28" s="66">
        <v>68101990</v>
      </c>
      <c r="F28" s="96">
        <f>'input data'!B25</f>
        <v>512</v>
      </c>
      <c r="G28" s="97"/>
      <c r="H28" s="67">
        <f>'input data'!B26</f>
        <v>34</v>
      </c>
      <c r="I28" s="104">
        <f>H28*F28</f>
        <v>17408</v>
      </c>
      <c r="J28" s="97"/>
    </row>
    <row r="29" spans="1:10" ht="15.75" thickBot="1" x14ac:dyDescent="0.3">
      <c r="A29" s="65">
        <v>2</v>
      </c>
      <c r="B29" s="96" t="s">
        <v>160</v>
      </c>
      <c r="C29" s="110"/>
      <c r="D29" s="97"/>
      <c r="E29" s="66">
        <v>68101990</v>
      </c>
      <c r="F29" s="96">
        <v>204.8</v>
      </c>
      <c r="G29" s="97"/>
      <c r="H29" s="67" t="s">
        <v>161</v>
      </c>
      <c r="I29" s="246">
        <v>5376</v>
      </c>
      <c r="J29" s="247"/>
    </row>
    <row r="30" spans="1:10" ht="15.75" thickBot="1" x14ac:dyDescent="0.3">
      <c r="A30" s="65">
        <v>3</v>
      </c>
      <c r="B30" s="96" t="s">
        <v>166</v>
      </c>
      <c r="C30" s="110"/>
      <c r="D30" s="97"/>
      <c r="E30" s="65" t="s">
        <v>165</v>
      </c>
      <c r="F30" s="96" t="s">
        <v>165</v>
      </c>
      <c r="G30" s="97"/>
      <c r="H30" s="65" t="s">
        <v>165</v>
      </c>
      <c r="I30" s="260" t="s">
        <v>165</v>
      </c>
      <c r="J30" s="261"/>
    </row>
    <row r="31" spans="1:10" x14ac:dyDescent="0.25">
      <c r="A31" s="27"/>
      <c r="B31" s="98"/>
      <c r="C31" s="109"/>
      <c r="D31" s="99"/>
      <c r="E31" s="25"/>
      <c r="F31" s="98"/>
      <c r="G31" s="99"/>
      <c r="H31" s="59"/>
      <c r="I31" s="100"/>
      <c r="J31" s="101"/>
    </row>
    <row r="32" spans="1:10" x14ac:dyDescent="0.25">
      <c r="A32" s="27"/>
      <c r="B32" s="98"/>
      <c r="C32" s="109"/>
      <c r="D32" s="99"/>
      <c r="E32" s="25"/>
      <c r="F32" s="98"/>
      <c r="G32" s="99"/>
      <c r="H32" s="22"/>
      <c r="I32" s="58"/>
      <c r="J32" s="59"/>
    </row>
    <row r="33" spans="1:10" ht="15.75" thickBot="1" x14ac:dyDescent="0.3">
      <c r="A33" s="63"/>
      <c r="B33" s="102"/>
      <c r="C33" s="114"/>
      <c r="D33" s="103"/>
      <c r="E33" s="64"/>
      <c r="F33" s="102"/>
      <c r="G33" s="103"/>
      <c r="H33" s="8"/>
      <c r="I33" s="6"/>
      <c r="J33" s="8"/>
    </row>
    <row r="34" spans="1:10" x14ac:dyDescent="0.25">
      <c r="A34" s="29" t="s">
        <v>45</v>
      </c>
      <c r="B34" s="23"/>
      <c r="C34" s="23" t="s">
        <v>46</v>
      </c>
      <c r="D34" s="23" t="s">
        <v>47</v>
      </c>
      <c r="E34" s="26" t="s">
        <v>48</v>
      </c>
      <c r="F34" s="21"/>
      <c r="G34" s="21"/>
      <c r="H34" s="22"/>
      <c r="I34" s="18"/>
      <c r="J34" s="19"/>
    </row>
    <row r="35" spans="1:10" x14ac:dyDescent="0.25">
      <c r="A35" s="98" t="str">
        <f>UPPER('input data'!B23)</f>
        <v>TEMU5601524</v>
      </c>
      <c r="B35" s="109"/>
      <c r="C35" s="20">
        <f>'input data'!B24</f>
        <v>140</v>
      </c>
      <c r="D35" s="23" t="s">
        <v>49</v>
      </c>
      <c r="E35" s="21" t="s">
        <v>50</v>
      </c>
      <c r="F35" s="21"/>
      <c r="G35" s="21"/>
      <c r="H35" s="22"/>
      <c r="I35" s="18"/>
      <c r="J35" s="19"/>
    </row>
    <row r="36" spans="1:10" x14ac:dyDescent="0.25">
      <c r="A36" s="29"/>
      <c r="B36" s="23"/>
      <c r="C36" s="23"/>
      <c r="D36" s="23"/>
      <c r="E36" s="21"/>
      <c r="F36" s="95"/>
      <c r="G36" s="95"/>
      <c r="H36" s="22"/>
      <c r="I36" s="18"/>
      <c r="J36" s="19"/>
    </row>
    <row r="37" spans="1:10" ht="15.75" thickBot="1" x14ac:dyDescent="0.3">
      <c r="A37" s="30"/>
      <c r="B37" s="24"/>
      <c r="C37" s="24"/>
      <c r="D37" s="24"/>
      <c r="E37" s="7"/>
      <c r="F37" s="7"/>
      <c r="G37" s="7"/>
      <c r="H37" s="8"/>
      <c r="I37" s="6"/>
      <c r="J37" s="8"/>
    </row>
    <row r="38" spans="1:10" x14ac:dyDescent="0.25">
      <c r="A38" s="17" t="s">
        <v>133</v>
      </c>
      <c r="B38" s="15"/>
      <c r="C38" s="15"/>
      <c r="D38" s="15"/>
      <c r="E38" s="15"/>
      <c r="F38" s="15"/>
      <c r="G38" s="15"/>
      <c r="H38" s="16"/>
      <c r="I38" s="91">
        <f>SUM(I28:J29)</f>
        <v>22784</v>
      </c>
      <c r="J38" s="92"/>
    </row>
    <row r="39" spans="1:10" ht="15.75" thickBot="1" x14ac:dyDescent="0.3">
      <c r="A39" s="30" t="str">
        <f>SpellNumberEDP(I38)</f>
        <v>Twenty Two Thousand Seven Hundred Eighty Four Dollars and No Cents</v>
      </c>
      <c r="B39" s="24"/>
      <c r="C39" s="24"/>
      <c r="D39" s="24"/>
      <c r="E39" s="24"/>
      <c r="F39" s="24"/>
      <c r="G39" s="24"/>
      <c r="H39" s="68"/>
      <c r="I39" s="93"/>
      <c r="J39" s="94"/>
    </row>
    <row r="40" spans="1:10" x14ac:dyDescent="0.25">
      <c r="A40" s="111" t="s">
        <v>36</v>
      </c>
      <c r="B40" s="112"/>
      <c r="C40" s="112"/>
      <c r="D40" s="113"/>
      <c r="E40" s="88" t="s">
        <v>37</v>
      </c>
      <c r="F40" s="89"/>
      <c r="G40" s="89"/>
      <c r="H40" s="89"/>
      <c r="I40" s="89"/>
      <c r="J40" s="90"/>
    </row>
    <row r="41" spans="1:10" ht="19.5" customHeight="1" x14ac:dyDescent="0.25">
      <c r="A41" s="106" t="s">
        <v>52</v>
      </c>
      <c r="B41" s="107"/>
      <c r="C41" s="107"/>
      <c r="D41" s="108"/>
      <c r="E41" s="3" t="s">
        <v>38</v>
      </c>
      <c r="F41" s="4"/>
      <c r="G41" s="4"/>
      <c r="H41" s="4"/>
      <c r="I41" s="4"/>
      <c r="J41" s="5"/>
    </row>
    <row r="42" spans="1:10" ht="19.5" customHeight="1" x14ac:dyDescent="0.25">
      <c r="A42" s="106"/>
      <c r="B42" s="107"/>
      <c r="C42" s="107"/>
      <c r="D42" s="108"/>
      <c r="E42" s="3"/>
      <c r="F42" s="4"/>
      <c r="G42" s="4"/>
      <c r="H42" s="4"/>
      <c r="I42" s="4"/>
      <c r="J42" s="5"/>
    </row>
    <row r="43" spans="1:10" x14ac:dyDescent="0.25">
      <c r="A43" s="248" t="s">
        <v>162</v>
      </c>
      <c r="B43" s="201"/>
      <c r="C43" s="201"/>
      <c r="D43" s="202"/>
      <c r="E43" s="3"/>
      <c r="F43" s="4"/>
      <c r="G43" s="4"/>
      <c r="H43" s="4"/>
      <c r="I43" s="4"/>
      <c r="J43" s="5"/>
    </row>
    <row r="44" spans="1:10" ht="18.75" customHeight="1" thickBot="1" x14ac:dyDescent="0.3">
      <c r="A44" s="203"/>
      <c r="B44" s="204"/>
      <c r="C44" s="204"/>
      <c r="D44" s="205"/>
      <c r="E44" s="6" t="s">
        <v>39</v>
      </c>
      <c r="F44" s="7"/>
      <c r="G44" s="7"/>
      <c r="H44" s="7"/>
      <c r="I44" s="7"/>
      <c r="J44" s="8"/>
    </row>
  </sheetData>
  <mergeCells count="72">
    <mergeCell ref="H11:J11"/>
    <mergeCell ref="H12:J13"/>
    <mergeCell ref="E10:G10"/>
    <mergeCell ref="E9:G9"/>
    <mergeCell ref="C21:D21"/>
    <mergeCell ref="E11:G11"/>
    <mergeCell ref="E12:G13"/>
    <mergeCell ref="A12:D12"/>
    <mergeCell ref="A21:B21"/>
    <mergeCell ref="A22:B22"/>
    <mergeCell ref="A15:D20"/>
    <mergeCell ref="E14:J20"/>
    <mergeCell ref="E25:G25"/>
    <mergeCell ref="A25:B25"/>
    <mergeCell ref="H25:J25"/>
    <mergeCell ref="E24:G24"/>
    <mergeCell ref="H24:J24"/>
    <mergeCell ref="A26:A27"/>
    <mergeCell ref="C22:D23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23:B23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H10:J10"/>
    <mergeCell ref="C25:D25"/>
    <mergeCell ref="A41:D42"/>
    <mergeCell ref="A43:D44"/>
    <mergeCell ref="A35:B35"/>
    <mergeCell ref="B28:D28"/>
    <mergeCell ref="B29:D29"/>
    <mergeCell ref="B31:D31"/>
    <mergeCell ref="B30:D30"/>
    <mergeCell ref="A40:D40"/>
    <mergeCell ref="B32:D32"/>
    <mergeCell ref="B33:D33"/>
    <mergeCell ref="E40:J40"/>
    <mergeCell ref="I38:J39"/>
    <mergeCell ref="F36:G36"/>
    <mergeCell ref="F28:G28"/>
    <mergeCell ref="F29:G29"/>
    <mergeCell ref="F31:G31"/>
    <mergeCell ref="F30:G30"/>
    <mergeCell ref="I31:J31"/>
    <mergeCell ref="F32:G32"/>
    <mergeCell ref="F33:G33"/>
    <mergeCell ref="I30:J30"/>
    <mergeCell ref="I28:J28"/>
    <mergeCell ref="I29:J29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5"/>
  <sheetViews>
    <sheetView topLeftCell="A16" workbookViewId="0">
      <selection activeCell="N28" sqref="N28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180" t="s">
        <v>54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10" x14ac:dyDescent="0.25">
      <c r="A2" s="88" t="s">
        <v>55</v>
      </c>
      <c r="B2" s="112"/>
      <c r="C2" s="112"/>
      <c r="D2" s="112"/>
      <c r="E2" s="112"/>
      <c r="F2" s="113"/>
      <c r="G2" s="126" t="s">
        <v>7</v>
      </c>
      <c r="H2" s="127"/>
      <c r="I2" s="181" t="s">
        <v>8</v>
      </c>
      <c r="J2" s="182"/>
    </row>
    <row r="3" spans="1:10" ht="16.5" thickBot="1" x14ac:dyDescent="0.3">
      <c r="A3" s="183" t="s">
        <v>56</v>
      </c>
      <c r="B3" s="184"/>
      <c r="C3" s="184"/>
      <c r="D3" s="184"/>
      <c r="E3" s="184"/>
      <c r="F3" s="185"/>
      <c r="G3" s="102" t="str">
        <f>Inovice!E4</f>
        <v>BK009/24-25</v>
      </c>
      <c r="H3" s="103"/>
      <c r="I3" s="145">
        <f>Inovice!H4</f>
        <v>45542</v>
      </c>
      <c r="J3" s="103"/>
    </row>
    <row r="4" spans="1:10" x14ac:dyDescent="0.25">
      <c r="A4" s="18" t="s">
        <v>57</v>
      </c>
      <c r="B4" s="21"/>
      <c r="C4" s="21"/>
      <c r="D4" s="21"/>
      <c r="E4" s="21"/>
      <c r="F4" s="22"/>
      <c r="G4" s="181" t="s">
        <v>9</v>
      </c>
      <c r="H4" s="186"/>
      <c r="I4" s="186"/>
      <c r="J4" s="182"/>
    </row>
    <row r="5" spans="1:10" ht="15.75" thickBot="1" x14ac:dyDescent="0.3">
      <c r="A5" s="18" t="s">
        <v>58</v>
      </c>
      <c r="B5" s="21"/>
      <c r="C5" s="21"/>
      <c r="D5" s="21"/>
      <c r="E5" s="21"/>
      <c r="F5" s="22"/>
      <c r="G5" s="128" t="s">
        <v>42</v>
      </c>
      <c r="H5" s="147"/>
      <c r="I5" s="147"/>
      <c r="J5" s="129"/>
    </row>
    <row r="6" spans="1:10" ht="15.75" thickBot="1" x14ac:dyDescent="0.3">
      <c r="A6" s="187" t="s">
        <v>59</v>
      </c>
      <c r="B6" s="184"/>
      <c r="C6" s="184"/>
      <c r="D6" s="184"/>
      <c r="E6" s="184"/>
      <c r="F6" s="22"/>
      <c r="G6" s="38"/>
      <c r="H6" s="41"/>
      <c r="I6" s="41"/>
      <c r="J6" s="39"/>
    </row>
    <row r="7" spans="1:10" x14ac:dyDescent="0.25">
      <c r="A7" s="18" t="s">
        <v>60</v>
      </c>
      <c r="B7" s="21"/>
      <c r="C7" s="21"/>
      <c r="D7" s="21"/>
      <c r="E7" s="21"/>
      <c r="F7" s="22"/>
      <c r="G7" s="42" t="s">
        <v>61</v>
      </c>
      <c r="H7" s="15"/>
      <c r="I7" s="15"/>
      <c r="J7" s="16"/>
    </row>
    <row r="8" spans="1:10" ht="15.75" x14ac:dyDescent="0.25">
      <c r="A8" s="43" t="s">
        <v>62</v>
      </c>
      <c r="B8" s="21"/>
      <c r="C8" s="21"/>
      <c r="D8" s="21"/>
      <c r="E8" s="21"/>
      <c r="F8" s="22"/>
      <c r="G8" s="44" t="s">
        <v>63</v>
      </c>
      <c r="H8" s="45"/>
      <c r="I8" s="45"/>
      <c r="J8" s="46"/>
    </row>
    <row r="9" spans="1:10" ht="15.75" x14ac:dyDescent="0.25">
      <c r="A9" s="18" t="s">
        <v>5</v>
      </c>
      <c r="B9" s="21"/>
      <c r="C9" s="21"/>
      <c r="D9" s="21"/>
      <c r="E9" s="21"/>
      <c r="F9" s="22"/>
      <c r="G9" s="44" t="s">
        <v>64</v>
      </c>
      <c r="H9" s="45"/>
      <c r="I9" s="45"/>
      <c r="J9" s="46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188" t="s">
        <v>13</v>
      </c>
      <c r="B11" s="89"/>
      <c r="C11" s="89"/>
      <c r="D11" s="89"/>
      <c r="E11" s="89"/>
      <c r="F11" s="2"/>
      <c r="G11" s="47" t="s">
        <v>65</v>
      </c>
      <c r="H11" s="1"/>
      <c r="I11" s="1"/>
      <c r="J11" s="2"/>
    </row>
    <row r="12" spans="1:10" x14ac:dyDescent="0.25">
      <c r="A12" s="189" t="s">
        <v>66</v>
      </c>
      <c r="B12" s="190"/>
      <c r="C12" s="190"/>
      <c r="D12" s="190"/>
      <c r="E12" s="190"/>
      <c r="F12" s="22"/>
      <c r="G12" s="18"/>
      <c r="H12" s="21"/>
      <c r="I12" s="21"/>
      <c r="J12" s="22"/>
    </row>
    <row r="13" spans="1:10" ht="15.75" thickBot="1" x14ac:dyDescent="0.3">
      <c r="A13" s="191"/>
      <c r="B13" s="192"/>
      <c r="C13" s="192"/>
      <c r="D13" s="192"/>
      <c r="E13" s="192"/>
      <c r="F13" s="8"/>
      <c r="G13" s="18"/>
      <c r="H13" s="21"/>
      <c r="I13" s="21"/>
      <c r="J13" s="22"/>
    </row>
    <row r="14" spans="1:10" x14ac:dyDescent="0.25">
      <c r="A14" s="177" t="s">
        <v>15</v>
      </c>
      <c r="B14" s="178"/>
      <c r="C14" s="178"/>
      <c r="D14" s="178"/>
      <c r="E14" s="178"/>
      <c r="F14" s="179"/>
      <c r="G14" s="18"/>
      <c r="H14" s="21"/>
      <c r="I14" s="21"/>
      <c r="J14" s="22"/>
    </row>
    <row r="15" spans="1:10" x14ac:dyDescent="0.25">
      <c r="A15" s="152" t="str">
        <f>Inovice!A15</f>
        <v>SAMBORO, S.A.
10 AVENIDA 0-19 ZONA 7, GUATEMALA
GUATEMALA
NIT:  544251-6</v>
      </c>
      <c r="B15" s="201"/>
      <c r="C15" s="201"/>
      <c r="D15" s="201"/>
      <c r="E15" s="201"/>
      <c r="F15" s="202"/>
      <c r="G15" s="18"/>
      <c r="H15" s="21"/>
      <c r="I15" s="21"/>
      <c r="J15" s="22"/>
    </row>
    <row r="16" spans="1:10" x14ac:dyDescent="0.25">
      <c r="A16" s="152"/>
      <c r="B16" s="201"/>
      <c r="C16" s="201"/>
      <c r="D16" s="201"/>
      <c r="E16" s="201"/>
      <c r="F16" s="202"/>
      <c r="G16" s="18"/>
      <c r="H16" s="21"/>
      <c r="I16" s="21"/>
      <c r="J16" s="22"/>
    </row>
    <row r="17" spans="1:10" x14ac:dyDescent="0.25">
      <c r="A17" s="152"/>
      <c r="B17" s="201"/>
      <c r="C17" s="201"/>
      <c r="D17" s="201"/>
      <c r="E17" s="201"/>
      <c r="F17" s="202"/>
      <c r="G17" s="18"/>
      <c r="H17" s="21"/>
      <c r="I17" s="21"/>
      <c r="J17" s="22"/>
    </row>
    <row r="18" spans="1:10" ht="15.75" thickBot="1" x14ac:dyDescent="0.3">
      <c r="A18" s="152"/>
      <c r="B18" s="201"/>
      <c r="C18" s="201"/>
      <c r="D18" s="201"/>
      <c r="E18" s="201"/>
      <c r="F18" s="202"/>
      <c r="G18" s="6"/>
      <c r="H18" s="7"/>
      <c r="I18" s="7"/>
      <c r="J18" s="8"/>
    </row>
    <row r="19" spans="1:10" x14ac:dyDescent="0.25">
      <c r="A19" s="152"/>
      <c r="B19" s="201"/>
      <c r="C19" s="201"/>
      <c r="D19" s="201"/>
      <c r="E19" s="201"/>
      <c r="F19" s="202"/>
      <c r="G19" s="193" t="s">
        <v>67</v>
      </c>
      <c r="H19" s="206"/>
      <c r="I19" s="193" t="s">
        <v>68</v>
      </c>
      <c r="J19" s="194"/>
    </row>
    <row r="20" spans="1:10" ht="15.75" thickBot="1" x14ac:dyDescent="0.3">
      <c r="A20" s="203"/>
      <c r="B20" s="204"/>
      <c r="C20" s="204"/>
      <c r="D20" s="204"/>
      <c r="E20" s="204"/>
      <c r="F20" s="205"/>
      <c r="G20" s="128" t="s">
        <v>23</v>
      </c>
      <c r="H20" s="129"/>
      <c r="I20" s="128" t="str">
        <f>Inovice!H22</f>
        <v>Guatemala</v>
      </c>
      <c r="J20" s="129"/>
    </row>
    <row r="21" spans="1:10" ht="15.75" thickBot="1" x14ac:dyDescent="0.3">
      <c r="A21" s="195" t="s">
        <v>69</v>
      </c>
      <c r="B21" s="196"/>
      <c r="C21" s="197"/>
      <c r="D21" s="195" t="s">
        <v>70</v>
      </c>
      <c r="E21" s="196"/>
      <c r="F21" s="197"/>
      <c r="G21" s="198" t="s">
        <v>128</v>
      </c>
      <c r="H21" s="199"/>
      <c r="I21" s="199"/>
      <c r="J21" s="200"/>
    </row>
    <row r="22" spans="1:10" ht="15.75" thickBot="1" x14ac:dyDescent="0.3">
      <c r="A22" s="102"/>
      <c r="B22" s="114"/>
      <c r="C22" s="103"/>
      <c r="D22" s="128" t="str">
        <f>Inovice!C22</f>
        <v>Mundra</v>
      </c>
      <c r="E22" s="147"/>
      <c r="F22" s="129"/>
      <c r="G22" s="171" t="str">
        <f>'input data'!B15</f>
        <v>FOB</v>
      </c>
      <c r="H22" s="172"/>
      <c r="I22" s="172"/>
      <c r="J22" s="173"/>
    </row>
    <row r="23" spans="1:10" x14ac:dyDescent="0.25">
      <c r="A23" s="195" t="s">
        <v>71</v>
      </c>
      <c r="B23" s="196"/>
      <c r="C23" s="197"/>
      <c r="D23" s="195" t="s">
        <v>72</v>
      </c>
      <c r="E23" s="196"/>
      <c r="F23" s="197"/>
      <c r="G23" s="60"/>
      <c r="H23" s="61"/>
      <c r="I23" s="61"/>
      <c r="J23" s="62"/>
    </row>
    <row r="24" spans="1:10" ht="15.75" thickBot="1" x14ac:dyDescent="0.3">
      <c r="A24" s="102"/>
      <c r="B24" s="114"/>
      <c r="C24" s="103"/>
      <c r="D24" s="128" t="str">
        <f>Inovice!C25</f>
        <v>Mundra</v>
      </c>
      <c r="E24" s="147"/>
      <c r="F24" s="129"/>
      <c r="G24" s="6"/>
      <c r="H24" s="7"/>
      <c r="I24" s="7"/>
      <c r="J24" s="8"/>
    </row>
    <row r="25" spans="1:10" ht="15.75" customHeight="1" thickBot="1" x14ac:dyDescent="0.3">
      <c r="A25" s="195" t="s">
        <v>27</v>
      </c>
      <c r="B25" s="196"/>
      <c r="C25" s="197"/>
      <c r="D25" s="195" t="s">
        <v>28</v>
      </c>
      <c r="E25" s="196"/>
      <c r="F25" s="197"/>
      <c r="G25" s="207" t="s">
        <v>129</v>
      </c>
      <c r="H25" s="208"/>
      <c r="I25" s="208"/>
      <c r="J25" s="209"/>
    </row>
    <row r="26" spans="1:10" ht="15.75" thickBot="1" x14ac:dyDescent="0.3">
      <c r="A26" s="148" t="str">
        <f>Inovice!E25</f>
        <v>Puerto Quetzal</v>
      </c>
      <c r="B26" s="95"/>
      <c r="C26" s="149"/>
      <c r="D26" s="148" t="str">
        <f>Inovice!H25</f>
        <v>Puerto Quetzal</v>
      </c>
      <c r="E26" s="95"/>
      <c r="F26" s="149"/>
      <c r="G26" s="255" t="str">
        <f>'input data'!B16</f>
        <v>30 % Advance, Remaning Against Document</v>
      </c>
      <c r="H26" s="256"/>
      <c r="I26" s="256"/>
      <c r="J26" s="257"/>
    </row>
    <row r="27" spans="1:10" ht="15.75" thickBot="1" x14ac:dyDescent="0.3">
      <c r="A27" s="258"/>
      <c r="B27" s="50"/>
      <c r="C27" s="50"/>
      <c r="D27" s="50"/>
      <c r="E27" s="50"/>
      <c r="F27" s="50"/>
      <c r="G27" s="50"/>
      <c r="H27" s="50"/>
      <c r="I27" s="50"/>
      <c r="J27" s="259"/>
    </row>
    <row r="28" spans="1:10" ht="15.75" thickBot="1" x14ac:dyDescent="0.3">
      <c r="A28" s="14" t="s">
        <v>51</v>
      </c>
      <c r="B28" s="128" t="s">
        <v>73</v>
      </c>
      <c r="C28" s="129"/>
      <c r="D28" s="128" t="s">
        <v>29</v>
      </c>
      <c r="E28" s="147"/>
      <c r="F28" s="147"/>
      <c r="G28" s="84"/>
      <c r="H28" s="85"/>
      <c r="I28" s="128" t="s">
        <v>32</v>
      </c>
      <c r="J28" s="129"/>
    </row>
    <row r="29" spans="1:10" ht="15.75" thickBot="1" x14ac:dyDescent="0.3">
      <c r="A29" s="65">
        <v>1</v>
      </c>
      <c r="B29" s="96">
        <f>Inovice!E28</f>
        <v>68101990</v>
      </c>
      <c r="C29" s="97"/>
      <c r="D29" s="250" t="str">
        <f>Inovice!B28</f>
        <v>POLISHED FINE GREY QUARTZ</v>
      </c>
      <c r="E29" s="251"/>
      <c r="F29" s="251"/>
      <c r="G29" s="251"/>
      <c r="H29" s="252"/>
      <c r="I29" s="253">
        <f>Inovice!F28</f>
        <v>512</v>
      </c>
      <c r="J29" s="254"/>
    </row>
    <row r="30" spans="1:10" ht="15.75" thickBot="1" x14ac:dyDescent="0.3">
      <c r="A30" s="249">
        <v>2</v>
      </c>
      <c r="B30" s="102">
        <v>68101990</v>
      </c>
      <c r="C30" s="103"/>
      <c r="D30" s="221" t="s">
        <v>163</v>
      </c>
      <c r="E30" s="222"/>
      <c r="F30" s="222"/>
      <c r="G30" s="222"/>
      <c r="H30" s="223"/>
      <c r="I30" s="102">
        <v>204.8</v>
      </c>
      <c r="J30" s="103"/>
    </row>
    <row r="31" spans="1:10" ht="15.75" thickBot="1" x14ac:dyDescent="0.3">
      <c r="A31" s="65">
        <v>3</v>
      </c>
      <c r="B31" s="96" t="s">
        <v>167</v>
      </c>
      <c r="C31" s="97"/>
      <c r="D31" s="250" t="s">
        <v>168</v>
      </c>
      <c r="E31" s="251"/>
      <c r="F31" s="251"/>
      <c r="G31" s="251"/>
      <c r="H31" s="252"/>
      <c r="I31" s="96" t="s">
        <v>169</v>
      </c>
      <c r="J31" s="97"/>
    </row>
    <row r="32" spans="1:10" x14ac:dyDescent="0.25">
      <c r="A32" s="28"/>
      <c r="B32" s="98"/>
      <c r="C32" s="99"/>
      <c r="D32" s="31"/>
      <c r="E32" s="31"/>
      <c r="F32" s="31"/>
      <c r="G32" s="31"/>
      <c r="H32" s="32"/>
      <c r="I32" s="98"/>
      <c r="J32" s="99"/>
    </row>
    <row r="33" spans="1:10" ht="15.75" thickBot="1" x14ac:dyDescent="0.3">
      <c r="A33" s="48"/>
      <c r="B33" s="102"/>
      <c r="C33" s="103"/>
      <c r="D33" s="33"/>
      <c r="E33" s="33"/>
      <c r="F33" s="33"/>
      <c r="G33" s="33"/>
      <c r="H33" s="34"/>
      <c r="I33" s="6"/>
      <c r="J33" s="8"/>
    </row>
    <row r="34" spans="1:10" ht="15.75" thickBot="1" x14ac:dyDescent="0.3">
      <c r="A34" s="49" t="s">
        <v>74</v>
      </c>
      <c r="B34" s="50"/>
      <c r="C34" s="50"/>
      <c r="D34" s="50"/>
      <c r="E34" s="50"/>
      <c r="F34" s="50"/>
      <c r="G34" s="50"/>
      <c r="H34" s="50"/>
      <c r="I34" s="210">
        <f>SUM(I29:J30)</f>
        <v>716.8</v>
      </c>
      <c r="J34" s="162"/>
    </row>
    <row r="35" spans="1:10" x14ac:dyDescent="0.25">
      <c r="A35" s="43"/>
      <c r="B35" s="21"/>
      <c r="C35" s="21"/>
      <c r="D35" s="21"/>
      <c r="E35" s="21"/>
      <c r="F35" s="21"/>
      <c r="G35" s="21"/>
      <c r="H35" s="21"/>
      <c r="I35" s="41"/>
      <c r="J35" s="39"/>
    </row>
    <row r="36" spans="1:10" x14ac:dyDescent="0.25">
      <c r="A36" s="148" t="s">
        <v>75</v>
      </c>
      <c r="B36" s="95"/>
      <c r="C36" s="41" t="s">
        <v>46</v>
      </c>
      <c r="D36" s="95" t="s">
        <v>47</v>
      </c>
      <c r="E36" s="95"/>
      <c r="F36" s="41" t="s">
        <v>48</v>
      </c>
      <c r="G36" s="41"/>
      <c r="H36" s="21"/>
      <c r="I36" s="41"/>
      <c r="J36" s="39"/>
    </row>
    <row r="37" spans="1:10" x14ac:dyDescent="0.25">
      <c r="A37" s="98" t="str">
        <f>Inovice!A35</f>
        <v>TEMU5601524</v>
      </c>
      <c r="B37" s="109"/>
      <c r="C37" s="31">
        <f>Inovice!C35</f>
        <v>140</v>
      </c>
      <c r="D37" s="211" t="s">
        <v>76</v>
      </c>
      <c r="E37" s="211"/>
      <c r="F37" s="31" t="s">
        <v>77</v>
      </c>
      <c r="G37" s="31"/>
      <c r="H37" s="23"/>
      <c r="I37" s="23"/>
      <c r="J37" s="51"/>
    </row>
    <row r="38" spans="1:10" x14ac:dyDescent="0.25">
      <c r="A38" s="35"/>
      <c r="B38" s="36"/>
      <c r="C38" s="36"/>
      <c r="D38" s="36"/>
      <c r="E38" s="36"/>
      <c r="F38" s="36"/>
      <c r="G38" s="36"/>
      <c r="H38" s="36"/>
      <c r="I38" s="36"/>
      <c r="J38" s="37"/>
    </row>
    <row r="39" spans="1:10" x14ac:dyDescent="0.25">
      <c r="A39" s="35" t="s">
        <v>149</v>
      </c>
      <c r="B39" s="36"/>
      <c r="C39" s="36" t="str">
        <f>'input data'!B13</f>
        <v>Wooden Crate packing</v>
      </c>
      <c r="D39" s="36"/>
      <c r="E39" s="36"/>
      <c r="F39" s="36"/>
      <c r="G39" s="36"/>
      <c r="H39" s="36"/>
      <c r="I39" s="36"/>
      <c r="J39" s="37"/>
    </row>
    <row r="40" spans="1:10" x14ac:dyDescent="0.25">
      <c r="A40" s="35" t="s">
        <v>78</v>
      </c>
      <c r="B40" s="36"/>
      <c r="C40" s="36"/>
      <c r="D40" s="36"/>
      <c r="E40" s="36"/>
      <c r="F40" s="36"/>
      <c r="G40" s="36"/>
      <c r="H40" s="36"/>
      <c r="I40" s="36"/>
      <c r="J40" s="37"/>
    </row>
    <row r="41" spans="1:10" ht="15.75" thickBot="1" x14ac:dyDescent="0.3">
      <c r="A41" s="40"/>
      <c r="B41" s="52"/>
      <c r="C41" s="52"/>
      <c r="D41" s="52"/>
      <c r="E41" s="52"/>
      <c r="F41" s="52"/>
      <c r="G41" s="52"/>
      <c r="H41" s="52"/>
      <c r="I41" s="52"/>
      <c r="J41" s="53"/>
    </row>
    <row r="42" spans="1:10" x14ac:dyDescent="0.25">
      <c r="A42" s="88" t="s">
        <v>79</v>
      </c>
      <c r="B42" s="112"/>
      <c r="C42" s="112"/>
      <c r="D42" s="112"/>
      <c r="E42" s="112"/>
      <c r="F42" s="113"/>
      <c r="G42" s="88" t="s">
        <v>37</v>
      </c>
      <c r="H42" s="112"/>
      <c r="I42" s="112"/>
      <c r="J42" s="113"/>
    </row>
    <row r="43" spans="1:10" x14ac:dyDescent="0.25">
      <c r="A43" s="212" t="s">
        <v>80</v>
      </c>
      <c r="B43" s="213"/>
      <c r="C43" s="213"/>
      <c r="D43" s="213"/>
      <c r="E43" s="213"/>
      <c r="F43" s="214"/>
      <c r="G43" s="18"/>
      <c r="H43" s="21"/>
      <c r="I43" s="21"/>
      <c r="J43" s="22"/>
    </row>
    <row r="44" spans="1:10" x14ac:dyDescent="0.25">
      <c r="A44" s="215" t="s">
        <v>81</v>
      </c>
      <c r="B44" s="216"/>
      <c r="C44" s="216"/>
      <c r="D44" s="216"/>
      <c r="E44" s="216"/>
      <c r="F44" s="217"/>
      <c r="G44" s="18"/>
      <c r="H44" s="21"/>
      <c r="I44" s="21"/>
      <c r="J44" s="22"/>
    </row>
    <row r="45" spans="1:10" ht="15.75" thickBot="1" x14ac:dyDescent="0.3">
      <c r="A45" s="218" t="s">
        <v>82</v>
      </c>
      <c r="B45" s="219"/>
      <c r="C45" s="219"/>
      <c r="D45" s="219"/>
      <c r="E45" s="219"/>
      <c r="F45" s="220"/>
      <c r="G45" s="221" t="s">
        <v>83</v>
      </c>
      <c r="H45" s="222"/>
      <c r="I45" s="222"/>
      <c r="J45" s="223"/>
    </row>
  </sheetData>
  <mergeCells count="60">
    <mergeCell ref="A42:F42"/>
    <mergeCell ref="G42:J42"/>
    <mergeCell ref="A43:F43"/>
    <mergeCell ref="A44:F44"/>
    <mergeCell ref="A45:F45"/>
    <mergeCell ref="G45:J45"/>
    <mergeCell ref="B33:C33"/>
    <mergeCell ref="I34:J34"/>
    <mergeCell ref="A36:B36"/>
    <mergeCell ref="D36:E36"/>
    <mergeCell ref="A37:B37"/>
    <mergeCell ref="D37:E37"/>
    <mergeCell ref="B32:C32"/>
    <mergeCell ref="I32:J32"/>
    <mergeCell ref="D26:F26"/>
    <mergeCell ref="B28:C28"/>
    <mergeCell ref="D28:F28"/>
    <mergeCell ref="I28:J28"/>
    <mergeCell ref="B29:C29"/>
    <mergeCell ref="D29:H29"/>
    <mergeCell ref="I29:J29"/>
    <mergeCell ref="B30:C30"/>
    <mergeCell ref="D30:H30"/>
    <mergeCell ref="I30:J30"/>
    <mergeCell ref="B31:C31"/>
    <mergeCell ref="I31:J31"/>
    <mergeCell ref="D31:H31"/>
    <mergeCell ref="A25:C25"/>
    <mergeCell ref="D25:F25"/>
    <mergeCell ref="A26:C26"/>
    <mergeCell ref="G22:J22"/>
    <mergeCell ref="G25:J25"/>
    <mergeCell ref="G26:J26"/>
    <mergeCell ref="A22:C22"/>
    <mergeCell ref="D22:F22"/>
    <mergeCell ref="A23:C23"/>
    <mergeCell ref="D23:F23"/>
    <mergeCell ref="A24:C24"/>
    <mergeCell ref="D24:F24"/>
    <mergeCell ref="I19:J19"/>
    <mergeCell ref="G20:H20"/>
    <mergeCell ref="I20:J20"/>
    <mergeCell ref="A21:C21"/>
    <mergeCell ref="D21:F21"/>
    <mergeCell ref="G21:J21"/>
    <mergeCell ref="A15:F20"/>
    <mergeCell ref="G19:H19"/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43"/>
  <sheetViews>
    <sheetView topLeftCell="A25" workbookViewId="0">
      <selection activeCell="B42" sqref="B42"/>
    </sheetView>
  </sheetViews>
  <sheetFormatPr defaultRowHeight="15" x14ac:dyDescent="0.25"/>
  <cols>
    <col min="2" max="2" width="10.42578125" bestFit="1" customWidth="1"/>
    <col min="16" max="16" width="17.42578125" bestFit="1" customWidth="1"/>
  </cols>
  <sheetData>
    <row r="1" spans="1:24" x14ac:dyDescent="0.25">
      <c r="A1" s="234" t="s">
        <v>1</v>
      </c>
      <c r="B1" s="234"/>
      <c r="C1" s="234"/>
      <c r="D1" s="234"/>
      <c r="E1" s="234"/>
      <c r="F1" s="234"/>
      <c r="G1" s="234"/>
      <c r="H1" s="234"/>
      <c r="I1" s="234"/>
      <c r="J1" s="234"/>
      <c r="P1" t="s">
        <v>96</v>
      </c>
      <c r="Q1" s="227" t="s">
        <v>122</v>
      </c>
      <c r="R1" s="228"/>
      <c r="S1" s="228"/>
      <c r="T1" s="228"/>
      <c r="U1" s="228"/>
      <c r="V1" s="238" t="s">
        <v>97</v>
      </c>
      <c r="W1" s="238"/>
      <c r="X1" s="238"/>
    </row>
    <row r="2" spans="1:24" x14ac:dyDescent="0.25">
      <c r="A2" s="234"/>
      <c r="B2" s="234"/>
      <c r="C2" s="234"/>
      <c r="D2" s="234"/>
      <c r="E2" s="234"/>
      <c r="F2" s="234"/>
      <c r="G2" s="234"/>
      <c r="H2" s="234"/>
      <c r="I2" s="234"/>
      <c r="J2" s="234"/>
    </row>
    <row r="3" spans="1:24" x14ac:dyDescent="0.25">
      <c r="A3" s="234"/>
      <c r="B3" s="234"/>
      <c r="C3" s="234"/>
      <c r="D3" s="234"/>
      <c r="E3" s="234"/>
      <c r="F3" s="234"/>
      <c r="G3" s="234"/>
      <c r="H3" s="234"/>
      <c r="I3" s="234"/>
      <c r="J3" s="234"/>
    </row>
    <row r="4" spans="1:24" ht="36" x14ac:dyDescent="0.55000000000000004">
      <c r="A4" s="56"/>
      <c r="B4" s="56"/>
      <c r="C4" s="56"/>
      <c r="D4" s="56"/>
      <c r="E4" s="56"/>
      <c r="F4" s="56"/>
      <c r="G4" s="56"/>
      <c r="H4" s="56"/>
      <c r="I4" s="56"/>
      <c r="J4" s="56"/>
    </row>
    <row r="5" spans="1:24" x14ac:dyDescent="0.25">
      <c r="A5" s="235" t="s">
        <v>88</v>
      </c>
      <c r="B5" s="236"/>
      <c r="C5" s="236"/>
      <c r="D5" s="236"/>
      <c r="E5" s="236"/>
      <c r="F5" s="236"/>
      <c r="G5" s="236"/>
      <c r="H5" s="236"/>
      <c r="I5" s="236"/>
      <c r="J5" s="236"/>
    </row>
    <row r="6" spans="1:24" x14ac:dyDescent="0.25">
      <c r="A6" s="235" t="s">
        <v>89</v>
      </c>
      <c r="B6" s="237"/>
      <c r="C6" s="237"/>
      <c r="D6" s="237"/>
      <c r="E6" s="237"/>
      <c r="F6" s="237"/>
      <c r="G6" s="237"/>
      <c r="H6" s="237"/>
      <c r="I6" s="237"/>
      <c r="J6" s="237"/>
    </row>
    <row r="7" spans="1:24" x14ac:dyDescent="0.25">
      <c r="A7" s="238" t="s">
        <v>90</v>
      </c>
      <c r="B7" s="238"/>
      <c r="C7" s="238"/>
      <c r="D7" s="238"/>
      <c r="E7" s="238"/>
      <c r="F7" s="238"/>
      <c r="G7" s="238"/>
      <c r="H7" s="238"/>
      <c r="I7" s="238"/>
      <c r="J7" s="238"/>
    </row>
    <row r="9" spans="1:24" ht="18.75" x14ac:dyDescent="0.3">
      <c r="A9" s="239" t="s">
        <v>91</v>
      </c>
      <c r="B9" s="238"/>
      <c r="C9" s="238"/>
      <c r="D9" s="238"/>
      <c r="E9" s="238"/>
      <c r="F9" s="238"/>
      <c r="G9" s="238"/>
      <c r="H9" s="238"/>
      <c r="I9" s="238"/>
      <c r="J9" s="238"/>
    </row>
    <row r="11" spans="1:24" x14ac:dyDescent="0.25">
      <c r="A11" t="s">
        <v>92</v>
      </c>
      <c r="B11" s="54">
        <v>45362</v>
      </c>
    </row>
    <row r="12" spans="1:24" x14ac:dyDescent="0.25">
      <c r="A12" t="s">
        <v>93</v>
      </c>
      <c r="B12" t="s">
        <v>94</v>
      </c>
    </row>
    <row r="14" spans="1:24" x14ac:dyDescent="0.25">
      <c r="A14" t="s">
        <v>95</v>
      </c>
    </row>
    <row r="15" spans="1:24" x14ac:dyDescent="0.25">
      <c r="A15" s="228" t="s">
        <v>96</v>
      </c>
      <c r="B15" s="228"/>
    </row>
    <row r="16" spans="1:24" x14ac:dyDescent="0.25">
      <c r="A16" s="240" t="e">
        <f>HLOOKUP(A15,P1,Q1:U1)</f>
        <v>#REF!</v>
      </c>
      <c r="B16" s="241"/>
      <c r="C16" s="241"/>
      <c r="D16" s="241"/>
      <c r="E16" s="241"/>
      <c r="F16" s="241"/>
    </row>
    <row r="17" spans="1:10" x14ac:dyDescent="0.25">
      <c r="A17" s="241"/>
      <c r="B17" s="241"/>
      <c r="C17" s="241"/>
      <c r="D17" s="241"/>
      <c r="E17" s="241"/>
      <c r="F17" s="241"/>
    </row>
    <row r="18" spans="1:10" ht="15.75" x14ac:dyDescent="0.25">
      <c r="A18" s="225"/>
      <c r="B18" s="225"/>
      <c r="C18" s="225"/>
      <c r="D18" s="225"/>
    </row>
    <row r="19" spans="1:10" x14ac:dyDescent="0.25">
      <c r="A19" t="s">
        <v>98</v>
      </c>
    </row>
    <row r="20" spans="1:10" ht="15.75" thickBot="1" x14ac:dyDescent="0.3"/>
    <row r="21" spans="1:10" ht="15.75" thickBot="1" x14ac:dyDescent="0.3">
      <c r="A21" s="231" t="s">
        <v>99</v>
      </c>
      <c r="B21" s="232"/>
      <c r="C21" s="232"/>
      <c r="D21" s="233"/>
      <c r="E21" s="126" t="s">
        <v>100</v>
      </c>
      <c r="F21" s="127"/>
      <c r="G21" s="126" t="s">
        <v>101</v>
      </c>
      <c r="H21" s="127"/>
      <c r="I21" s="126" t="s">
        <v>102</v>
      </c>
      <c r="J21" s="127"/>
    </row>
    <row r="22" spans="1:10" x14ac:dyDescent="0.25">
      <c r="A22" s="89" t="s">
        <v>103</v>
      </c>
      <c r="B22" s="89"/>
      <c r="C22" s="89"/>
      <c r="D22" s="89"/>
      <c r="E22" s="244">
        <v>173</v>
      </c>
      <c r="F22" s="244"/>
      <c r="G22" s="244">
        <v>5230</v>
      </c>
      <c r="H22" s="244"/>
      <c r="I22" s="244">
        <v>166044</v>
      </c>
      <c r="J22" s="244"/>
    </row>
    <row r="23" spans="1:10" x14ac:dyDescent="0.25">
      <c r="A23" s="184" t="s">
        <v>53</v>
      </c>
      <c r="B23" s="184"/>
      <c r="C23" s="184"/>
      <c r="D23" s="245"/>
      <c r="E23" s="229"/>
      <c r="F23" s="230"/>
      <c r="G23" s="229"/>
      <c r="H23" s="230"/>
      <c r="I23" s="229"/>
      <c r="J23" s="230"/>
    </row>
    <row r="24" spans="1:10" ht="15.75" x14ac:dyDescent="0.25">
      <c r="A24" s="109"/>
      <c r="B24" s="109"/>
      <c r="C24" s="109"/>
      <c r="D24" s="109"/>
      <c r="E24" s="226"/>
      <c r="F24" s="226"/>
      <c r="G24" s="243" t="s">
        <v>104</v>
      </c>
      <c r="H24" s="243"/>
      <c r="I24" s="244">
        <f>I22*0.1/100</f>
        <v>166.04400000000001</v>
      </c>
      <c r="J24" s="244"/>
    </row>
    <row r="25" spans="1:10" ht="15.75" x14ac:dyDescent="0.25">
      <c r="A25" s="228"/>
      <c r="B25" s="228"/>
      <c r="C25" s="228"/>
      <c r="D25" s="228"/>
      <c r="E25" s="57"/>
      <c r="F25" s="57"/>
      <c r="G25" s="243" t="s">
        <v>74</v>
      </c>
      <c r="H25" s="243"/>
      <c r="I25" s="244">
        <v>322766</v>
      </c>
      <c r="J25" s="244"/>
    </row>
    <row r="26" spans="1:10" ht="15.75" x14ac:dyDescent="0.25">
      <c r="A26" s="238"/>
      <c r="B26" s="238"/>
      <c r="C26" s="238"/>
      <c r="D26" s="238"/>
      <c r="G26" s="242"/>
      <c r="H26" s="242"/>
      <c r="I26" s="238"/>
      <c r="J26" s="238"/>
    </row>
    <row r="27" spans="1:10" ht="15.75" thickBot="1" x14ac:dyDescent="0.3">
      <c r="A27" s="114"/>
      <c r="B27" s="114"/>
      <c r="C27" s="114"/>
      <c r="D27" s="114"/>
      <c r="G27" s="238"/>
      <c r="H27" s="238"/>
      <c r="I27" s="238"/>
      <c r="J27" s="238"/>
    </row>
    <row r="28" spans="1:10" ht="15.75" thickBot="1" x14ac:dyDescent="0.3">
      <c r="A28" s="231" t="s">
        <v>105</v>
      </c>
      <c r="B28" s="232"/>
      <c r="C28" s="50"/>
      <c r="D28" s="50"/>
      <c r="E28" s="50"/>
      <c r="F28" s="50"/>
      <c r="G28" s="50"/>
      <c r="H28" s="50"/>
      <c r="I28" s="161">
        <v>322766</v>
      </c>
      <c r="J28" s="162"/>
    </row>
    <row r="30" spans="1:10" x14ac:dyDescent="0.25">
      <c r="A30" s="224" t="s">
        <v>106</v>
      </c>
      <c r="B30" s="224"/>
    </row>
    <row r="31" spans="1:10" x14ac:dyDescent="0.25">
      <c r="A31" t="s">
        <v>107</v>
      </c>
      <c r="C31" t="s">
        <v>108</v>
      </c>
    </row>
    <row r="32" spans="1:10" x14ac:dyDescent="0.25">
      <c r="A32" t="s">
        <v>109</v>
      </c>
    </row>
    <row r="33" spans="1:6" x14ac:dyDescent="0.25">
      <c r="A33" t="s">
        <v>110</v>
      </c>
    </row>
    <row r="34" spans="1:6" x14ac:dyDescent="0.25">
      <c r="A34" t="s">
        <v>111</v>
      </c>
      <c r="C34" t="s">
        <v>112</v>
      </c>
    </row>
    <row r="35" spans="1:6" x14ac:dyDescent="0.25">
      <c r="A35" t="s">
        <v>113</v>
      </c>
    </row>
    <row r="36" spans="1:6" x14ac:dyDescent="0.25">
      <c r="A36" t="s">
        <v>114</v>
      </c>
    </row>
    <row r="37" spans="1:6" x14ac:dyDescent="0.25">
      <c r="A37" t="s">
        <v>115</v>
      </c>
      <c r="C37" t="s">
        <v>116</v>
      </c>
    </row>
    <row r="38" spans="1:6" x14ac:dyDescent="0.25">
      <c r="C38" s="55" t="s">
        <v>117</v>
      </c>
    </row>
    <row r="39" spans="1:6" x14ac:dyDescent="0.25">
      <c r="C39" t="s">
        <v>118</v>
      </c>
    </row>
    <row r="40" spans="1:6" ht="15.75" x14ac:dyDescent="0.25">
      <c r="A40" s="225" t="s">
        <v>119</v>
      </c>
      <c r="B40" s="225"/>
      <c r="C40" s="225"/>
      <c r="D40" s="225"/>
      <c r="E40" s="225"/>
      <c r="F40" s="225"/>
    </row>
    <row r="41" spans="1:6" ht="15.75" x14ac:dyDescent="0.25">
      <c r="A41" s="225" t="s">
        <v>120</v>
      </c>
      <c r="B41" s="225"/>
      <c r="C41" s="225"/>
      <c r="D41" s="225"/>
      <c r="E41" s="225"/>
      <c r="F41" s="225"/>
    </row>
    <row r="42" spans="1:6" ht="15.75" x14ac:dyDescent="0.25">
      <c r="A42" s="80" t="s">
        <v>150</v>
      </c>
      <c r="B42" s="81" t="str">
        <f>'input data'!B5</f>
        <v>AD240424008317F</v>
      </c>
      <c r="C42" s="80"/>
      <c r="D42" s="80"/>
      <c r="E42" s="80"/>
      <c r="F42" s="80"/>
    </row>
    <row r="43" spans="1:6" x14ac:dyDescent="0.25">
      <c r="A43" t="s">
        <v>121</v>
      </c>
    </row>
  </sheetData>
  <mergeCells count="40">
    <mergeCell ref="V1:X1"/>
    <mergeCell ref="A26:D26"/>
    <mergeCell ref="G26:H26"/>
    <mergeCell ref="I26:J26"/>
    <mergeCell ref="G24:H24"/>
    <mergeCell ref="I24:J24"/>
    <mergeCell ref="A25:D25"/>
    <mergeCell ref="G25:H25"/>
    <mergeCell ref="I25:J25"/>
    <mergeCell ref="A22:D22"/>
    <mergeCell ref="E22:F22"/>
    <mergeCell ref="G22:H22"/>
    <mergeCell ref="I22:J22"/>
    <mergeCell ref="A23:D23"/>
    <mergeCell ref="G27:H27"/>
    <mergeCell ref="I27:J27"/>
    <mergeCell ref="A28:B28"/>
    <mergeCell ref="I28:J28"/>
    <mergeCell ref="A16:F17"/>
    <mergeCell ref="A18:D18"/>
    <mergeCell ref="Q1:U1"/>
    <mergeCell ref="I23:J23"/>
    <mergeCell ref="A21:D21"/>
    <mergeCell ref="E21:F21"/>
    <mergeCell ref="G21:H21"/>
    <mergeCell ref="I21:J21"/>
    <mergeCell ref="A1:J3"/>
    <mergeCell ref="A5:J5"/>
    <mergeCell ref="A6:J6"/>
    <mergeCell ref="A7:J7"/>
    <mergeCell ref="A9:J9"/>
    <mergeCell ref="A15:B15"/>
    <mergeCell ref="E23:F23"/>
    <mergeCell ref="G23:H23"/>
    <mergeCell ref="A30:B30"/>
    <mergeCell ref="A40:F40"/>
    <mergeCell ref="A41:F41"/>
    <mergeCell ref="A24:D24"/>
    <mergeCell ref="E24:F24"/>
    <mergeCell ref="A27:D2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company data</vt:lpstr>
      <vt:lpstr>input data</vt:lpstr>
      <vt:lpstr>Inovice</vt:lpstr>
      <vt:lpstr>Peacking List</vt:lpstr>
      <vt:lpstr>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2024-09-07T10:58:22Z</cp:lastPrinted>
  <dcterms:created xsi:type="dcterms:W3CDTF">2022-11-23T06:47:43Z</dcterms:created>
  <dcterms:modified xsi:type="dcterms:W3CDTF">2024-09-07T10:59:09Z</dcterms:modified>
</cp:coreProperties>
</file>
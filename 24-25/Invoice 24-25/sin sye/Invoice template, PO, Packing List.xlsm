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3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in\BK Exports bills\24-25\Invoice 24-25\09 BK009 Sept 24-25\"/>
    </mc:Choice>
  </mc:AlternateContent>
  <xr:revisionPtr revIDLastSave="0" documentId="13_ncr:1_{0020896F-8526-4900-897F-3BD5094451EE}" xr6:coauthVersionLast="36" xr6:coauthVersionMax="36" xr10:uidLastSave="{00000000-0000-0000-0000-000000000000}"/>
  <bookViews>
    <workbookView xWindow="0" yWindow="0" windowWidth="20400" windowHeight="8940" activeTab="5" xr2:uid="{00000000-000D-0000-FFFF-FFFF00000000}"/>
  </bookViews>
  <sheets>
    <sheet name="company data" sheetId="5" r:id="rId1"/>
    <sheet name="input data" sheetId="4" r:id="rId2"/>
    <sheet name="Inovice" sheetId="1" r:id="rId3"/>
    <sheet name="Peacking List" sheetId="2" r:id="rId4"/>
    <sheet name="PO" sheetId="3" r:id="rId5"/>
    <sheet name="proforma Invoice" sheetId="6" r:id="rId6"/>
  </sheets>
  <functionGroups builtInGroupCount="19"/>
  <calcPr calcId="191029"/>
</workbook>
</file>

<file path=xl/calcChain.xml><?xml version="1.0" encoding="utf-8"?>
<calcChain xmlns="http://schemas.openxmlformats.org/spreadsheetml/2006/main">
  <c r="G21" i="6" l="1"/>
  <c r="G20" i="6"/>
  <c r="G26" i="6" s="1"/>
  <c r="H10" i="1" l="1"/>
  <c r="B3" i="4" l="1"/>
  <c r="A35" i="1" l="1"/>
  <c r="C40" i="2"/>
  <c r="B5" i="4" l="1"/>
  <c r="B42" i="3" s="1"/>
  <c r="E4" i="1" l="1"/>
  <c r="G3" i="2" s="1"/>
  <c r="A16" i="3"/>
  <c r="H6" i="1" l="1"/>
  <c r="E10" i="1"/>
  <c r="G26" i="2" l="1"/>
  <c r="G22" i="2"/>
  <c r="E12" i="1"/>
  <c r="H12" i="1"/>
  <c r="I24" i="3" l="1"/>
  <c r="H28" i="1" l="1"/>
  <c r="F28" i="1"/>
  <c r="C35" i="1"/>
  <c r="C38" i="2" s="1"/>
  <c r="H22" i="1"/>
  <c r="I20" i="2" s="1"/>
  <c r="H25" i="1"/>
  <c r="E25" i="1"/>
  <c r="C25" i="1"/>
  <c r="C22" i="1"/>
  <c r="B28" i="1"/>
  <c r="A15" i="1"/>
  <c r="H4" i="1"/>
  <c r="I28" i="1" l="1"/>
  <c r="I38" i="1" s="1"/>
  <c r="A38" i="2"/>
  <c r="I30" i="2"/>
  <c r="I35" i="2" s="1"/>
  <c r="B30" i="2"/>
  <c r="D30" i="2"/>
  <c r="D26" i="2"/>
  <c r="A26" i="2"/>
  <c r="D24" i="2"/>
  <c r="D22" i="2"/>
  <c r="A15" i="2"/>
  <c r="I3" i="2"/>
  <c r="A39" i="1"/>
</calcChain>
</file>

<file path=xl/sharedStrings.xml><?xml version="1.0" encoding="utf-8"?>
<sst xmlns="http://schemas.openxmlformats.org/spreadsheetml/2006/main" count="239" uniqueCount="195">
  <si>
    <t xml:space="preserve">EXPORTER </t>
  </si>
  <si>
    <t>B K EXPORTS</t>
  </si>
  <si>
    <t>90, Jasodanagar Cross Road, Nr. Canal,</t>
  </si>
  <si>
    <t>Ahmedabad, Gujarat, India - 380026.</t>
  </si>
  <si>
    <t>Opp.Baroda Express Highway, Amraiwadi,</t>
  </si>
  <si>
    <t>info@bkexportsinternational.com</t>
  </si>
  <si>
    <t>www.bkexportsinternational.com</t>
  </si>
  <si>
    <t>INVOICE NO.</t>
  </si>
  <si>
    <t>DATE</t>
  </si>
  <si>
    <t>LUT/ARN NO.</t>
  </si>
  <si>
    <t>GSTIN</t>
  </si>
  <si>
    <t>24AGQPJ1643Q1ZW</t>
  </si>
  <si>
    <t>AGQPJ1643Q</t>
  </si>
  <si>
    <t>CONSIGNEE</t>
  </si>
  <si>
    <t xml:space="preserve">                        TO THE ORDER </t>
  </si>
  <si>
    <t>NOTIFY PARTY</t>
  </si>
  <si>
    <t>PAN NO. /IEC CODE</t>
  </si>
  <si>
    <t>BUYER'S ORDER NO.</t>
  </si>
  <si>
    <t xml:space="preserve">KIND OF PACKING </t>
  </si>
  <si>
    <t>Per Carriage By</t>
  </si>
  <si>
    <t>By Road Truck No.</t>
  </si>
  <si>
    <t>Place Of Receipt By Pre-Carrier</t>
  </si>
  <si>
    <t xml:space="preserve">Country Of Origin Of Goods </t>
  </si>
  <si>
    <t>INDIA</t>
  </si>
  <si>
    <t>Country Of Final Destination</t>
  </si>
  <si>
    <t>Vessel/ Flight No.</t>
  </si>
  <si>
    <t>Port Of Loading</t>
  </si>
  <si>
    <t xml:space="preserve">Port Of Discharge </t>
  </si>
  <si>
    <t xml:space="preserve">Place Of Delivery </t>
  </si>
  <si>
    <t xml:space="preserve">Description Of Goods </t>
  </si>
  <si>
    <t>HS CODE</t>
  </si>
  <si>
    <t>Quantity in</t>
  </si>
  <si>
    <t>SQM</t>
  </si>
  <si>
    <t>Rate  Per</t>
  </si>
  <si>
    <t xml:space="preserve">TOTAL AMOUNT </t>
  </si>
  <si>
    <t>(IN USD)</t>
  </si>
  <si>
    <t>Declaration</t>
  </si>
  <si>
    <t>For B K EXPORTS</t>
  </si>
  <si>
    <t xml:space="preserve">Proprietor </t>
  </si>
  <si>
    <t xml:space="preserve">Authorised Signatory </t>
  </si>
  <si>
    <t xml:space="preserve">INVOICE </t>
  </si>
  <si>
    <t xml:space="preserve"> +91 9313035076,  +91 9537651265</t>
  </si>
  <si>
    <t>AD240322004861M</t>
  </si>
  <si>
    <t>TYPE OF CONTAINER</t>
  </si>
  <si>
    <t>FCL</t>
  </si>
  <si>
    <t xml:space="preserve">  Container No.</t>
  </si>
  <si>
    <t>Slabs</t>
  </si>
  <si>
    <t>Gross Weight</t>
  </si>
  <si>
    <t>Net Weight</t>
  </si>
  <si>
    <t>28000 kgs</t>
  </si>
  <si>
    <t>27500 kgs</t>
  </si>
  <si>
    <t>Sr. No.</t>
  </si>
  <si>
    <r>
      <t>*</t>
    </r>
    <r>
      <rPr>
        <sz val="9"/>
        <color theme="1"/>
        <rFont val="Calibri"/>
        <family val="2"/>
        <scheme val="minor"/>
      </rPr>
      <t xml:space="preserve"> We declare that invoice shows the actual price of the  goods described and that all particulars are true and correct.</t>
    </r>
  </si>
  <si>
    <t xml:space="preserve">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</si>
  <si>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</si>
  <si>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</si>
  <si>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</si>
  <si>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</si>
  <si>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</si>
  <si>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</si>
  <si>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</si>
  <si>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</si>
  <si>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</si>
  <si>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</si>
  <si>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</si>
  <si>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</si>
  <si>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 xml:space="preserve">     TO THE ORDER </t>
  </si>
  <si>
    <t>Country of Origin of Goods</t>
  </si>
  <si>
    <t>Country of Final Destination</t>
  </si>
  <si>
    <t xml:space="preserve">Pre-Carriage by </t>
  </si>
  <si>
    <t>Place of Receipt by Pre-carrier</t>
  </si>
  <si>
    <t>Vessel/Flight No.</t>
  </si>
  <si>
    <t xml:space="preserve">Port Of Loading </t>
  </si>
  <si>
    <t>HSN CODE</t>
  </si>
  <si>
    <t>TOTAL</t>
  </si>
  <si>
    <t>Container No.</t>
  </si>
  <si>
    <t>28000kgs</t>
  </si>
  <si>
    <t>27500kgs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</si>
  <si>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</si>
  <si>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</si>
  <si>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</si>
  <si>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rFont val="Calibri"/>
        <family val="2"/>
        <scheme val="minor"/>
      </rPr>
      <t xml:space="preserve">       describedand that all particulars are true and correct.</t>
    </r>
    <r>
      <rPr>
        <sz val="9"/>
        <color theme="1"/>
        <rFont val="Calibri"/>
        <family val="2"/>
        <scheme val="minor"/>
      </rPr>
      <t xml:space="preserve">
</t>
    </r>
  </si>
  <si>
    <t>*   Zero rated export under LUT.</t>
  </si>
  <si>
    <t xml:space="preserve">Authorised Signature </t>
  </si>
  <si>
    <t>Date</t>
  </si>
  <si>
    <t>Party Name</t>
  </si>
  <si>
    <t>Product Name</t>
  </si>
  <si>
    <t>Quantity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</si>
  <si>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</si>
  <si>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</si>
  <si>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</si>
  <si>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</si>
  <si>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</si>
  <si>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</si>
  <si>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BK029/23-24</t>
  </si>
  <si>
    <t>TO,</t>
  </si>
  <si>
    <t>SIYARAM GRANITE</t>
  </si>
  <si>
    <t>GSTIN NO.- 08ADHFS5738B1Z</t>
  </si>
  <si>
    <t>Dear Sir/ Mdam,</t>
  </si>
  <si>
    <t xml:space="preserve">COLORS </t>
  </si>
  <si>
    <t xml:space="preserve">RATES </t>
  </si>
  <si>
    <t>SQFT</t>
  </si>
  <si>
    <t>AMOUNT</t>
  </si>
  <si>
    <t>GRANITE POLISHED SLABS</t>
  </si>
  <si>
    <t>GST 0.1%</t>
  </si>
  <si>
    <t>GRAND TOTAL</t>
  </si>
  <si>
    <t xml:space="preserve">OTHER DETAILS </t>
  </si>
  <si>
    <t>Packing</t>
  </si>
  <si>
    <t>Loose</t>
  </si>
  <si>
    <t>Terms</t>
  </si>
  <si>
    <t>Port of Delivery</t>
  </si>
  <si>
    <t xml:space="preserve">Port of Loading </t>
  </si>
  <si>
    <t>Chennai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</si>
  <si>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</si>
  <si>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</si>
  <si>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</si>
  <si>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  <scheme val="minor"/>
      </rPr>
      <t>B K EXPORTS</t>
    </r>
    <r>
      <rPr>
        <sz val="11"/>
        <color theme="1"/>
        <rFont val="Calibri"/>
        <family val="2"/>
        <scheme val="minor"/>
      </rPr>
      <t xml:space="preserve">  </t>
    </r>
  </si>
  <si>
    <t xml:space="preserve">90, Jasodanagar Cross Road, Nr. Canal, Opp. Baroda Express Highway,  </t>
  </si>
  <si>
    <r>
      <t xml:space="preserve"> </t>
    </r>
    <r>
      <rPr>
        <b/>
        <sz val="11"/>
        <color theme="1"/>
        <rFont val="Calibri"/>
        <family val="2"/>
        <scheme val="minor"/>
      </rPr>
      <t>Amraiwadi, Ahmedabad, Gujarat, India - 380026</t>
    </r>
  </si>
  <si>
    <t>IEC NO.    AGQPJ1643Q</t>
  </si>
  <si>
    <t>GSTIN NO.  24AGQPJ1643Q1ZW</t>
  </si>
  <si>
    <r>
      <rPr>
        <b/>
        <sz val="11"/>
        <color theme="1"/>
        <rFont val="Calibri"/>
        <family val="2"/>
        <scheme val="minor"/>
      </rPr>
      <t>For B K EXPORTS</t>
    </r>
    <r>
      <rPr>
        <sz val="11"/>
        <color theme="1"/>
        <rFont val="Calibri"/>
        <family val="2"/>
        <scheme val="minor"/>
      </rPr>
      <t xml:space="preserve"> </t>
    </r>
  </si>
  <si>
    <t>PLOT NO.-8 KHASARA NO.-949/1 RALWATA, KISHANGARH
Ajmer  - 308012</t>
  </si>
  <si>
    <t>BANK DETAILS: 
ACCOUNT NAME : B K  EXPORTS
BANK NAME : BANK OF BARODA
ACCOUNT NUMBER : 14970200000658
SWIFT CODE : BARBINBBVAT
IFSC CODE : BARB0MANEAS (fifth digit zero)
BRANCH : MANINAGAR (EAST)</t>
  </si>
  <si>
    <t xml:space="preserve">TERMS OF DELIVERY </t>
  </si>
  <si>
    <t>TERMS OF PAYMENT</t>
  </si>
  <si>
    <t>Terms of delivery</t>
  </si>
  <si>
    <t>Terms of payment</t>
  </si>
  <si>
    <t>Terms of Delivery.</t>
  </si>
  <si>
    <t>Terms of Payment</t>
  </si>
  <si>
    <t>Kind of Packing</t>
  </si>
  <si>
    <t>Type of container</t>
  </si>
  <si>
    <t xml:space="preserve">LUT No: </t>
  </si>
  <si>
    <t>Amount in Words:</t>
  </si>
  <si>
    <t>financial year</t>
  </si>
  <si>
    <t>24-25</t>
  </si>
  <si>
    <t>Financial Year</t>
  </si>
  <si>
    <t>Kind of packing</t>
  </si>
  <si>
    <t>type of container</t>
  </si>
  <si>
    <t>terms of delivery</t>
  </si>
  <si>
    <t>terms of payment</t>
  </si>
  <si>
    <t>Loose packing</t>
  </si>
  <si>
    <t>100 % Advance</t>
  </si>
  <si>
    <t>FOB</t>
  </si>
  <si>
    <t>American Standard</t>
  </si>
  <si>
    <t>30 % Advance, Remaning Against Document</t>
  </si>
  <si>
    <t>70 %  Advance, Remaning Against Document</t>
  </si>
  <si>
    <t>No.</t>
  </si>
  <si>
    <t>Invoice Number</t>
  </si>
  <si>
    <t xml:space="preserve">PACKING TYPE : </t>
  </si>
  <si>
    <t xml:space="preserve">LUT NO: </t>
  </si>
  <si>
    <t>CIF</t>
  </si>
  <si>
    <t>number of containers</t>
  </si>
  <si>
    <t>Wooden Crate packing</t>
  </si>
  <si>
    <t>PROFORMA INVOICE</t>
  </si>
  <si>
    <t>EXPORTER DETAILS</t>
  </si>
  <si>
    <t>PROFORMA INVOICE NO.</t>
  </si>
  <si>
    <t>EXPIRATION DATE</t>
  </si>
  <si>
    <t>IMPORT EXPORT CODE</t>
  </si>
  <si>
    <t>PAN NO.</t>
  </si>
  <si>
    <t>PORT OF LOADING</t>
  </si>
  <si>
    <t>Any Port Of India</t>
  </si>
  <si>
    <t>PORT OF DISCHARGE</t>
  </si>
  <si>
    <t>Da Nang Port</t>
  </si>
  <si>
    <t>IMPORTER DETAILS</t>
  </si>
  <si>
    <t>DESTINATION COUNTRY</t>
  </si>
  <si>
    <t>Vietnam</t>
  </si>
  <si>
    <t>DELIVERY TERMS</t>
  </si>
  <si>
    <t>KIND OF PACKING</t>
  </si>
  <si>
    <t>Wooden Crate Packing</t>
  </si>
  <si>
    <t>1 FCL</t>
  </si>
  <si>
    <t>PAYMENT TERMS</t>
  </si>
  <si>
    <t>SR. NO.</t>
  </si>
  <si>
    <t>DESCRIPTION OF GOODS</t>
  </si>
  <si>
    <t>QUANTITY(m2)</t>
  </si>
  <si>
    <t>RATE(USD)</t>
  </si>
  <si>
    <t>AMOUNT(USD)</t>
  </si>
  <si>
    <t>BANK DETAILS</t>
  </si>
  <si>
    <t>ACCOUNT NAME : B K EXPORTS</t>
  </si>
  <si>
    <t>BANK NAME : BANK OF BARODA, Maninagar East ACCOUNT NUMBER : 14970200000658</t>
  </si>
  <si>
    <t>SWIFT CODE : BARBINBBVAT</t>
  </si>
  <si>
    <t>SUBTOTAL</t>
  </si>
  <si>
    <t>NOTE :</t>
  </si>
  <si>
    <r>
      <t>1.</t>
    </r>
    <r>
      <rPr>
        <b/>
        <sz val="7"/>
        <color theme="1"/>
        <rFont val="Times New Roman"/>
        <family val="1"/>
      </rPr>
      <t xml:space="preserve">  </t>
    </r>
    <r>
      <rPr>
        <b/>
        <sz val="11"/>
        <color theme="1"/>
        <rFont val="Calibri"/>
        <family val="2"/>
        <scheme val="minor"/>
      </rPr>
      <t>THICKNESS WILL BE -/+ 1MM</t>
    </r>
  </si>
  <si>
    <t>EXPORTER SIGN AND STAMP</t>
  </si>
  <si>
    <t>IMPORTER SIGN AND STAMP</t>
  </si>
  <si>
    <t xml:space="preserve">A-A STONE INVESTMENT TRADING COMPANY LIMITED
34/5 TRAN KHANH DU STREET, TAN DINH WARD, DISTRICT 1, HOCHIMINH CITY, VIETNAM
TAX:0317458134
TEL: 0931.90.1986
MAIL: AASTONEDOCS@GMAIL.COM </t>
  </si>
  <si>
    <t>BK Exports , 90, Jasodanagar Cross Road, Nr. Canal, Opp. Baroda Express Highway, Amraiwadi, Ahmedabad,Gujarat, India - 380026. 
Contact No: +91 9537651265, 9313035076 
Email address: info@bkexportsinternational.com Website: www.bkexportsinternational.com</t>
  </si>
  <si>
    <t>CNF</t>
  </si>
  <si>
    <t>20 % Advance and remaining against Documents</t>
  </si>
  <si>
    <t>POLISHED GRANITE SLABS (GREEN ONYX)</t>
  </si>
  <si>
    <t>POLISHED GRANITE SLABS (PATAGONIA GOLD)</t>
  </si>
  <si>
    <t>3. KINDLY DO THE PAYMENT THROUGH NAME MENTIONED IN IMPORTER DETAILS</t>
  </si>
  <si>
    <t>2. 20 % ADVANCE AND REMAINING AGAINST DOCUMENTS</t>
  </si>
  <si>
    <t>BK010/24-25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</si>
</sst>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$-409]* #,##0.00_ ;_-[$$-409]* \-#,##0.00\ ;_-[$$-409]* &quot;-&quot;??_ ;_-@_ "/>
    <numFmt numFmtId="165" formatCode="#&quot; / &quot;"/>
    <numFmt numFmtId="168" formatCode="[$$-409]#,##0.00"/>
  </numFmts>
  <fonts count="2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52525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28"/>
      <color rgb="FF00B0F0"/>
      <name val="Calibri"/>
      <family val="2"/>
      <scheme val="minor"/>
    </font>
    <font>
      <sz val="11"/>
      <color rgb="FF666666"/>
      <name val="Calibri"/>
      <family val="2"/>
      <scheme val="minor"/>
    </font>
    <font>
      <b/>
      <sz val="11"/>
      <color rgb="FF666666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20"/>
      <color theme="1"/>
      <name val="Times New Roman"/>
      <family val="1"/>
    </font>
    <font>
      <sz val="10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10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7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C4BC96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indexed="64"/>
      </left>
      <right/>
      <top/>
      <bottom style="thick">
        <color rgb="FF000000"/>
      </bottom>
      <diagonal/>
    </border>
    <border>
      <left style="medium">
        <color indexed="64"/>
      </left>
      <right/>
      <top style="thick">
        <color rgb="FF000000"/>
      </top>
      <bottom/>
      <diagonal/>
    </border>
    <border>
      <left/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 style="thick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ck">
        <color rgb="FF000000"/>
      </bottom>
      <diagonal/>
    </border>
    <border>
      <left/>
      <right style="medium">
        <color indexed="64"/>
      </right>
      <top style="thick">
        <color rgb="FF000000"/>
      </top>
      <bottom/>
      <diagonal/>
    </border>
    <border>
      <left/>
      <right style="medium">
        <color indexed="64"/>
      </right>
      <top/>
      <bottom style="thick">
        <color rgb="FF000000"/>
      </bottom>
      <diagonal/>
    </border>
    <border>
      <left style="medium">
        <color indexed="64"/>
      </left>
      <right/>
      <top style="thick">
        <color rgb="FF000000"/>
      </top>
      <bottom style="thick">
        <color rgb="FF000000"/>
      </bottom>
      <diagonal/>
    </border>
    <border>
      <left style="medium">
        <color indexed="64"/>
      </left>
      <right style="thick">
        <color rgb="FF000000"/>
      </right>
      <top/>
      <bottom style="medium">
        <color rgb="FF000000"/>
      </bottom>
      <diagonal/>
    </border>
    <border>
      <left style="medium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/>
      <diagonal/>
    </border>
    <border>
      <left style="thick">
        <color rgb="FF000000"/>
      </left>
      <right style="medium">
        <color indexed="64"/>
      </right>
      <top/>
      <bottom style="thick">
        <color rgb="FF000000"/>
      </bottom>
      <diagonal/>
    </border>
    <border>
      <left/>
      <right style="thick">
        <color rgb="FF000000"/>
      </right>
      <top/>
      <bottom style="medium">
        <color indexed="64"/>
      </bottom>
      <diagonal/>
    </border>
    <border>
      <left style="thick">
        <color rgb="FF000000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5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1" xfId="0" applyFont="1" applyBorder="1"/>
    <xf numFmtId="0" fontId="3" fillId="0" borderId="4" xfId="0" applyFont="1" applyBorder="1"/>
    <xf numFmtId="0" fontId="0" fillId="0" borderId="4" xfId="0" applyNumberFormat="1" applyBorder="1"/>
    <xf numFmtId="0" fontId="4" fillId="3" borderId="4" xfId="1" applyFont="1" applyFill="1" applyBorder="1"/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11" xfId="0" applyBorder="1"/>
    <xf numFmtId="0" fontId="2" fillId="0" borderId="1" xfId="0" applyFont="1" applyBorder="1" applyAlignment="1"/>
    <xf numFmtId="0" fontId="0" fillId="0" borderId="4" xfId="0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5" xfId="0" applyBorder="1"/>
    <xf numFmtId="0" fontId="0" fillId="0" borderId="0" xfId="0" applyBorder="1" applyAlignment="1"/>
    <xf numFmtId="0" fontId="0" fillId="0" borderId="7" xfId="0" applyBorder="1" applyAlignment="1"/>
    <xf numFmtId="0" fontId="0" fillId="0" borderId="11" xfId="0" applyFill="1" applyBorder="1"/>
    <xf numFmtId="0" fontId="0" fillId="0" borderId="0" xfId="0" applyFill="1" applyBorder="1" applyAlignment="1"/>
    <xf numFmtId="0" fontId="0" fillId="0" borderId="11" xfId="0" applyBorder="1" applyAlignment="1"/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/>
    <xf numFmtId="0" fontId="0" fillId="0" borderId="6" xfId="0" applyBorder="1" applyAlignment="1"/>
    <xf numFmtId="164" fontId="0" fillId="0" borderId="1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1" xfId="0" applyBorder="1" applyAlignment="1"/>
    <xf numFmtId="0" fontId="2" fillId="0" borderId="4" xfId="0" applyFont="1" applyBorder="1"/>
    <xf numFmtId="0" fontId="11" fillId="0" borderId="4" xfId="0" applyFont="1" applyBorder="1" applyAlignment="1"/>
    <xf numFmtId="0" fontId="11" fillId="0" borderId="0" xfId="0" applyFont="1" applyBorder="1" applyAlignment="1"/>
    <xf numFmtId="0" fontId="11" fillId="0" borderId="5" xfId="0" applyFont="1" applyBorder="1" applyAlignment="1"/>
    <xf numFmtId="0" fontId="0" fillId="0" borderId="1" xfId="0" applyBorder="1"/>
    <xf numFmtId="0" fontId="0" fillId="0" borderId="10" xfId="0" applyBorder="1"/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3" xfId="0" applyFont="1" applyBorder="1"/>
    <xf numFmtId="0" fontId="0" fillId="0" borderId="15" xfId="0" applyBorder="1"/>
    <xf numFmtId="0" fontId="0" fillId="0" borderId="5" xfId="0" applyBorder="1" applyAlignment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14" fontId="0" fillId="0" borderId="0" xfId="0" applyNumberFormat="1"/>
    <xf numFmtId="0" fontId="2" fillId="0" borderId="0" xfId="0" applyFont="1"/>
    <xf numFmtId="0" fontId="13" fillId="0" borderId="0" xfId="0" applyFont="1" applyAlignment="1">
      <alignment horizontal="center"/>
    </xf>
    <xf numFmtId="0" fontId="0" fillId="0" borderId="16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10" xfId="0" applyBorder="1" applyAlignment="1"/>
    <xf numFmtId="0" fontId="0" fillId="0" borderId="10" xfId="0" applyFill="1" applyBorder="1"/>
    <xf numFmtId="0" fontId="0" fillId="0" borderId="12" xfId="0" applyBorder="1" applyAlignment="1">
      <alignment horizontal="center"/>
    </xf>
    <xf numFmtId="0" fontId="0" fillId="0" borderId="12" xfId="0" applyBorder="1"/>
    <xf numFmtId="164" fontId="0" fillId="0" borderId="12" xfId="0" applyNumberFormat="1" applyBorder="1" applyAlignment="1">
      <alignment horizontal="center"/>
    </xf>
    <xf numFmtId="0" fontId="0" fillId="0" borderId="8" xfId="0" applyBorder="1" applyAlignment="1"/>
    <xf numFmtId="165" fontId="0" fillId="0" borderId="0" xfId="0" applyNumberFormat="1" applyAlignment="1" applyProtection="1">
      <alignment horizontal="left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2" fillId="0" borderId="0" xfId="0" applyFont="1" applyAlignment="1" applyProtection="1">
      <alignment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14" fontId="0" fillId="0" borderId="0" xfId="0" applyNumberFormat="1" applyAlignment="1" applyProtection="1">
      <alignment horizontal="left"/>
    </xf>
    <xf numFmtId="0" fontId="11" fillId="0" borderId="0" xfId="0" applyFont="1" applyAlignment="1"/>
    <xf numFmtId="14" fontId="11" fillId="0" borderId="0" xfId="0" applyNumberFormat="1" applyFont="1" applyAlignment="1"/>
    <xf numFmtId="0" fontId="0" fillId="0" borderId="0" xfId="0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4" borderId="27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19" fillId="0" borderId="27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1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4" fontId="7" fillId="0" borderId="1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7" xfId="0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4" fontId="0" fillId="0" borderId="6" xfId="0" applyNumberFormat="1" applyBorder="1" applyAlignment="1">
      <alignment horizontal="center"/>
    </xf>
    <xf numFmtId="14" fontId="2" fillId="0" borderId="6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13" xfId="0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11" fillId="0" borderId="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1" xfId="0" applyBorder="1" applyAlignment="1">
      <alignment horizontal="left"/>
    </xf>
    <xf numFmtId="0" fontId="11" fillId="0" borderId="4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5" fillId="0" borderId="1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0" fillId="0" borderId="0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3" xfId="0" applyBorder="1" applyAlignment="1">
      <alignment horizont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0" fontId="0" fillId="0" borderId="0" xfId="0" applyBorder="1" applyAlignment="1">
      <alignment horizontal="center" vertical="top"/>
    </xf>
    <xf numFmtId="0" fontId="12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3" borderId="4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/>
    </xf>
    <xf numFmtId="0" fontId="5" fillId="3" borderId="5" xfId="0" applyFont="1" applyFill="1" applyBorder="1" applyAlignment="1">
      <alignment horizontal="left" vertical="top"/>
    </xf>
    <xf numFmtId="0" fontId="5" fillId="3" borderId="6" xfId="0" applyFont="1" applyFill="1" applyBorder="1" applyAlignment="1">
      <alignment horizontal="left" vertical="top"/>
    </xf>
    <xf numFmtId="0" fontId="5" fillId="3" borderId="7" xfId="0" applyFont="1" applyFill="1" applyBorder="1" applyAlignment="1">
      <alignment horizontal="left" vertical="top"/>
    </xf>
    <xf numFmtId="0" fontId="5" fillId="3" borderId="8" xfId="0" applyFont="1" applyFill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0" fillId="0" borderId="16" xfId="0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left"/>
    </xf>
    <xf numFmtId="0" fontId="2" fillId="0" borderId="13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4" xfId="0" applyFont="1" applyBorder="1" applyAlignment="1">
      <alignment horizontal="left"/>
    </xf>
    <xf numFmtId="0" fontId="11" fillId="0" borderId="0" xfId="0" applyFont="1" applyAlignment="1">
      <alignment horizontal="center"/>
    </xf>
    <xf numFmtId="0" fontId="11" fillId="0" borderId="16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7" xfId="0" applyBorder="1" applyAlignment="1">
      <alignment horizontal="left"/>
    </xf>
    <xf numFmtId="0" fontId="0" fillId="0" borderId="0" xfId="0" applyAlignment="1">
      <alignment horizontal="left" wrapText="1"/>
    </xf>
    <xf numFmtId="0" fontId="13" fillId="0" borderId="0" xfId="0" applyFont="1" applyAlignment="1">
      <alignment horizontal="center"/>
    </xf>
    <xf numFmtId="0" fontId="18" fillId="0" borderId="25" xfId="0" applyFont="1" applyBorder="1" applyAlignment="1">
      <alignment horizontal="left" vertical="top" wrapText="1"/>
    </xf>
    <xf numFmtId="0" fontId="18" fillId="0" borderId="2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center" wrapText="1"/>
    </xf>
    <xf numFmtId="0" fontId="2" fillId="0" borderId="20" xfId="0" applyFont="1" applyBorder="1" applyAlignment="1">
      <alignment vertical="top" wrapText="1"/>
    </xf>
    <xf numFmtId="0" fontId="2" fillId="0" borderId="31" xfId="0" applyFont="1" applyBorder="1" applyAlignment="1">
      <alignment vertical="top" wrapText="1"/>
    </xf>
    <xf numFmtId="0" fontId="2" fillId="0" borderId="21" xfId="0" applyFont="1" applyBorder="1" applyAlignment="1">
      <alignment vertical="top" wrapText="1"/>
    </xf>
    <xf numFmtId="0" fontId="2" fillId="0" borderId="0" xfId="0" applyFont="1" applyBorder="1" applyAlignment="1">
      <alignment vertical="top" wrapText="1"/>
    </xf>
    <xf numFmtId="0" fontId="2" fillId="0" borderId="25" xfId="0" applyFont="1" applyBorder="1" applyAlignment="1">
      <alignment vertical="top" wrapText="1"/>
    </xf>
    <xf numFmtId="0" fontId="2" fillId="0" borderId="26" xfId="0" applyFont="1" applyBorder="1" applyAlignment="1">
      <alignment vertical="top" wrapText="1"/>
    </xf>
    <xf numFmtId="0" fontId="2" fillId="0" borderId="28" xfId="0" applyFont="1" applyBorder="1" applyAlignment="1">
      <alignment vertical="top" wrapText="1"/>
    </xf>
    <xf numFmtId="0" fontId="2" fillId="0" borderId="27" xfId="0" applyFont="1" applyBorder="1" applyAlignment="1">
      <alignment vertical="top" wrapText="1"/>
    </xf>
    <xf numFmtId="0" fontId="2" fillId="0" borderId="31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2" fillId="0" borderId="24" xfId="0" applyFont="1" applyBorder="1" applyAlignment="1">
      <alignment vertical="center" wrapText="1"/>
    </xf>
    <xf numFmtId="0" fontId="10" fillId="0" borderId="28" xfId="0" applyFont="1" applyBorder="1" applyAlignment="1">
      <alignment horizontal="center" vertical="center"/>
    </xf>
    <xf numFmtId="0" fontId="0" fillId="0" borderId="25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11" fillId="0" borderId="20" xfId="0" applyFont="1" applyBorder="1" applyAlignment="1">
      <alignment horizontal="left" vertical="center" wrapText="1"/>
    </xf>
    <xf numFmtId="0" fontId="11" fillId="0" borderId="21" xfId="0" applyFont="1" applyBorder="1" applyAlignment="1">
      <alignment horizontal="left" vertical="center" wrapText="1"/>
    </xf>
    <xf numFmtId="0" fontId="11" fillId="0" borderId="26" xfId="0" applyFont="1" applyBorder="1" applyAlignment="1">
      <alignment horizontal="left" vertical="center" wrapText="1"/>
    </xf>
    <xf numFmtId="0" fontId="11" fillId="0" borderId="27" xfId="0" applyFont="1" applyBorder="1" applyAlignment="1">
      <alignment horizontal="left" vertical="center" wrapText="1"/>
    </xf>
    <xf numFmtId="0" fontId="21" fillId="0" borderId="29" xfId="0" applyFont="1" applyBorder="1" applyAlignment="1">
      <alignment vertical="center" wrapText="1"/>
    </xf>
    <xf numFmtId="0" fontId="21" fillId="0" borderId="23" xfId="0" applyFont="1" applyBorder="1" applyAlignment="1">
      <alignment vertical="center" wrapText="1"/>
    </xf>
    <xf numFmtId="0" fontId="19" fillId="0" borderId="29" xfId="0" applyFont="1" applyBorder="1" applyAlignment="1">
      <alignment vertical="center" wrapText="1"/>
    </xf>
    <xf numFmtId="0" fontId="19" fillId="0" borderId="22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0" fillId="0" borderId="29" xfId="0" applyBorder="1" applyAlignment="1">
      <alignment horizontal="left" vertical="top" wrapText="1"/>
    </xf>
    <xf numFmtId="0" fontId="19" fillId="0" borderId="23" xfId="0" applyFont="1" applyBorder="1" applyAlignment="1">
      <alignment vertical="center" wrapText="1"/>
    </xf>
    <xf numFmtId="0" fontId="2" fillId="4" borderId="29" xfId="0" applyFont="1" applyFill="1" applyBorder="1" applyAlignment="1">
      <alignment vertical="center" wrapText="1"/>
    </xf>
    <xf numFmtId="0" fontId="2" fillId="4" borderId="22" xfId="0" applyFont="1" applyFill="1" applyBorder="1" applyAlignment="1">
      <alignment vertical="center" wrapText="1"/>
    </xf>
    <xf numFmtId="0" fontId="0" fillId="0" borderId="32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2" fillId="0" borderId="29" xfId="0" applyFont="1" applyBorder="1" applyAlignment="1">
      <alignment vertical="top" wrapText="1"/>
    </xf>
    <xf numFmtId="0" fontId="2" fillId="0" borderId="23" xfId="0" applyFont="1" applyBorder="1" applyAlignment="1">
      <alignment vertical="top" wrapText="1"/>
    </xf>
    <xf numFmtId="0" fontId="2" fillId="0" borderId="22" xfId="0" applyFont="1" applyBorder="1" applyAlignment="1">
      <alignment vertical="top" wrapText="1"/>
    </xf>
    <xf numFmtId="0" fontId="0" fillId="0" borderId="34" xfId="0" applyBorder="1" applyAlignment="1">
      <alignment horizontal="left" vertical="top" wrapText="1"/>
    </xf>
    <xf numFmtId="0" fontId="2" fillId="0" borderId="29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22" xfId="0" applyFont="1" applyBorder="1" applyAlignment="1">
      <alignment vertical="center" wrapText="1"/>
    </xf>
    <xf numFmtId="0" fontId="0" fillId="0" borderId="30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14" fontId="0" fillId="0" borderId="29" xfId="0" applyNumberFormat="1" applyBorder="1" applyAlignment="1">
      <alignment horizontal="left" vertical="center" wrapText="1"/>
    </xf>
    <xf numFmtId="0" fontId="0" fillId="0" borderId="20" xfId="0" applyBorder="1" applyAlignment="1">
      <alignment horizontal="left" vertical="top" wrapText="1"/>
    </xf>
    <xf numFmtId="0" fontId="0" fillId="0" borderId="29" xfId="0" applyBorder="1" applyAlignment="1">
      <alignment vertical="top"/>
    </xf>
    <xf numFmtId="0" fontId="0" fillId="0" borderId="22" xfId="0" applyBorder="1" applyAlignment="1">
      <alignment vertical="top"/>
    </xf>
    <xf numFmtId="168" fontId="0" fillId="0" borderId="27" xfId="0" applyNumberForma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4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 wrapText="1"/>
    </xf>
    <xf numFmtId="0" fontId="17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0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vertical="center" wrapText="1"/>
    </xf>
    <xf numFmtId="0" fontId="0" fillId="0" borderId="38" xfId="0" applyBorder="1" applyAlignment="1">
      <alignment horizontal="left" vertical="center" wrapText="1"/>
    </xf>
    <xf numFmtId="0" fontId="18" fillId="0" borderId="4" xfId="0" applyFont="1" applyBorder="1" applyAlignment="1">
      <alignment horizontal="left" vertical="top" wrapText="1"/>
    </xf>
    <xf numFmtId="14" fontId="0" fillId="0" borderId="38" xfId="0" applyNumberFormat="1" applyBorder="1" applyAlignment="1">
      <alignment horizontal="left" vertical="center" wrapText="1"/>
    </xf>
    <xf numFmtId="0" fontId="18" fillId="0" borderId="36" xfId="0" applyFont="1" applyBorder="1" applyAlignment="1">
      <alignment horizontal="left" vertical="top" wrapText="1"/>
    </xf>
    <xf numFmtId="0" fontId="0" fillId="0" borderId="39" xfId="0" applyBorder="1" applyAlignment="1">
      <alignment horizontal="left" vertical="center" wrapText="1"/>
    </xf>
    <xf numFmtId="0" fontId="0" fillId="0" borderId="40" xfId="0" applyBorder="1" applyAlignment="1">
      <alignment horizontal="left" vertical="top" wrapText="1"/>
    </xf>
    <xf numFmtId="0" fontId="0" fillId="0" borderId="41" xfId="0" applyBorder="1" applyAlignment="1">
      <alignment horizontal="left" vertical="top" wrapText="1"/>
    </xf>
    <xf numFmtId="0" fontId="0" fillId="0" borderId="42" xfId="0" applyBorder="1" applyAlignment="1">
      <alignment horizontal="left" vertical="top" wrapText="1"/>
    </xf>
    <xf numFmtId="0" fontId="0" fillId="0" borderId="38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36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19" fillId="0" borderId="45" xfId="0" applyFont="1" applyBorder="1" applyAlignment="1">
      <alignment vertical="center" wrapText="1"/>
    </xf>
    <xf numFmtId="0" fontId="19" fillId="0" borderId="38" xfId="0" applyFont="1" applyBorder="1" applyAlignment="1">
      <alignment vertical="center" wrapText="1"/>
    </xf>
    <xf numFmtId="0" fontId="20" fillId="4" borderId="46" xfId="0" applyFont="1" applyFill="1" applyBorder="1" applyAlignment="1">
      <alignment horizontal="center" vertical="center" wrapText="1"/>
    </xf>
    <xf numFmtId="0" fontId="2" fillId="4" borderId="44" xfId="0" applyFont="1" applyFill="1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168" fontId="0" fillId="0" borderId="44" xfId="0" applyNumberFormat="1" applyBorder="1" applyAlignment="1">
      <alignment horizontal="center" vertical="center" wrapText="1"/>
    </xf>
    <xf numFmtId="0" fontId="19" fillId="0" borderId="47" xfId="0" applyFont="1" applyBorder="1" applyAlignment="1">
      <alignment vertical="center" wrapText="1"/>
    </xf>
    <xf numFmtId="0" fontId="19" fillId="0" borderId="44" xfId="0" applyFont="1" applyBorder="1" applyAlignment="1">
      <alignment vertical="center" wrapText="1"/>
    </xf>
    <xf numFmtId="168" fontId="11" fillId="0" borderId="48" xfId="0" applyNumberFormat="1" applyFon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168" fontId="11" fillId="0" borderId="49" xfId="0" applyNumberFormat="1" applyFont="1" applyBorder="1" applyAlignment="1">
      <alignment horizontal="center" vertical="center" wrapText="1"/>
    </xf>
    <xf numFmtId="0" fontId="21" fillId="0" borderId="38" xfId="0" applyFont="1" applyBorder="1" applyAlignment="1">
      <alignment vertical="center" wrapText="1"/>
    </xf>
    <xf numFmtId="168" fontId="11" fillId="0" borderId="5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vertical="top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top" wrapText="1"/>
    </xf>
    <xf numFmtId="0" fontId="2" fillId="0" borderId="7" xfId="0" applyFont="1" applyBorder="1" applyAlignment="1">
      <alignment vertical="top" wrapText="1"/>
    </xf>
    <xf numFmtId="0" fontId="2" fillId="0" borderId="50" xfId="0" applyFont="1" applyBorder="1" applyAlignment="1">
      <alignment vertical="top" wrapText="1"/>
    </xf>
    <xf numFmtId="0" fontId="2" fillId="0" borderId="51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2" fillId="0" borderId="8" xfId="0" applyFont="1" applyBorder="1" applyAlignment="1">
      <alignment vertical="center" wrapText="1"/>
    </xf>
    <xf numFmtId="0" fontId="10" fillId="0" borderId="44" xfId="0" applyFont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3">
    <dxf>
      <fill>
        <patternFill>
          <bgColor rgb="FFFF0000"/>
        </patternFill>
      </fill>
    </dxf>
    <dxf>
      <numFmt numFmtId="0" formatCode="General"/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2.wdp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38101</xdr:colOff>
      <xdr:row>40</xdr:row>
      <xdr:rowOff>5644</xdr:rowOff>
    </xdr:from>
    <xdr:to>
      <xdr:col>8</xdr:col>
      <xdr:colOff>525780</xdr:colOff>
      <xdr:row>42</xdr:row>
      <xdr:rowOff>85343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9041" y="7778044"/>
          <a:ext cx="1889759" cy="552139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</xdr:row>
      <xdr:rowOff>9525</xdr:rowOff>
    </xdr:from>
    <xdr:to>
      <xdr:col>3</xdr:col>
      <xdr:colOff>304957</xdr:colOff>
      <xdr:row>3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211B641-D598-4441-8B69-557D534AC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6" y="400050"/>
          <a:ext cx="914556" cy="371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266701</xdr:colOff>
      <xdr:row>42</xdr:row>
      <xdr:rowOff>157880</xdr:rowOff>
    </xdr:from>
    <xdr:to>
      <xdr:col>9</xdr:col>
      <xdr:colOff>114301</xdr:colOff>
      <xdr:row>45</xdr:row>
      <xdr:rowOff>49530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060A20-9546-417D-958D-131B4B64B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5326" y="8425580"/>
          <a:ext cx="1066800" cy="463150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600075</xdr:colOff>
      <xdr:row>1</xdr:row>
      <xdr:rowOff>19050</xdr:rowOff>
    </xdr:from>
    <xdr:to>
      <xdr:col>3</xdr:col>
      <xdr:colOff>295431</xdr:colOff>
      <xdr:row>2</xdr:row>
      <xdr:rowOff>200025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F04F41F-4D25-49AC-B4CB-D56338ECE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5" y="295275"/>
          <a:ext cx="914556" cy="371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43</xdr:row>
      <xdr:rowOff>7620</xdr:rowOff>
    </xdr:from>
    <xdr:to>
      <xdr:col>2</xdr:col>
      <xdr:colOff>211455</xdr:colOff>
      <xdr:row>45</xdr:row>
      <xdr:rowOff>175260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397044-EF3F-456F-B5F1-87A9DE8B8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8237220"/>
          <a:ext cx="1402080" cy="5486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33</xdr:row>
      <xdr:rowOff>38099</xdr:rowOff>
    </xdr:from>
    <xdr:to>
      <xdr:col>2</xdr:col>
      <xdr:colOff>333375</xdr:colOff>
      <xdr:row>35</xdr:row>
      <xdr:rowOff>171449</xdr:rowOff>
    </xdr:to>
    <xdr:pic>
      <xdr:nvPicPr>
        <xdr:cNvPr id="2" name="Image 2">
          <a:extLst>
            <a:ext uri="{FF2B5EF4-FFF2-40B4-BE49-F238E27FC236}">
              <a16:creationId xmlns:a16="http://schemas.microsoft.com/office/drawing/2014/main" id="{A2D6470D-AC1B-4ACB-A6AD-DB008164545A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9944099"/>
          <a:ext cx="1276350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180976</xdr:colOff>
      <xdr:row>0</xdr:row>
      <xdr:rowOff>38100</xdr:rowOff>
    </xdr:from>
    <xdr:to>
      <xdr:col>1</xdr:col>
      <xdr:colOff>942976</xdr:colOff>
      <xdr:row>1</xdr:row>
      <xdr:rowOff>247650</xdr:rowOff>
    </xdr:to>
    <xdr:pic>
      <xdr:nvPicPr>
        <xdr:cNvPr id="3" name="Image 1">
          <a:extLst>
            <a:ext uri="{FF2B5EF4-FFF2-40B4-BE49-F238E27FC236}">
              <a16:creationId xmlns:a16="http://schemas.microsoft.com/office/drawing/2014/main" id="{D6AE2DFE-0FD0-4B5A-926B-8BEA87F15A16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38100"/>
          <a:ext cx="1371600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748B-8537-47B8-8E12-C840F354FB77}">
  <dimension ref="A1:E4"/>
  <sheetViews>
    <sheetView workbookViewId="0">
      <selection activeCell="D15" sqref="D15"/>
    </sheetView>
  </sheetViews>
  <sheetFormatPr defaultRowHeight="15" x14ac:dyDescent="0.25"/>
  <cols>
    <col min="1" max="1" width="12.85546875" bestFit="1" customWidth="1"/>
    <col min="2" max="2" width="18" bestFit="1" customWidth="1"/>
    <col min="3" max="4" width="16.28515625" bestFit="1" customWidth="1"/>
    <col min="5" max="5" width="39.28515625" bestFit="1" customWidth="1"/>
  </cols>
  <sheetData>
    <row r="1" spans="1:5" x14ac:dyDescent="0.25">
      <c r="A1" s="61" t="s">
        <v>134</v>
      </c>
      <c r="B1" s="61" t="s">
        <v>137</v>
      </c>
      <c r="C1" s="61" t="s">
        <v>138</v>
      </c>
      <c r="D1" s="61" t="s">
        <v>139</v>
      </c>
      <c r="E1" s="61" t="s">
        <v>140</v>
      </c>
    </row>
    <row r="2" spans="1:5" x14ac:dyDescent="0.25">
      <c r="A2" t="s">
        <v>135</v>
      </c>
      <c r="B2" t="s">
        <v>153</v>
      </c>
      <c r="C2" t="s">
        <v>44</v>
      </c>
      <c r="D2" t="s">
        <v>143</v>
      </c>
      <c r="E2" t="s">
        <v>145</v>
      </c>
    </row>
    <row r="3" spans="1:5" x14ac:dyDescent="0.25">
      <c r="B3" t="s">
        <v>141</v>
      </c>
      <c r="D3" t="s">
        <v>151</v>
      </c>
      <c r="E3" t="s">
        <v>142</v>
      </c>
    </row>
    <row r="4" spans="1:5" x14ac:dyDescent="0.25">
      <c r="B4" t="s">
        <v>144</v>
      </c>
      <c r="E4" t="s">
        <v>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B405-F159-4F2F-BE46-DA8DF94EA93F}">
  <sheetPr codeName="Sheet1"/>
  <dimension ref="A1:N27"/>
  <sheetViews>
    <sheetView workbookViewId="0">
      <selection activeCell="F8" sqref="F8"/>
    </sheetView>
  </sheetViews>
  <sheetFormatPr defaultRowHeight="15" x14ac:dyDescent="0.25"/>
  <cols>
    <col min="1" max="1" width="20.28515625" style="78" bestFit="1" customWidth="1"/>
    <col min="2" max="2" width="39.5703125" style="77" customWidth="1"/>
    <col min="3" max="16384" width="9.140625" style="78"/>
  </cols>
  <sheetData>
    <row r="1" spans="1:14" x14ac:dyDescent="0.25">
      <c r="A1" s="76" t="s">
        <v>136</v>
      </c>
    </row>
    <row r="2" spans="1:14" x14ac:dyDescent="0.25">
      <c r="A2" s="76" t="s">
        <v>147</v>
      </c>
      <c r="B2" s="79"/>
    </row>
    <row r="3" spans="1:14" x14ac:dyDescent="0.25">
      <c r="A3" s="76" t="s">
        <v>148</v>
      </c>
      <c r="B3" s="75" t="str">
        <f>"BK0" &amp; B2 &amp; "/" &amp; B1</f>
        <v>BK0/</v>
      </c>
    </row>
    <row r="4" spans="1:14" x14ac:dyDescent="0.25">
      <c r="A4" s="76" t="s">
        <v>84</v>
      </c>
      <c r="B4" s="80"/>
    </row>
    <row r="5" spans="1:14" x14ac:dyDescent="0.25">
      <c r="A5" s="76" t="s">
        <v>132</v>
      </c>
      <c r="B5" s="85" t="str">
        <f>IF(B1="24-25","AD240424008317F",IF(B1="23-24","AD240322004861M",IF(B1="","select the financial year")))</f>
        <v>select the financial year</v>
      </c>
    </row>
    <row r="6" spans="1:14" ht="15" customHeight="1" x14ac:dyDescent="0.25">
      <c r="A6" s="95" t="s">
        <v>85</v>
      </c>
      <c r="B6" s="94"/>
      <c r="C6" s="81"/>
      <c r="D6" s="81"/>
      <c r="E6" s="81"/>
      <c r="F6" s="81"/>
    </row>
    <row r="7" spans="1:14" ht="30" customHeight="1" x14ac:dyDescent="0.25">
      <c r="A7" s="95"/>
      <c r="B7" s="94"/>
      <c r="C7" s="81"/>
      <c r="D7" s="81"/>
      <c r="E7" s="81"/>
      <c r="F7" s="81"/>
    </row>
    <row r="8" spans="1:14" ht="35.25" customHeight="1" x14ac:dyDescent="0.25">
      <c r="A8" s="95"/>
      <c r="B8" s="94"/>
      <c r="C8" s="81"/>
      <c r="D8" s="81"/>
      <c r="E8" s="81"/>
      <c r="F8" s="81"/>
    </row>
    <row r="9" spans="1:14" x14ac:dyDescent="0.25">
      <c r="A9" s="95"/>
      <c r="B9" s="94"/>
      <c r="C9" s="81"/>
      <c r="D9" s="81"/>
      <c r="E9" s="81"/>
      <c r="F9" s="81"/>
      <c r="N9" s="82"/>
    </row>
    <row r="10" spans="1:14" x14ac:dyDescent="0.25">
      <c r="A10" s="95"/>
      <c r="B10" s="94"/>
      <c r="C10" s="81"/>
      <c r="D10" s="81"/>
      <c r="E10" s="81"/>
      <c r="F10" s="81"/>
    </row>
    <row r="11" spans="1:14" ht="34.5" customHeight="1" x14ac:dyDescent="0.25">
      <c r="A11" s="95"/>
      <c r="B11" s="94"/>
      <c r="C11" s="81"/>
      <c r="D11" s="81"/>
      <c r="E11" s="81"/>
      <c r="F11" s="81"/>
    </row>
    <row r="12" spans="1:14" ht="34.5" customHeight="1" x14ac:dyDescent="0.25">
      <c r="A12" s="89" t="s">
        <v>152</v>
      </c>
      <c r="B12" s="88"/>
      <c r="C12" s="81"/>
      <c r="D12" s="81"/>
      <c r="E12" s="81"/>
      <c r="F12" s="81"/>
    </row>
    <row r="13" spans="1:14" x14ac:dyDescent="0.25">
      <c r="A13" s="76" t="s">
        <v>130</v>
      </c>
      <c r="C13" s="77"/>
      <c r="D13" s="77"/>
      <c r="E13" s="77"/>
      <c r="F13" s="77"/>
    </row>
    <row r="14" spans="1:14" x14ac:dyDescent="0.25">
      <c r="A14" s="76" t="s">
        <v>131</v>
      </c>
      <c r="C14" s="77"/>
      <c r="D14" s="77"/>
      <c r="E14" s="77"/>
      <c r="F14" s="77"/>
    </row>
    <row r="15" spans="1:14" x14ac:dyDescent="0.25">
      <c r="A15" s="76" t="s">
        <v>126</v>
      </c>
    </row>
    <row r="16" spans="1:14" x14ac:dyDescent="0.25">
      <c r="A16" s="76" t="s">
        <v>127</v>
      </c>
    </row>
    <row r="17" spans="1:1" x14ac:dyDescent="0.25">
      <c r="A17" s="76" t="s">
        <v>86</v>
      </c>
    </row>
    <row r="18" spans="1:1" ht="30" x14ac:dyDescent="0.25">
      <c r="A18" s="83" t="s">
        <v>21</v>
      </c>
    </row>
    <row r="19" spans="1:1" x14ac:dyDescent="0.25">
      <c r="A19" s="83" t="s">
        <v>26</v>
      </c>
    </row>
    <row r="20" spans="1:1" x14ac:dyDescent="0.25">
      <c r="A20" s="83" t="s">
        <v>27</v>
      </c>
    </row>
    <row r="21" spans="1:1" x14ac:dyDescent="0.25">
      <c r="A21" s="83" t="s">
        <v>28</v>
      </c>
    </row>
    <row r="22" spans="1:1" ht="30" x14ac:dyDescent="0.25">
      <c r="A22" s="84" t="s">
        <v>24</v>
      </c>
    </row>
    <row r="23" spans="1:1" x14ac:dyDescent="0.25">
      <c r="A23" s="76" t="s">
        <v>45</v>
      </c>
    </row>
    <row r="24" spans="1:1" x14ac:dyDescent="0.25">
      <c r="A24" s="76" t="s">
        <v>46</v>
      </c>
    </row>
    <row r="25" spans="1:1" x14ac:dyDescent="0.25">
      <c r="A25" s="76" t="s">
        <v>87</v>
      </c>
    </row>
    <row r="26" spans="1:1" x14ac:dyDescent="0.25">
      <c r="A26" s="78" t="s">
        <v>33</v>
      </c>
    </row>
    <row r="27" spans="1:1" x14ac:dyDescent="0.25">
      <c r="A27" s="76"/>
    </row>
  </sheetData>
  <sheetProtection algorithmName="SHA-512" hashValue="HgOt/jB0qbLWRmcvgd5bl3zPQXgZnm3qzPcWrhj6JWaJGDTumKrg7q8XSulMhYbX7185j8jPdltSnnBTRldZbA==" saltValue="WaPOpHnBSLYf38+Tj4Rfxg==" spinCount="100000" sheet="1" objects="1" scenarios="1"/>
  <mergeCells count="2">
    <mergeCell ref="B6:B11"/>
    <mergeCell ref="A6:A11"/>
  </mergeCells>
  <conditionalFormatting sqref="B1:B26">
    <cfRule type="containsBlanks" dxfId="2" priority="3">
      <formula>LEN(TRIM(B1))=0</formula>
    </cfRule>
  </conditionalFormatting>
  <conditionalFormatting sqref="B5">
    <cfRule type="containsText" dxfId="1" priority="1" operator="containsText" text="FALSE">
      <formula>NOT(ISERROR(SEARCH("FALSE",B5)))</formula>
    </cfRule>
    <cfRule type="containsText" dxfId="0" priority="2" operator="containsText" text="select the financial year">
      <formula>NOT(ISERROR(SEARCH("select the financial year",B5)))</formula>
    </cfRule>
  </conditionalFormatting>
  <dataValidations count="3">
    <dataValidation type="decimal" allowBlank="1" showInputMessage="1" showErrorMessage="1" prompt="kindly enter numeric values only" sqref="B24:B26" xr:uid="{25D7E45D-D7ED-4747-9F75-04482F4C17A3}">
      <formula1>0</formula1>
      <formula2>9999999999</formula2>
    </dataValidation>
    <dataValidation type="date" operator="greaterThan" allowBlank="1" showInputMessage="1" showErrorMessage="1" prompt="kindly enter date" sqref="B4" xr:uid="{8AC4F205-955D-4632-AF8C-5BA0103398BB}">
      <formula1>44927</formula1>
    </dataValidation>
    <dataValidation type="whole" allowBlank="1" showInputMessage="1" showErrorMessage="1" sqref="B12" xr:uid="{9AF38294-B95E-4253-AF7D-ECE973050793}">
      <formula1>1</formula1>
      <formula2>100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621EB73-C21C-4C3D-B068-B91248CCADC1}">
          <x14:formula1>
            <xm:f>'company data'!$A$2:$A$7</xm:f>
          </x14:formula1>
          <xm:sqref>B1</xm:sqref>
        </x14:dataValidation>
        <x14:dataValidation type="list" allowBlank="1" showInputMessage="1" showErrorMessage="1" xr:uid="{E6999424-146D-410B-899C-9A2043D27F9E}">
          <x14:formula1>
            <xm:f>'company data'!$B$2:$B$13</xm:f>
          </x14:formula1>
          <xm:sqref>B13</xm:sqref>
        </x14:dataValidation>
        <x14:dataValidation type="list" allowBlank="1" showInputMessage="1" showErrorMessage="1" xr:uid="{09DC2243-DC43-4B0E-829F-0E9D570E5302}">
          <x14:formula1>
            <xm:f>'company data'!$C$2:$C$16</xm:f>
          </x14:formula1>
          <xm:sqref>B14</xm:sqref>
        </x14:dataValidation>
        <x14:dataValidation type="list" allowBlank="1" showInputMessage="1" showErrorMessage="1" xr:uid="{9F43AC56-5DB6-4236-A38F-5BC2334846D6}">
          <x14:formula1>
            <xm:f>'company data'!$D$2:$D$23</xm:f>
          </x14:formula1>
          <xm:sqref>B15</xm:sqref>
        </x14:dataValidation>
        <x14:dataValidation type="list" allowBlank="1" showInputMessage="1" showErrorMessage="1" xr:uid="{EE0243DC-B499-494D-88B6-7DEE13915349}">
          <x14:formula1>
            <xm:f>'company data'!$E$2:$E$18</xm:f>
          </x14:formula1>
          <xm:sqref>B16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44"/>
  <sheetViews>
    <sheetView workbookViewId="0">
      <selection activeCell="N9" sqref="N9"/>
    </sheetView>
  </sheetViews>
  <sheetFormatPr defaultRowHeight="15" x14ac:dyDescent="0.25"/>
  <cols>
    <col min="1" max="1" width="8.7109375" customWidth="1"/>
    <col min="2" max="2" width="8.28515625" customWidth="1"/>
    <col min="4" max="4" width="18.28515625" customWidth="1"/>
    <col min="6" max="6" width="6.5703125" customWidth="1"/>
    <col min="7" max="7" width="4.7109375" customWidth="1"/>
    <col min="8" max="8" width="9.28515625" customWidth="1"/>
    <col min="10" max="10" width="6.5703125" customWidth="1"/>
  </cols>
  <sheetData>
    <row r="1" spans="1:10" x14ac:dyDescent="0.25">
      <c r="A1" s="127" t="s">
        <v>40</v>
      </c>
      <c r="B1" s="128"/>
      <c r="C1" s="128"/>
      <c r="D1" s="128"/>
      <c r="E1" s="128"/>
      <c r="F1" s="128"/>
      <c r="G1" s="128"/>
      <c r="H1" s="128"/>
      <c r="I1" s="128"/>
      <c r="J1" s="128"/>
    </row>
    <row r="2" spans="1:10" ht="15.75" thickBot="1" x14ac:dyDescent="0.3">
      <c r="A2" s="129"/>
      <c r="B2" s="129"/>
      <c r="C2" s="129"/>
      <c r="D2" s="129"/>
      <c r="E2" s="129"/>
      <c r="F2" s="129"/>
      <c r="G2" s="129"/>
      <c r="H2" s="129"/>
      <c r="I2" s="129"/>
      <c r="J2" s="129"/>
    </row>
    <row r="3" spans="1:10" x14ac:dyDescent="0.25">
      <c r="A3" s="9" t="s">
        <v>0</v>
      </c>
      <c r="B3" s="1"/>
      <c r="C3" s="1"/>
      <c r="D3" s="2"/>
      <c r="E3" s="138" t="s">
        <v>7</v>
      </c>
      <c r="F3" s="143"/>
      <c r="G3" s="139"/>
      <c r="H3" s="138" t="s">
        <v>8</v>
      </c>
      <c r="I3" s="143"/>
      <c r="J3" s="139"/>
    </row>
    <row r="4" spans="1:10" ht="15.75" thickBot="1" x14ac:dyDescent="0.3">
      <c r="A4" s="3" t="s">
        <v>1</v>
      </c>
      <c r="B4" s="4"/>
      <c r="C4" s="4"/>
      <c r="D4" s="5"/>
      <c r="E4" s="110" t="str">
        <f>'input data'!B3</f>
        <v>BK0/</v>
      </c>
      <c r="F4" s="126"/>
      <c r="G4" s="111"/>
      <c r="H4" s="157">
        <f>'input data'!B4</f>
        <v>0</v>
      </c>
      <c r="I4" s="126"/>
      <c r="J4" s="111"/>
    </row>
    <row r="5" spans="1:10" x14ac:dyDescent="0.25">
      <c r="A5" s="10" t="s">
        <v>2</v>
      </c>
      <c r="B5" s="4"/>
      <c r="C5" s="4"/>
      <c r="D5" s="5"/>
      <c r="E5" s="138" t="s">
        <v>17</v>
      </c>
      <c r="F5" s="143"/>
      <c r="G5" s="139"/>
      <c r="H5" s="138" t="s">
        <v>9</v>
      </c>
      <c r="I5" s="143"/>
      <c r="J5" s="139"/>
    </row>
    <row r="6" spans="1:10" ht="15.75" thickBot="1" x14ac:dyDescent="0.3">
      <c r="A6" s="10" t="s">
        <v>4</v>
      </c>
      <c r="B6" s="4"/>
      <c r="C6" s="4"/>
      <c r="D6" s="5"/>
      <c r="E6" s="110"/>
      <c r="F6" s="126"/>
      <c r="G6" s="111"/>
      <c r="H6" s="158" t="str">
        <f>'input data'!B5</f>
        <v>select the financial year</v>
      </c>
      <c r="I6" s="159"/>
      <c r="J6" s="141"/>
    </row>
    <row r="7" spans="1:10" x14ac:dyDescent="0.25">
      <c r="A7" s="10" t="s">
        <v>3</v>
      </c>
      <c r="B7" s="4"/>
      <c r="C7" s="4"/>
      <c r="D7" s="5"/>
      <c r="E7" s="138" t="s">
        <v>16</v>
      </c>
      <c r="F7" s="143"/>
      <c r="G7" s="139"/>
      <c r="H7" s="138" t="s">
        <v>10</v>
      </c>
      <c r="I7" s="143"/>
      <c r="J7" s="139"/>
    </row>
    <row r="8" spans="1:10" ht="15.75" thickBot="1" x14ac:dyDescent="0.3">
      <c r="A8" s="11" t="s">
        <v>41</v>
      </c>
      <c r="B8" s="4"/>
      <c r="C8" s="4"/>
      <c r="D8" s="5"/>
      <c r="E8" s="110" t="s">
        <v>12</v>
      </c>
      <c r="F8" s="126"/>
      <c r="G8" s="111"/>
      <c r="H8" s="140" t="s">
        <v>11</v>
      </c>
      <c r="I8" s="159"/>
      <c r="J8" s="141"/>
    </row>
    <row r="9" spans="1:10" x14ac:dyDescent="0.25">
      <c r="A9" s="12" t="s">
        <v>5</v>
      </c>
      <c r="B9" s="4"/>
      <c r="C9" s="4"/>
      <c r="D9" s="5"/>
      <c r="E9" s="138" t="s">
        <v>18</v>
      </c>
      <c r="F9" s="143"/>
      <c r="G9" s="139"/>
      <c r="H9" s="138" t="s">
        <v>43</v>
      </c>
      <c r="I9" s="143"/>
      <c r="J9" s="139"/>
    </row>
    <row r="10" spans="1:10" ht="15.75" thickBot="1" x14ac:dyDescent="0.3">
      <c r="A10" s="12" t="s">
        <v>6</v>
      </c>
      <c r="B10" s="4"/>
      <c r="C10" s="4"/>
      <c r="D10" s="5"/>
      <c r="E10" s="106">
        <f>'input data'!B13</f>
        <v>0</v>
      </c>
      <c r="F10" s="121"/>
      <c r="G10" s="107"/>
      <c r="H10" s="106" t="str">
        <f>'input data'!B12 &amp; " " &amp; 'input data'!B14</f>
        <v xml:space="preserve"> </v>
      </c>
      <c r="I10" s="121"/>
      <c r="J10" s="107"/>
    </row>
    <row r="11" spans="1:10" ht="15.75" thickBot="1" x14ac:dyDescent="0.3">
      <c r="A11" s="96" t="s">
        <v>13</v>
      </c>
      <c r="B11" s="124"/>
      <c r="C11" s="124"/>
      <c r="D11" s="125"/>
      <c r="E11" s="179" t="s">
        <v>124</v>
      </c>
      <c r="F11" s="173"/>
      <c r="G11" s="174"/>
      <c r="H11" s="173" t="s">
        <v>125</v>
      </c>
      <c r="I11" s="173"/>
      <c r="J11" s="174"/>
    </row>
    <row r="12" spans="1:10" ht="15" customHeight="1" x14ac:dyDescent="0.25">
      <c r="A12" s="186" t="s">
        <v>14</v>
      </c>
      <c r="B12" s="187"/>
      <c r="C12" s="187"/>
      <c r="D12" s="188"/>
      <c r="E12" s="180">
        <f>'input data'!B15</f>
        <v>0</v>
      </c>
      <c r="F12" s="181"/>
      <c r="G12" s="182"/>
      <c r="H12" s="175">
        <f>'input data'!B16</f>
        <v>0</v>
      </c>
      <c r="I12" s="175"/>
      <c r="J12" s="176"/>
    </row>
    <row r="13" spans="1:10" ht="15.75" thickBot="1" x14ac:dyDescent="0.3">
      <c r="A13" s="3"/>
      <c r="B13" s="4"/>
      <c r="C13" s="4"/>
      <c r="D13" s="5"/>
      <c r="E13" s="183"/>
      <c r="F13" s="184"/>
      <c r="G13" s="185"/>
      <c r="H13" s="177"/>
      <c r="I13" s="177"/>
      <c r="J13" s="178"/>
    </row>
    <row r="14" spans="1:10" x14ac:dyDescent="0.25">
      <c r="A14" s="9" t="s">
        <v>15</v>
      </c>
      <c r="B14" s="1"/>
      <c r="C14" s="1"/>
      <c r="D14" s="2"/>
      <c r="E14" s="171" t="s">
        <v>123</v>
      </c>
      <c r="F14" s="131"/>
      <c r="G14" s="131"/>
      <c r="H14" s="131"/>
      <c r="I14" s="131"/>
      <c r="J14" s="132"/>
    </row>
    <row r="15" spans="1:10" x14ac:dyDescent="0.25">
      <c r="A15" s="164">
        <f>'input data'!B6</f>
        <v>0</v>
      </c>
      <c r="B15" s="165"/>
      <c r="C15" s="165"/>
      <c r="D15" s="166"/>
      <c r="E15" s="133"/>
      <c r="F15" s="134"/>
      <c r="G15" s="134"/>
      <c r="H15" s="134"/>
      <c r="I15" s="134"/>
      <c r="J15" s="135"/>
    </row>
    <row r="16" spans="1:10" x14ac:dyDescent="0.25">
      <c r="A16" s="167"/>
      <c r="B16" s="165"/>
      <c r="C16" s="165"/>
      <c r="D16" s="166"/>
      <c r="E16" s="133"/>
      <c r="F16" s="134"/>
      <c r="G16" s="134"/>
      <c r="H16" s="134"/>
      <c r="I16" s="134"/>
      <c r="J16" s="135"/>
    </row>
    <row r="17" spans="1:10" x14ac:dyDescent="0.25">
      <c r="A17" s="167"/>
      <c r="B17" s="165"/>
      <c r="C17" s="165"/>
      <c r="D17" s="166"/>
      <c r="E17" s="133"/>
      <c r="F17" s="134"/>
      <c r="G17" s="134"/>
      <c r="H17" s="134"/>
      <c r="I17" s="134"/>
      <c r="J17" s="135"/>
    </row>
    <row r="18" spans="1:10" x14ac:dyDescent="0.25">
      <c r="A18" s="167"/>
      <c r="B18" s="165"/>
      <c r="C18" s="165"/>
      <c r="D18" s="166"/>
      <c r="E18" s="133"/>
      <c r="F18" s="134"/>
      <c r="G18" s="134"/>
      <c r="H18" s="134"/>
      <c r="I18" s="134"/>
      <c r="J18" s="135"/>
    </row>
    <row r="19" spans="1:10" x14ac:dyDescent="0.25">
      <c r="A19" s="167"/>
      <c r="B19" s="165"/>
      <c r="C19" s="165"/>
      <c r="D19" s="166"/>
      <c r="E19" s="133"/>
      <c r="F19" s="134"/>
      <c r="G19" s="134"/>
      <c r="H19" s="134"/>
      <c r="I19" s="134"/>
      <c r="J19" s="135"/>
    </row>
    <row r="20" spans="1:10" ht="33.75" customHeight="1" thickBot="1" x14ac:dyDescent="0.3">
      <c r="A20" s="168"/>
      <c r="B20" s="169"/>
      <c r="C20" s="169"/>
      <c r="D20" s="170"/>
      <c r="E20" s="155"/>
      <c r="F20" s="172"/>
      <c r="G20" s="172"/>
      <c r="H20" s="172"/>
      <c r="I20" s="172"/>
      <c r="J20" s="156"/>
    </row>
    <row r="21" spans="1:10" x14ac:dyDescent="0.25">
      <c r="A21" s="142" t="s">
        <v>19</v>
      </c>
      <c r="B21" s="149"/>
      <c r="C21" s="142" t="s">
        <v>21</v>
      </c>
      <c r="D21" s="149"/>
      <c r="E21" s="142" t="s">
        <v>22</v>
      </c>
      <c r="F21" s="143"/>
      <c r="G21" s="139"/>
      <c r="H21" s="142" t="s">
        <v>24</v>
      </c>
      <c r="I21" s="148"/>
      <c r="J21" s="149"/>
    </row>
    <row r="22" spans="1:10" ht="14.45" customHeight="1" x14ac:dyDescent="0.25">
      <c r="A22" s="162" t="s">
        <v>20</v>
      </c>
      <c r="B22" s="163"/>
      <c r="C22" s="133">
        <f>'input data'!B18</f>
        <v>0</v>
      </c>
      <c r="D22" s="135"/>
      <c r="E22" s="144" t="s">
        <v>23</v>
      </c>
      <c r="F22" s="145"/>
      <c r="G22" s="114"/>
      <c r="H22" s="144">
        <f>'input data'!B22</f>
        <v>0</v>
      </c>
      <c r="I22" s="150"/>
      <c r="J22" s="151"/>
    </row>
    <row r="23" spans="1:10" ht="15" customHeight="1" thickBot="1" x14ac:dyDescent="0.3">
      <c r="A23" s="160"/>
      <c r="B23" s="161"/>
      <c r="C23" s="155"/>
      <c r="D23" s="156"/>
      <c r="E23" s="146"/>
      <c r="F23" s="129"/>
      <c r="G23" s="147"/>
      <c r="H23" s="152"/>
      <c r="I23" s="153"/>
      <c r="J23" s="154"/>
    </row>
    <row r="24" spans="1:10" x14ac:dyDescent="0.25">
      <c r="A24" s="138" t="s">
        <v>25</v>
      </c>
      <c r="B24" s="139"/>
      <c r="C24" s="143" t="s">
        <v>26</v>
      </c>
      <c r="D24" s="139"/>
      <c r="E24" s="138" t="s">
        <v>27</v>
      </c>
      <c r="F24" s="143"/>
      <c r="G24" s="139"/>
      <c r="H24" s="143" t="s">
        <v>28</v>
      </c>
      <c r="I24" s="143"/>
      <c r="J24" s="139"/>
    </row>
    <row r="25" spans="1:10" ht="15.75" thickBot="1" x14ac:dyDescent="0.3">
      <c r="A25" s="110"/>
      <c r="B25" s="111"/>
      <c r="C25" s="140">
        <f>'input data'!B19</f>
        <v>0</v>
      </c>
      <c r="D25" s="141"/>
      <c r="E25" s="140">
        <f>'input data'!B20</f>
        <v>0</v>
      </c>
      <c r="F25" s="159"/>
      <c r="G25" s="141"/>
      <c r="H25" s="140">
        <f>'input data'!B21</f>
        <v>0</v>
      </c>
      <c r="I25" s="159"/>
      <c r="J25" s="141"/>
    </row>
    <row r="26" spans="1:10" x14ac:dyDescent="0.25">
      <c r="A26" s="136" t="s">
        <v>51</v>
      </c>
      <c r="B26" s="130" t="s">
        <v>29</v>
      </c>
      <c r="C26" s="131"/>
      <c r="D26" s="132"/>
      <c r="E26" s="136" t="s">
        <v>30</v>
      </c>
      <c r="F26" s="138" t="s">
        <v>31</v>
      </c>
      <c r="G26" s="139"/>
      <c r="H26" s="13" t="s">
        <v>33</v>
      </c>
      <c r="I26" s="138" t="s">
        <v>34</v>
      </c>
      <c r="J26" s="139"/>
    </row>
    <row r="27" spans="1:10" ht="15.75" thickBot="1" x14ac:dyDescent="0.3">
      <c r="A27" s="137"/>
      <c r="B27" s="133"/>
      <c r="C27" s="134"/>
      <c r="D27" s="135"/>
      <c r="E27" s="137"/>
      <c r="F27" s="140" t="s">
        <v>32</v>
      </c>
      <c r="G27" s="141"/>
      <c r="H27" s="14" t="s">
        <v>32</v>
      </c>
      <c r="I27" s="140" t="s">
        <v>35</v>
      </c>
      <c r="J27" s="141"/>
    </row>
    <row r="28" spans="1:10" ht="15.75" thickBot="1" x14ac:dyDescent="0.3">
      <c r="A28" s="71">
        <v>1</v>
      </c>
      <c r="B28" s="104">
        <f>'input data'!B17</f>
        <v>0</v>
      </c>
      <c r="C28" s="122"/>
      <c r="D28" s="105"/>
      <c r="E28" s="72">
        <v>68022390</v>
      </c>
      <c r="F28" s="104">
        <f>'input data'!B25</f>
        <v>0</v>
      </c>
      <c r="G28" s="105"/>
      <c r="H28" s="73">
        <f>'input data'!B26</f>
        <v>0</v>
      </c>
      <c r="I28" s="112">
        <f>H28*F28</f>
        <v>0</v>
      </c>
      <c r="J28" s="105"/>
    </row>
    <row r="29" spans="1:10" x14ac:dyDescent="0.25">
      <c r="A29" s="28"/>
      <c r="B29" s="106" t="s">
        <v>53</v>
      </c>
      <c r="C29" s="121"/>
      <c r="D29" s="107"/>
      <c r="E29" s="17" t="s">
        <v>53</v>
      </c>
      <c r="F29" s="106" t="s">
        <v>53</v>
      </c>
      <c r="G29" s="107"/>
      <c r="H29" s="33" t="s">
        <v>53</v>
      </c>
      <c r="I29" s="113" t="s">
        <v>53</v>
      </c>
      <c r="J29" s="114"/>
    </row>
    <row r="30" spans="1:10" x14ac:dyDescent="0.25">
      <c r="A30" s="28"/>
      <c r="B30" s="106"/>
      <c r="C30" s="121"/>
      <c r="D30" s="107"/>
      <c r="E30" s="17"/>
      <c r="F30" s="106"/>
      <c r="G30" s="107"/>
      <c r="H30" s="30"/>
      <c r="I30" s="108"/>
      <c r="J30" s="109"/>
    </row>
    <row r="31" spans="1:10" x14ac:dyDescent="0.25">
      <c r="A31" s="28"/>
      <c r="B31" s="106"/>
      <c r="C31" s="121"/>
      <c r="D31" s="107"/>
      <c r="E31" s="26"/>
      <c r="F31" s="106"/>
      <c r="G31" s="107"/>
      <c r="H31" s="65"/>
      <c r="I31" s="108"/>
      <c r="J31" s="109"/>
    </row>
    <row r="32" spans="1:10" x14ac:dyDescent="0.25">
      <c r="A32" s="28"/>
      <c r="B32" s="106"/>
      <c r="C32" s="121"/>
      <c r="D32" s="107"/>
      <c r="E32" s="26"/>
      <c r="F32" s="106"/>
      <c r="G32" s="107"/>
      <c r="H32" s="23"/>
      <c r="I32" s="64"/>
      <c r="J32" s="65"/>
    </row>
    <row r="33" spans="1:10" ht="15.75" thickBot="1" x14ac:dyDescent="0.3">
      <c r="A33" s="69"/>
      <c r="B33" s="110"/>
      <c r="C33" s="126"/>
      <c r="D33" s="111"/>
      <c r="E33" s="70"/>
      <c r="F33" s="110"/>
      <c r="G33" s="111"/>
      <c r="H33" s="8"/>
      <c r="I33" s="6"/>
      <c r="J33" s="8"/>
    </row>
    <row r="34" spans="1:10" x14ac:dyDescent="0.25">
      <c r="A34" s="31" t="s">
        <v>45</v>
      </c>
      <c r="B34" s="24"/>
      <c r="C34" s="24" t="s">
        <v>46</v>
      </c>
      <c r="D34" s="24" t="s">
        <v>47</v>
      </c>
      <c r="E34" s="27" t="s">
        <v>48</v>
      </c>
      <c r="F34" s="22"/>
      <c r="G34" s="22"/>
      <c r="H34" s="23"/>
      <c r="I34" s="19"/>
      <c r="J34" s="20"/>
    </row>
    <row r="35" spans="1:10" x14ac:dyDescent="0.25">
      <c r="A35" s="106" t="str">
        <f>UPPER('input data'!B23)</f>
        <v/>
      </c>
      <c r="B35" s="121"/>
      <c r="C35" s="21">
        <f>'input data'!B24</f>
        <v>0</v>
      </c>
      <c r="D35" s="24" t="s">
        <v>49</v>
      </c>
      <c r="E35" s="22" t="s">
        <v>50</v>
      </c>
      <c r="F35" s="22"/>
      <c r="G35" s="22"/>
      <c r="H35" s="23"/>
      <c r="I35" s="19"/>
      <c r="J35" s="20"/>
    </row>
    <row r="36" spans="1:10" x14ac:dyDescent="0.25">
      <c r="A36" s="31"/>
      <c r="B36" s="24"/>
      <c r="C36" s="24"/>
      <c r="D36" s="24"/>
      <c r="E36" s="22"/>
      <c r="F36" s="103"/>
      <c r="G36" s="103"/>
      <c r="H36" s="23"/>
      <c r="I36" s="19"/>
      <c r="J36" s="20"/>
    </row>
    <row r="37" spans="1:10" ht="15.75" thickBot="1" x14ac:dyDescent="0.3">
      <c r="A37" s="32"/>
      <c r="B37" s="25"/>
      <c r="C37" s="25"/>
      <c r="D37" s="25"/>
      <c r="E37" s="7"/>
      <c r="F37" s="7"/>
      <c r="G37" s="7"/>
      <c r="H37" s="8"/>
      <c r="I37" s="6"/>
      <c r="J37" s="8"/>
    </row>
    <row r="38" spans="1:10" x14ac:dyDescent="0.25">
      <c r="A38" s="18" t="s">
        <v>133</v>
      </c>
      <c r="B38" s="15"/>
      <c r="C38" s="15"/>
      <c r="D38" s="15"/>
      <c r="E38" s="15"/>
      <c r="F38" s="15"/>
      <c r="G38" s="15"/>
      <c r="H38" s="16"/>
      <c r="I38" s="99">
        <f>SUM(I28:J29)</f>
        <v>0</v>
      </c>
      <c r="J38" s="100"/>
    </row>
    <row r="39" spans="1:10" ht="15.75" thickBot="1" x14ac:dyDescent="0.3">
      <c r="A39" s="32" t="str">
        <f>SpellNumberEDP(I38)</f>
        <v>No Dollars and No Cents</v>
      </c>
      <c r="B39" s="25"/>
      <c r="C39" s="25"/>
      <c r="D39" s="25"/>
      <c r="E39" s="25"/>
      <c r="F39" s="25"/>
      <c r="G39" s="25"/>
      <c r="H39" s="74"/>
      <c r="I39" s="101"/>
      <c r="J39" s="102"/>
    </row>
    <row r="40" spans="1:10" x14ac:dyDescent="0.25">
      <c r="A40" s="123" t="s">
        <v>36</v>
      </c>
      <c r="B40" s="124"/>
      <c r="C40" s="124"/>
      <c r="D40" s="125"/>
      <c r="E40" s="96" t="s">
        <v>37</v>
      </c>
      <c r="F40" s="97"/>
      <c r="G40" s="97"/>
      <c r="H40" s="97"/>
      <c r="I40" s="97"/>
      <c r="J40" s="98"/>
    </row>
    <row r="41" spans="1:10" ht="19.5" customHeight="1" x14ac:dyDescent="0.25">
      <c r="A41" s="115" t="s">
        <v>52</v>
      </c>
      <c r="B41" s="116"/>
      <c r="C41" s="116"/>
      <c r="D41" s="117"/>
      <c r="E41" s="3" t="s">
        <v>38</v>
      </c>
      <c r="F41" s="4"/>
      <c r="G41" s="4"/>
      <c r="H41" s="4"/>
      <c r="I41" s="4"/>
      <c r="J41" s="5"/>
    </row>
    <row r="42" spans="1:10" ht="19.5" customHeight="1" x14ac:dyDescent="0.25">
      <c r="A42" s="115"/>
      <c r="B42" s="116"/>
      <c r="C42" s="116"/>
      <c r="D42" s="117"/>
      <c r="E42" s="3"/>
      <c r="F42" s="4"/>
      <c r="G42" s="4"/>
      <c r="H42" s="4"/>
      <c r="I42" s="4"/>
      <c r="J42" s="5"/>
    </row>
    <row r="43" spans="1:10" x14ac:dyDescent="0.25">
      <c r="A43" s="115"/>
      <c r="B43" s="116"/>
      <c r="C43" s="116"/>
      <c r="D43" s="117"/>
      <c r="E43" s="3"/>
      <c r="F43" s="4"/>
      <c r="G43" s="4"/>
      <c r="H43" s="4"/>
      <c r="I43" s="4"/>
      <c r="J43" s="5"/>
    </row>
    <row r="44" spans="1:10" ht="15.75" thickBot="1" x14ac:dyDescent="0.3">
      <c r="A44" s="118"/>
      <c r="B44" s="119"/>
      <c r="C44" s="119"/>
      <c r="D44" s="120"/>
      <c r="E44" s="6" t="s">
        <v>39</v>
      </c>
      <c r="F44" s="7"/>
      <c r="G44" s="7"/>
      <c r="H44" s="7"/>
      <c r="I44" s="7"/>
      <c r="J44" s="8"/>
    </row>
  </sheetData>
  <mergeCells count="72">
    <mergeCell ref="H11:J11"/>
    <mergeCell ref="H12:J13"/>
    <mergeCell ref="E10:G10"/>
    <mergeCell ref="E9:G9"/>
    <mergeCell ref="C21:D21"/>
    <mergeCell ref="E11:G11"/>
    <mergeCell ref="E12:G13"/>
    <mergeCell ref="A12:D12"/>
    <mergeCell ref="A21:B21"/>
    <mergeCell ref="A22:B22"/>
    <mergeCell ref="A15:D20"/>
    <mergeCell ref="E14:J20"/>
    <mergeCell ref="E25:G25"/>
    <mergeCell ref="A25:B25"/>
    <mergeCell ref="H25:J25"/>
    <mergeCell ref="E24:G24"/>
    <mergeCell ref="H24:J24"/>
    <mergeCell ref="A26:A27"/>
    <mergeCell ref="C22:D23"/>
    <mergeCell ref="E3:G3"/>
    <mergeCell ref="E4:G4"/>
    <mergeCell ref="H3:J3"/>
    <mergeCell ref="H4:J4"/>
    <mergeCell ref="H6:J6"/>
    <mergeCell ref="H5:J5"/>
    <mergeCell ref="E5:G5"/>
    <mergeCell ref="E6:G6"/>
    <mergeCell ref="E7:G7"/>
    <mergeCell ref="E8:G8"/>
    <mergeCell ref="H7:J7"/>
    <mergeCell ref="H8:J8"/>
    <mergeCell ref="H9:J9"/>
    <mergeCell ref="A23:B23"/>
    <mergeCell ref="A1:J2"/>
    <mergeCell ref="B26:D27"/>
    <mergeCell ref="E26:E27"/>
    <mergeCell ref="F26:G26"/>
    <mergeCell ref="F27:G27"/>
    <mergeCell ref="I26:J26"/>
    <mergeCell ref="I27:J27"/>
    <mergeCell ref="E21:G21"/>
    <mergeCell ref="E22:G23"/>
    <mergeCell ref="H21:J21"/>
    <mergeCell ref="H22:J23"/>
    <mergeCell ref="A24:B24"/>
    <mergeCell ref="C24:D24"/>
    <mergeCell ref="A11:D11"/>
    <mergeCell ref="H10:J10"/>
    <mergeCell ref="C25:D25"/>
    <mergeCell ref="A41:D42"/>
    <mergeCell ref="A43:D44"/>
    <mergeCell ref="A35:B35"/>
    <mergeCell ref="B28:D28"/>
    <mergeCell ref="B29:D29"/>
    <mergeCell ref="B31:D31"/>
    <mergeCell ref="B30:D30"/>
    <mergeCell ref="A40:D40"/>
    <mergeCell ref="B32:D32"/>
    <mergeCell ref="B33:D33"/>
    <mergeCell ref="E40:J40"/>
    <mergeCell ref="I38:J39"/>
    <mergeCell ref="F36:G36"/>
    <mergeCell ref="F28:G28"/>
    <mergeCell ref="F29:G29"/>
    <mergeCell ref="F31:G31"/>
    <mergeCell ref="F30:G30"/>
    <mergeCell ref="I31:J31"/>
    <mergeCell ref="F32:G32"/>
    <mergeCell ref="F33:G33"/>
    <mergeCell ref="I30:J30"/>
    <mergeCell ref="I28:J28"/>
    <mergeCell ref="I29:J29"/>
  </mergeCells>
  <hyperlinks>
    <hyperlink ref="A9" r:id="rId1" xr:uid="{00000000-0004-0000-0000-000000000000}"/>
    <hyperlink ref="A10" r:id="rId2" xr:uid="{00000000-0004-0000-0000-000001000000}"/>
  </hyperlinks>
  <pageMargins left="0.7" right="0.7" top="0.75" bottom="0.75" header="0.3" footer="0.3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46"/>
  <sheetViews>
    <sheetView workbookViewId="0">
      <selection activeCell="N21" sqref="N21"/>
    </sheetView>
  </sheetViews>
  <sheetFormatPr defaultRowHeight="15" x14ac:dyDescent="0.25"/>
  <cols>
    <col min="5" max="5" width="7" customWidth="1"/>
    <col min="6" max="6" width="10.85546875" customWidth="1"/>
  </cols>
  <sheetData>
    <row r="1" spans="1:10" ht="21.75" thickBot="1" x14ac:dyDescent="0.4">
      <c r="A1" s="192" t="s">
        <v>54</v>
      </c>
      <c r="B1" s="192"/>
      <c r="C1" s="192"/>
      <c r="D1" s="192"/>
      <c r="E1" s="192"/>
      <c r="F1" s="192"/>
      <c r="G1" s="192"/>
      <c r="H1" s="192"/>
      <c r="I1" s="192"/>
      <c r="J1" s="192"/>
    </row>
    <row r="2" spans="1:10" x14ac:dyDescent="0.25">
      <c r="A2" s="96" t="s">
        <v>55</v>
      </c>
      <c r="B2" s="124"/>
      <c r="C2" s="124"/>
      <c r="D2" s="124"/>
      <c r="E2" s="124"/>
      <c r="F2" s="125"/>
      <c r="G2" s="138" t="s">
        <v>7</v>
      </c>
      <c r="H2" s="139"/>
      <c r="I2" s="193" t="s">
        <v>8</v>
      </c>
      <c r="J2" s="194"/>
    </row>
    <row r="3" spans="1:10" ht="16.5" thickBot="1" x14ac:dyDescent="0.3">
      <c r="A3" s="195" t="s">
        <v>56</v>
      </c>
      <c r="B3" s="196"/>
      <c r="C3" s="196"/>
      <c r="D3" s="196"/>
      <c r="E3" s="196"/>
      <c r="F3" s="197"/>
      <c r="G3" s="110" t="str">
        <f>Inovice!E4</f>
        <v>BK0/</v>
      </c>
      <c r="H3" s="111"/>
      <c r="I3" s="157">
        <f>Inovice!H4</f>
        <v>0</v>
      </c>
      <c r="J3" s="111"/>
    </row>
    <row r="4" spans="1:10" x14ac:dyDescent="0.25">
      <c r="A4" s="19" t="s">
        <v>57</v>
      </c>
      <c r="B4" s="22"/>
      <c r="C4" s="22"/>
      <c r="D4" s="22"/>
      <c r="E4" s="22"/>
      <c r="F4" s="23"/>
      <c r="G4" s="193" t="s">
        <v>9</v>
      </c>
      <c r="H4" s="198"/>
      <c r="I4" s="198"/>
      <c r="J4" s="194"/>
    </row>
    <row r="5" spans="1:10" ht="15.75" thickBot="1" x14ac:dyDescent="0.3">
      <c r="A5" s="19" t="s">
        <v>58</v>
      </c>
      <c r="B5" s="22"/>
      <c r="C5" s="22"/>
      <c r="D5" s="22"/>
      <c r="E5" s="22"/>
      <c r="F5" s="23"/>
      <c r="G5" s="140" t="s">
        <v>42</v>
      </c>
      <c r="H5" s="159"/>
      <c r="I5" s="159"/>
      <c r="J5" s="141"/>
    </row>
    <row r="6" spans="1:10" ht="15.75" thickBot="1" x14ac:dyDescent="0.3">
      <c r="A6" s="199" t="s">
        <v>59</v>
      </c>
      <c r="B6" s="196"/>
      <c r="C6" s="196"/>
      <c r="D6" s="196"/>
      <c r="E6" s="196"/>
      <c r="F6" s="23"/>
      <c r="G6" s="41"/>
      <c r="H6" s="44"/>
      <c r="I6" s="44"/>
      <c r="J6" s="42"/>
    </row>
    <row r="7" spans="1:10" x14ac:dyDescent="0.25">
      <c r="A7" s="19" t="s">
        <v>60</v>
      </c>
      <c r="B7" s="22"/>
      <c r="C7" s="22"/>
      <c r="D7" s="22"/>
      <c r="E7" s="22"/>
      <c r="F7" s="23"/>
      <c r="G7" s="45" t="s">
        <v>61</v>
      </c>
      <c r="H7" s="15"/>
      <c r="I7" s="15"/>
      <c r="J7" s="16"/>
    </row>
    <row r="8" spans="1:10" ht="15.75" x14ac:dyDescent="0.25">
      <c r="A8" s="46" t="s">
        <v>62</v>
      </c>
      <c r="B8" s="22"/>
      <c r="C8" s="22"/>
      <c r="D8" s="22"/>
      <c r="E8" s="22"/>
      <c r="F8" s="23"/>
      <c r="G8" s="47" t="s">
        <v>63</v>
      </c>
      <c r="H8" s="48"/>
      <c r="I8" s="48"/>
      <c r="J8" s="49"/>
    </row>
    <row r="9" spans="1:10" ht="15.75" x14ac:dyDescent="0.25">
      <c r="A9" s="19" t="s">
        <v>5</v>
      </c>
      <c r="B9" s="22"/>
      <c r="C9" s="22"/>
      <c r="D9" s="22"/>
      <c r="E9" s="22"/>
      <c r="F9" s="23"/>
      <c r="G9" s="47" t="s">
        <v>64</v>
      </c>
      <c r="H9" s="48"/>
      <c r="I9" s="48"/>
      <c r="J9" s="49"/>
    </row>
    <row r="10" spans="1:10" ht="15.75" thickBot="1" x14ac:dyDescent="0.3">
      <c r="A10" s="6" t="s">
        <v>6</v>
      </c>
      <c r="B10" s="7"/>
      <c r="C10" s="7"/>
      <c r="D10" s="7"/>
      <c r="E10" s="7"/>
      <c r="F10" s="8"/>
      <c r="G10" s="6"/>
      <c r="H10" s="7"/>
      <c r="I10" s="7"/>
      <c r="J10" s="8"/>
    </row>
    <row r="11" spans="1:10" x14ac:dyDescent="0.25">
      <c r="A11" s="200" t="s">
        <v>13</v>
      </c>
      <c r="B11" s="97"/>
      <c r="C11" s="97"/>
      <c r="D11" s="97"/>
      <c r="E11" s="97"/>
      <c r="F11" s="2"/>
      <c r="G11" s="50" t="s">
        <v>65</v>
      </c>
      <c r="H11" s="1"/>
      <c r="I11" s="1"/>
      <c r="J11" s="2"/>
    </row>
    <row r="12" spans="1:10" x14ac:dyDescent="0.25">
      <c r="A12" s="201" t="s">
        <v>66</v>
      </c>
      <c r="B12" s="202"/>
      <c r="C12" s="202"/>
      <c r="D12" s="202"/>
      <c r="E12" s="202"/>
      <c r="F12" s="23"/>
      <c r="G12" s="19"/>
      <c r="H12" s="22"/>
      <c r="I12" s="22"/>
      <c r="J12" s="23"/>
    </row>
    <row r="13" spans="1:10" ht="15.75" thickBot="1" x14ac:dyDescent="0.3">
      <c r="A13" s="203"/>
      <c r="B13" s="204"/>
      <c r="C13" s="204"/>
      <c r="D13" s="204"/>
      <c r="E13" s="204"/>
      <c r="F13" s="8"/>
      <c r="G13" s="19"/>
      <c r="H13" s="22"/>
      <c r="I13" s="22"/>
      <c r="J13" s="23"/>
    </row>
    <row r="14" spans="1:10" x14ac:dyDescent="0.25">
      <c r="A14" s="189" t="s">
        <v>15</v>
      </c>
      <c r="B14" s="190"/>
      <c r="C14" s="190"/>
      <c r="D14" s="190"/>
      <c r="E14" s="190"/>
      <c r="F14" s="191"/>
      <c r="G14" s="19"/>
      <c r="H14" s="22"/>
      <c r="I14" s="22"/>
      <c r="J14" s="23"/>
    </row>
    <row r="15" spans="1:10" x14ac:dyDescent="0.25">
      <c r="A15" s="164">
        <f>Inovice!A15</f>
        <v>0</v>
      </c>
      <c r="B15" s="213"/>
      <c r="C15" s="213"/>
      <c r="D15" s="213"/>
      <c r="E15" s="213"/>
      <c r="F15" s="214"/>
      <c r="G15" s="19"/>
      <c r="H15" s="22"/>
      <c r="I15" s="22"/>
      <c r="J15" s="23"/>
    </row>
    <row r="16" spans="1:10" x14ac:dyDescent="0.25">
      <c r="A16" s="164"/>
      <c r="B16" s="213"/>
      <c r="C16" s="213"/>
      <c r="D16" s="213"/>
      <c r="E16" s="213"/>
      <c r="F16" s="214"/>
      <c r="G16" s="19"/>
      <c r="H16" s="22"/>
      <c r="I16" s="22"/>
      <c r="J16" s="23"/>
    </row>
    <row r="17" spans="1:10" x14ac:dyDescent="0.25">
      <c r="A17" s="164"/>
      <c r="B17" s="213"/>
      <c r="C17" s="213"/>
      <c r="D17" s="213"/>
      <c r="E17" s="213"/>
      <c r="F17" s="214"/>
      <c r="G17" s="19"/>
      <c r="H17" s="22"/>
      <c r="I17" s="22"/>
      <c r="J17" s="23"/>
    </row>
    <row r="18" spans="1:10" ht="15.75" thickBot="1" x14ac:dyDescent="0.3">
      <c r="A18" s="164"/>
      <c r="B18" s="213"/>
      <c r="C18" s="213"/>
      <c r="D18" s="213"/>
      <c r="E18" s="213"/>
      <c r="F18" s="214"/>
      <c r="G18" s="6"/>
      <c r="H18" s="7"/>
      <c r="I18" s="7"/>
      <c r="J18" s="8"/>
    </row>
    <row r="19" spans="1:10" x14ac:dyDescent="0.25">
      <c r="A19" s="164"/>
      <c r="B19" s="213"/>
      <c r="C19" s="213"/>
      <c r="D19" s="213"/>
      <c r="E19" s="213"/>
      <c r="F19" s="214"/>
      <c r="G19" s="205" t="s">
        <v>67</v>
      </c>
      <c r="H19" s="218"/>
      <c r="I19" s="205" t="s">
        <v>68</v>
      </c>
      <c r="J19" s="206"/>
    </row>
    <row r="20" spans="1:10" ht="15.75" thickBot="1" x14ac:dyDescent="0.3">
      <c r="A20" s="215"/>
      <c r="B20" s="216"/>
      <c r="C20" s="216"/>
      <c r="D20" s="216"/>
      <c r="E20" s="216"/>
      <c r="F20" s="217"/>
      <c r="G20" s="140" t="s">
        <v>23</v>
      </c>
      <c r="H20" s="141"/>
      <c r="I20" s="140">
        <f>Inovice!H22</f>
        <v>0</v>
      </c>
      <c r="J20" s="141"/>
    </row>
    <row r="21" spans="1:10" ht="15.75" thickBot="1" x14ac:dyDescent="0.3">
      <c r="A21" s="207" t="s">
        <v>69</v>
      </c>
      <c r="B21" s="208"/>
      <c r="C21" s="209"/>
      <c r="D21" s="207" t="s">
        <v>70</v>
      </c>
      <c r="E21" s="208"/>
      <c r="F21" s="209"/>
      <c r="G21" s="210" t="s">
        <v>128</v>
      </c>
      <c r="H21" s="211"/>
      <c r="I21" s="211"/>
      <c r="J21" s="212"/>
    </row>
    <row r="22" spans="1:10" ht="15.75" thickBot="1" x14ac:dyDescent="0.3">
      <c r="A22" s="110"/>
      <c r="B22" s="126"/>
      <c r="C22" s="111"/>
      <c r="D22" s="140">
        <f>Inovice!C22</f>
        <v>0</v>
      </c>
      <c r="E22" s="159"/>
      <c r="F22" s="141"/>
      <c r="G22" s="183">
        <f>'input data'!B15</f>
        <v>0</v>
      </c>
      <c r="H22" s="184"/>
      <c r="I22" s="184"/>
      <c r="J22" s="185"/>
    </row>
    <row r="23" spans="1:10" x14ac:dyDescent="0.25">
      <c r="A23" s="207" t="s">
        <v>71</v>
      </c>
      <c r="B23" s="208"/>
      <c r="C23" s="209"/>
      <c r="D23" s="207" t="s">
        <v>72</v>
      </c>
      <c r="E23" s="208"/>
      <c r="F23" s="209"/>
      <c r="G23" s="66"/>
      <c r="H23" s="67"/>
      <c r="I23" s="67"/>
      <c r="J23" s="68"/>
    </row>
    <row r="24" spans="1:10" ht="15.75" thickBot="1" x14ac:dyDescent="0.3">
      <c r="A24" s="110"/>
      <c r="B24" s="126"/>
      <c r="C24" s="111"/>
      <c r="D24" s="140">
        <f>Inovice!C25</f>
        <v>0</v>
      </c>
      <c r="E24" s="159"/>
      <c r="F24" s="141"/>
      <c r="G24" s="6"/>
      <c r="H24" s="7"/>
      <c r="I24" s="7"/>
      <c r="J24" s="8"/>
    </row>
    <row r="25" spans="1:10" ht="15.75" customHeight="1" thickBot="1" x14ac:dyDescent="0.3">
      <c r="A25" s="207" t="s">
        <v>27</v>
      </c>
      <c r="B25" s="208"/>
      <c r="C25" s="209"/>
      <c r="D25" s="207" t="s">
        <v>28</v>
      </c>
      <c r="E25" s="208"/>
      <c r="F25" s="209"/>
      <c r="G25" s="219" t="s">
        <v>129</v>
      </c>
      <c r="H25" s="220"/>
      <c r="I25" s="220"/>
      <c r="J25" s="221"/>
    </row>
    <row r="26" spans="1:10" ht="15.75" thickBot="1" x14ac:dyDescent="0.3">
      <c r="A26" s="140">
        <f>Inovice!E25</f>
        <v>0</v>
      </c>
      <c r="B26" s="159"/>
      <c r="C26" s="141"/>
      <c r="D26" s="140">
        <f>Inovice!H25</f>
        <v>0</v>
      </c>
      <c r="E26" s="159"/>
      <c r="F26" s="141"/>
      <c r="G26" s="219">
        <f>'input data'!B16</f>
        <v>0</v>
      </c>
      <c r="H26" s="220"/>
      <c r="I26" s="220"/>
      <c r="J26" s="221"/>
    </row>
    <row r="27" spans="1:10" x14ac:dyDescent="0.25">
      <c r="A27" s="19"/>
      <c r="B27" s="22"/>
      <c r="C27" s="22"/>
      <c r="D27" s="22"/>
      <c r="E27" s="22"/>
      <c r="F27" s="22"/>
      <c r="G27" s="22"/>
      <c r="H27" s="17"/>
      <c r="I27" s="19"/>
      <c r="J27" s="23"/>
    </row>
    <row r="28" spans="1:10" ht="15.75" thickBot="1" x14ac:dyDescent="0.3">
      <c r="A28" s="6"/>
      <c r="B28" s="7"/>
      <c r="C28" s="7"/>
      <c r="D28" s="7"/>
      <c r="E28" s="7"/>
      <c r="F28" s="7"/>
      <c r="G28" s="7"/>
      <c r="H28" s="51"/>
      <c r="I28" s="6"/>
      <c r="J28" s="8"/>
    </row>
    <row r="29" spans="1:10" ht="15.75" thickBot="1" x14ac:dyDescent="0.3">
      <c r="A29" s="52" t="s">
        <v>51</v>
      </c>
      <c r="B29" s="179" t="s">
        <v>73</v>
      </c>
      <c r="C29" s="174"/>
      <c r="D29" s="179" t="s">
        <v>29</v>
      </c>
      <c r="E29" s="173"/>
      <c r="F29" s="173"/>
      <c r="G29" s="53"/>
      <c r="H29" s="54"/>
      <c r="I29" s="179" t="s">
        <v>32</v>
      </c>
      <c r="J29" s="174"/>
    </row>
    <row r="30" spans="1:10" ht="15.75" thickBot="1" x14ac:dyDescent="0.3">
      <c r="A30" s="29">
        <v>1</v>
      </c>
      <c r="B30" s="193">
        <f>Inovice!E28</f>
        <v>68022390</v>
      </c>
      <c r="C30" s="194"/>
      <c r="D30" s="200">
        <f>Inovice!B28</f>
        <v>0</v>
      </c>
      <c r="E30" s="97"/>
      <c r="F30" s="97"/>
      <c r="G30" s="97"/>
      <c r="H30" s="98"/>
      <c r="I30" s="222">
        <f>Inovice!F28</f>
        <v>0</v>
      </c>
      <c r="J30" s="223"/>
    </row>
    <row r="31" spans="1:10" x14ac:dyDescent="0.25">
      <c r="A31" s="30"/>
      <c r="B31" s="106"/>
      <c r="C31" s="107"/>
      <c r="D31" s="200" t="s">
        <v>53</v>
      </c>
      <c r="E31" s="97"/>
      <c r="F31" s="97"/>
      <c r="G31" s="97"/>
      <c r="H31" s="98"/>
      <c r="I31" s="106" t="s">
        <v>53</v>
      </c>
      <c r="J31" s="107"/>
    </row>
    <row r="32" spans="1:10" x14ac:dyDescent="0.25">
      <c r="A32" s="30"/>
      <c r="B32" s="106"/>
      <c r="C32" s="107"/>
      <c r="D32" s="34"/>
      <c r="E32" s="34"/>
      <c r="F32" s="34"/>
      <c r="G32" s="34"/>
      <c r="H32" s="35"/>
      <c r="I32" s="106"/>
      <c r="J32" s="107"/>
    </row>
    <row r="33" spans="1:10" x14ac:dyDescent="0.25">
      <c r="A33" s="30"/>
      <c r="B33" s="106"/>
      <c r="C33" s="107"/>
      <c r="D33" s="34"/>
      <c r="E33" s="34"/>
      <c r="F33" s="34"/>
      <c r="G33" s="34"/>
      <c r="H33" s="35"/>
      <c r="I33" s="106"/>
      <c r="J33" s="107"/>
    </row>
    <row r="34" spans="1:10" ht="15.75" thickBot="1" x14ac:dyDescent="0.3">
      <c r="A34" s="51"/>
      <c r="B34" s="110"/>
      <c r="C34" s="111"/>
      <c r="D34" s="36"/>
      <c r="E34" s="36"/>
      <c r="F34" s="36"/>
      <c r="G34" s="36"/>
      <c r="H34" s="37"/>
      <c r="I34" s="6"/>
      <c r="J34" s="8"/>
    </row>
    <row r="35" spans="1:10" ht="15.75" thickBot="1" x14ac:dyDescent="0.3">
      <c r="A35" s="55" t="s">
        <v>74</v>
      </c>
      <c r="B35" s="56"/>
      <c r="C35" s="56"/>
      <c r="D35" s="56"/>
      <c r="E35" s="56"/>
      <c r="F35" s="56"/>
      <c r="G35" s="56"/>
      <c r="H35" s="56"/>
      <c r="I35" s="224">
        <f>SUM(I30:J31)</f>
        <v>0</v>
      </c>
      <c r="J35" s="174"/>
    </row>
    <row r="36" spans="1:10" x14ac:dyDescent="0.25">
      <c r="A36" s="46"/>
      <c r="B36" s="22"/>
      <c r="C36" s="22"/>
      <c r="D36" s="22"/>
      <c r="E36" s="22"/>
      <c r="F36" s="22"/>
      <c r="G36" s="22"/>
      <c r="H36" s="22"/>
      <c r="I36" s="44"/>
      <c r="J36" s="42"/>
    </row>
    <row r="37" spans="1:10" x14ac:dyDescent="0.25">
      <c r="A37" s="160" t="s">
        <v>75</v>
      </c>
      <c r="B37" s="103"/>
      <c r="C37" s="44" t="s">
        <v>46</v>
      </c>
      <c r="D37" s="103" t="s">
        <v>47</v>
      </c>
      <c r="E37" s="103"/>
      <c r="F37" s="44" t="s">
        <v>48</v>
      </c>
      <c r="G37" s="44"/>
      <c r="H37" s="22"/>
      <c r="I37" s="44"/>
      <c r="J37" s="42"/>
    </row>
    <row r="38" spans="1:10" x14ac:dyDescent="0.25">
      <c r="A38" s="106" t="str">
        <f>Inovice!A35</f>
        <v/>
      </c>
      <c r="B38" s="121"/>
      <c r="C38" s="34">
        <f>Inovice!C35</f>
        <v>0</v>
      </c>
      <c r="D38" s="225" t="s">
        <v>76</v>
      </c>
      <c r="E38" s="225"/>
      <c r="F38" s="34" t="s">
        <v>77</v>
      </c>
      <c r="G38" s="34"/>
      <c r="H38" s="24"/>
      <c r="I38" s="24"/>
      <c r="J38" s="57"/>
    </row>
    <row r="39" spans="1:10" x14ac:dyDescent="0.25">
      <c r="A39" s="38"/>
      <c r="B39" s="39"/>
      <c r="C39" s="39"/>
      <c r="D39" s="39"/>
      <c r="E39" s="39"/>
      <c r="F39" s="39"/>
      <c r="G39" s="39"/>
      <c r="H39" s="39"/>
      <c r="I39" s="39"/>
      <c r="J39" s="40"/>
    </row>
    <row r="40" spans="1:10" x14ac:dyDescent="0.25">
      <c r="A40" s="38" t="s">
        <v>149</v>
      </c>
      <c r="B40" s="39"/>
      <c r="C40" s="39">
        <f>'input data'!B13</f>
        <v>0</v>
      </c>
      <c r="D40" s="39"/>
      <c r="E40" s="39"/>
      <c r="F40" s="39"/>
      <c r="G40" s="39"/>
      <c r="H40" s="39"/>
      <c r="I40" s="39"/>
      <c r="J40" s="40"/>
    </row>
    <row r="41" spans="1:10" x14ac:dyDescent="0.25">
      <c r="A41" s="38" t="s">
        <v>78</v>
      </c>
      <c r="B41" s="39"/>
      <c r="C41" s="39"/>
      <c r="D41" s="39"/>
      <c r="E41" s="39"/>
      <c r="F41" s="39"/>
      <c r="G41" s="39"/>
      <c r="H41" s="39"/>
      <c r="I41" s="39"/>
      <c r="J41" s="40"/>
    </row>
    <row r="42" spans="1:10" ht="15.75" thickBot="1" x14ac:dyDescent="0.3">
      <c r="A42" s="43"/>
      <c r="B42" s="58"/>
      <c r="C42" s="58"/>
      <c r="D42" s="58"/>
      <c r="E42" s="58"/>
      <c r="F42" s="58"/>
      <c r="G42" s="58"/>
      <c r="H42" s="58"/>
      <c r="I42" s="58"/>
      <c r="J42" s="59"/>
    </row>
    <row r="43" spans="1:10" x14ac:dyDescent="0.25">
      <c r="A43" s="96" t="s">
        <v>79</v>
      </c>
      <c r="B43" s="124"/>
      <c r="C43" s="124"/>
      <c r="D43" s="124"/>
      <c r="E43" s="124"/>
      <c r="F43" s="125"/>
      <c r="G43" s="96" t="s">
        <v>37</v>
      </c>
      <c r="H43" s="124"/>
      <c r="I43" s="124"/>
      <c r="J43" s="125"/>
    </row>
    <row r="44" spans="1:10" x14ac:dyDescent="0.25">
      <c r="A44" s="226" t="s">
        <v>80</v>
      </c>
      <c r="B44" s="227"/>
      <c r="C44" s="227"/>
      <c r="D44" s="227"/>
      <c r="E44" s="227"/>
      <c r="F44" s="228"/>
      <c r="G44" s="19"/>
      <c r="H44" s="22"/>
      <c r="I44" s="22"/>
      <c r="J44" s="23"/>
    </row>
    <row r="45" spans="1:10" x14ac:dyDescent="0.25">
      <c r="A45" s="229" t="s">
        <v>81</v>
      </c>
      <c r="B45" s="230"/>
      <c r="C45" s="230"/>
      <c r="D45" s="230"/>
      <c r="E45" s="230"/>
      <c r="F45" s="231"/>
      <c r="G45" s="19"/>
      <c r="H45" s="22"/>
      <c r="I45" s="22"/>
      <c r="J45" s="23"/>
    </row>
    <row r="46" spans="1:10" ht="15.75" thickBot="1" x14ac:dyDescent="0.3">
      <c r="A46" s="232" t="s">
        <v>82</v>
      </c>
      <c r="B46" s="233"/>
      <c r="C46" s="233"/>
      <c r="D46" s="233"/>
      <c r="E46" s="233"/>
      <c r="F46" s="234"/>
      <c r="G46" s="235" t="s">
        <v>83</v>
      </c>
      <c r="H46" s="236"/>
      <c r="I46" s="236"/>
      <c r="J46" s="237"/>
    </row>
  </sheetData>
  <mergeCells count="59">
    <mergeCell ref="A43:F43"/>
    <mergeCell ref="G43:J43"/>
    <mergeCell ref="A44:F44"/>
    <mergeCell ref="A45:F45"/>
    <mergeCell ref="A46:F46"/>
    <mergeCell ref="G46:J46"/>
    <mergeCell ref="B34:C34"/>
    <mergeCell ref="I35:J35"/>
    <mergeCell ref="A37:B37"/>
    <mergeCell ref="D37:E37"/>
    <mergeCell ref="A38:B38"/>
    <mergeCell ref="D38:E38"/>
    <mergeCell ref="B33:C33"/>
    <mergeCell ref="I33:J33"/>
    <mergeCell ref="D26:F26"/>
    <mergeCell ref="B29:C29"/>
    <mergeCell ref="D29:F29"/>
    <mergeCell ref="I29:J29"/>
    <mergeCell ref="B30:C30"/>
    <mergeCell ref="D30:H30"/>
    <mergeCell ref="I30:J30"/>
    <mergeCell ref="B31:C31"/>
    <mergeCell ref="D31:H31"/>
    <mergeCell ref="I31:J31"/>
    <mergeCell ref="B32:C32"/>
    <mergeCell ref="I32:J32"/>
    <mergeCell ref="A25:C25"/>
    <mergeCell ref="D25:F25"/>
    <mergeCell ref="A26:C26"/>
    <mergeCell ref="G22:J22"/>
    <mergeCell ref="G25:J25"/>
    <mergeCell ref="G26:J26"/>
    <mergeCell ref="A22:C22"/>
    <mergeCell ref="D22:F22"/>
    <mergeCell ref="A23:C23"/>
    <mergeCell ref="D23:F23"/>
    <mergeCell ref="A24:C24"/>
    <mergeCell ref="D24:F24"/>
    <mergeCell ref="I19:J19"/>
    <mergeCell ref="G20:H20"/>
    <mergeCell ref="I20:J20"/>
    <mergeCell ref="A21:C21"/>
    <mergeCell ref="D21:F21"/>
    <mergeCell ref="G21:J21"/>
    <mergeCell ref="A15:F20"/>
    <mergeCell ref="G19:H19"/>
    <mergeCell ref="A14:F14"/>
    <mergeCell ref="A1:J1"/>
    <mergeCell ref="A2:F2"/>
    <mergeCell ref="G2:H2"/>
    <mergeCell ref="I2:J2"/>
    <mergeCell ref="A3:F3"/>
    <mergeCell ref="G3:H3"/>
    <mergeCell ref="I3:J3"/>
    <mergeCell ref="G4:J4"/>
    <mergeCell ref="G5:J5"/>
    <mergeCell ref="A6:E6"/>
    <mergeCell ref="A11:E11"/>
    <mergeCell ref="A12:E13"/>
  </mergeCells>
  <hyperlinks>
    <hyperlink ref="A9" r:id="rId1" xr:uid="{9977EBA1-A2DF-4F3F-82BC-07854643DADB}"/>
    <hyperlink ref="A10" r:id="rId2" xr:uid="{F07444C9-73EA-4DED-9D12-3B193C4D2D52}"/>
  </hyperlinks>
  <pageMargins left="0.25" right="0.25" top="0.75" bottom="0.75" header="0.3" footer="0.3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43"/>
  <sheetViews>
    <sheetView topLeftCell="A31" workbookViewId="0">
      <selection activeCell="B42" sqref="B42"/>
    </sheetView>
  </sheetViews>
  <sheetFormatPr defaultRowHeight="15" x14ac:dyDescent="0.25"/>
  <cols>
    <col min="2" max="2" width="10.42578125" bestFit="1" customWidth="1"/>
    <col min="16" max="16" width="17.42578125" bestFit="1" customWidth="1"/>
  </cols>
  <sheetData>
    <row r="1" spans="1:24" x14ac:dyDescent="0.25">
      <c r="A1" s="259" t="s">
        <v>1</v>
      </c>
      <c r="B1" s="259"/>
      <c r="C1" s="259"/>
      <c r="D1" s="259"/>
      <c r="E1" s="259"/>
      <c r="F1" s="259"/>
      <c r="G1" s="259"/>
      <c r="H1" s="259"/>
      <c r="I1" s="259"/>
      <c r="J1" s="259"/>
      <c r="P1" t="s">
        <v>96</v>
      </c>
      <c r="Q1" s="258" t="s">
        <v>122</v>
      </c>
      <c r="R1" s="246"/>
      <c r="S1" s="246"/>
      <c r="T1" s="246"/>
      <c r="U1" s="246"/>
      <c r="V1" s="244" t="s">
        <v>97</v>
      </c>
      <c r="W1" s="244"/>
      <c r="X1" s="244"/>
    </row>
    <row r="2" spans="1:24" x14ac:dyDescent="0.25">
      <c r="A2" s="259"/>
      <c r="B2" s="259"/>
      <c r="C2" s="259"/>
      <c r="D2" s="259"/>
      <c r="E2" s="259"/>
      <c r="F2" s="259"/>
      <c r="G2" s="259"/>
      <c r="H2" s="259"/>
      <c r="I2" s="259"/>
      <c r="J2" s="259"/>
    </row>
    <row r="3" spans="1:24" x14ac:dyDescent="0.25">
      <c r="A3" s="259"/>
      <c r="B3" s="259"/>
      <c r="C3" s="259"/>
      <c r="D3" s="259"/>
      <c r="E3" s="259"/>
      <c r="F3" s="259"/>
      <c r="G3" s="259"/>
      <c r="H3" s="259"/>
      <c r="I3" s="259"/>
      <c r="J3" s="259"/>
    </row>
    <row r="4" spans="1:24" ht="36" x14ac:dyDescent="0.55000000000000004">
      <c r="A4" s="62"/>
      <c r="B4" s="62"/>
      <c r="C4" s="62"/>
      <c r="D4" s="62"/>
      <c r="E4" s="62"/>
      <c r="F4" s="62"/>
      <c r="G4" s="62"/>
      <c r="H4" s="62"/>
      <c r="I4" s="62"/>
      <c r="J4" s="62"/>
    </row>
    <row r="5" spans="1:24" x14ac:dyDescent="0.25">
      <c r="A5" s="241" t="s">
        <v>88</v>
      </c>
      <c r="B5" s="242"/>
      <c r="C5" s="242"/>
      <c r="D5" s="242"/>
      <c r="E5" s="242"/>
      <c r="F5" s="242"/>
      <c r="G5" s="242"/>
      <c r="H5" s="242"/>
      <c r="I5" s="242"/>
      <c r="J5" s="242"/>
    </row>
    <row r="6" spans="1:24" x14ac:dyDescent="0.25">
      <c r="A6" s="241" t="s">
        <v>89</v>
      </c>
      <c r="B6" s="243"/>
      <c r="C6" s="243"/>
      <c r="D6" s="243"/>
      <c r="E6" s="243"/>
      <c r="F6" s="243"/>
      <c r="G6" s="243"/>
      <c r="H6" s="243"/>
      <c r="I6" s="243"/>
      <c r="J6" s="243"/>
    </row>
    <row r="7" spans="1:24" x14ac:dyDescent="0.25">
      <c r="A7" s="244" t="s">
        <v>90</v>
      </c>
      <c r="B7" s="244"/>
      <c r="C7" s="244"/>
      <c r="D7" s="244"/>
      <c r="E7" s="244"/>
      <c r="F7" s="244"/>
      <c r="G7" s="244"/>
      <c r="H7" s="244"/>
      <c r="I7" s="244"/>
      <c r="J7" s="244"/>
    </row>
    <row r="9" spans="1:24" ht="18.75" x14ac:dyDescent="0.3">
      <c r="A9" s="245" t="s">
        <v>91</v>
      </c>
      <c r="B9" s="244"/>
      <c r="C9" s="244"/>
      <c r="D9" s="244"/>
      <c r="E9" s="244"/>
      <c r="F9" s="244"/>
      <c r="G9" s="244"/>
      <c r="H9" s="244"/>
      <c r="I9" s="244"/>
      <c r="J9" s="244"/>
    </row>
    <row r="11" spans="1:24" x14ac:dyDescent="0.25">
      <c r="A11" t="s">
        <v>92</v>
      </c>
      <c r="B11" s="60">
        <v>45362</v>
      </c>
    </row>
    <row r="12" spans="1:24" x14ac:dyDescent="0.25">
      <c r="A12" t="s">
        <v>93</v>
      </c>
      <c r="B12" t="s">
        <v>94</v>
      </c>
    </row>
    <row r="14" spans="1:24" x14ac:dyDescent="0.25">
      <c r="A14" t="s">
        <v>95</v>
      </c>
    </row>
    <row r="15" spans="1:24" x14ac:dyDescent="0.25">
      <c r="A15" s="246" t="s">
        <v>96</v>
      </c>
      <c r="B15" s="246"/>
    </row>
    <row r="16" spans="1:24" x14ac:dyDescent="0.25">
      <c r="A16" s="249" t="e">
        <f>HLOOKUP(A15,P1,Q1:U1)</f>
        <v>#REF!</v>
      </c>
      <c r="B16" s="250"/>
      <c r="C16" s="250"/>
      <c r="D16" s="250"/>
      <c r="E16" s="250"/>
      <c r="F16" s="250"/>
    </row>
    <row r="17" spans="1:10" x14ac:dyDescent="0.25">
      <c r="A17" s="250"/>
      <c r="B17" s="250"/>
      <c r="C17" s="250"/>
      <c r="D17" s="250"/>
      <c r="E17" s="250"/>
      <c r="F17" s="250"/>
    </row>
    <row r="18" spans="1:10" ht="15.75" x14ac:dyDescent="0.25">
      <c r="A18" s="239"/>
      <c r="B18" s="239"/>
      <c r="C18" s="239"/>
      <c r="D18" s="239"/>
    </row>
    <row r="19" spans="1:10" x14ac:dyDescent="0.25">
      <c r="A19" t="s">
        <v>98</v>
      </c>
    </row>
    <row r="20" spans="1:10" ht="15.75" thickBot="1" x14ac:dyDescent="0.3"/>
    <row r="21" spans="1:10" ht="15.75" thickBot="1" x14ac:dyDescent="0.3">
      <c r="A21" s="247" t="s">
        <v>99</v>
      </c>
      <c r="B21" s="248"/>
      <c r="C21" s="248"/>
      <c r="D21" s="253"/>
      <c r="E21" s="138" t="s">
        <v>100</v>
      </c>
      <c r="F21" s="139"/>
      <c r="G21" s="138" t="s">
        <v>101</v>
      </c>
      <c r="H21" s="139"/>
      <c r="I21" s="138" t="s">
        <v>102</v>
      </c>
      <c r="J21" s="139"/>
    </row>
    <row r="22" spans="1:10" x14ac:dyDescent="0.25">
      <c r="A22" s="97" t="s">
        <v>103</v>
      </c>
      <c r="B22" s="97"/>
      <c r="C22" s="97"/>
      <c r="D22" s="97"/>
      <c r="E22" s="256">
        <v>173</v>
      </c>
      <c r="F22" s="256"/>
      <c r="G22" s="256">
        <v>5230</v>
      </c>
      <c r="H22" s="256"/>
      <c r="I22" s="256">
        <v>166044</v>
      </c>
      <c r="J22" s="256"/>
    </row>
    <row r="23" spans="1:10" x14ac:dyDescent="0.25">
      <c r="A23" s="196" t="s">
        <v>53</v>
      </c>
      <c r="B23" s="196"/>
      <c r="C23" s="196"/>
      <c r="D23" s="257"/>
      <c r="E23" s="251"/>
      <c r="F23" s="252"/>
      <c r="G23" s="251"/>
      <c r="H23" s="252"/>
      <c r="I23" s="251"/>
      <c r="J23" s="252"/>
    </row>
    <row r="24" spans="1:10" ht="15.75" x14ac:dyDescent="0.25">
      <c r="A24" s="121"/>
      <c r="B24" s="121"/>
      <c r="C24" s="121"/>
      <c r="D24" s="121"/>
      <c r="E24" s="240"/>
      <c r="F24" s="240"/>
      <c r="G24" s="255" t="s">
        <v>104</v>
      </c>
      <c r="H24" s="255"/>
      <c r="I24" s="256">
        <f>I22*0.1/100</f>
        <v>166.04400000000001</v>
      </c>
      <c r="J24" s="256"/>
    </row>
    <row r="25" spans="1:10" ht="15.75" x14ac:dyDescent="0.25">
      <c r="A25" s="246"/>
      <c r="B25" s="246"/>
      <c r="C25" s="246"/>
      <c r="D25" s="246"/>
      <c r="E25" s="63"/>
      <c r="F25" s="63"/>
      <c r="G25" s="255" t="s">
        <v>74</v>
      </c>
      <c r="H25" s="255"/>
      <c r="I25" s="256">
        <v>322766</v>
      </c>
      <c r="J25" s="256"/>
    </row>
    <row r="26" spans="1:10" ht="15.75" x14ac:dyDescent="0.25">
      <c r="A26" s="244"/>
      <c r="B26" s="244"/>
      <c r="C26" s="244"/>
      <c r="D26" s="244"/>
      <c r="G26" s="254"/>
      <c r="H26" s="254"/>
      <c r="I26" s="244"/>
      <c r="J26" s="244"/>
    </row>
    <row r="27" spans="1:10" ht="15.75" thickBot="1" x14ac:dyDescent="0.3">
      <c r="A27" s="126"/>
      <c r="B27" s="126"/>
      <c r="C27" s="126"/>
      <c r="D27" s="126"/>
      <c r="G27" s="244"/>
      <c r="H27" s="244"/>
      <c r="I27" s="244"/>
      <c r="J27" s="244"/>
    </row>
    <row r="28" spans="1:10" ht="15.75" thickBot="1" x14ac:dyDescent="0.3">
      <c r="A28" s="247" t="s">
        <v>105</v>
      </c>
      <c r="B28" s="248"/>
      <c r="C28" s="56"/>
      <c r="D28" s="56"/>
      <c r="E28" s="56"/>
      <c r="F28" s="56"/>
      <c r="G28" s="56"/>
      <c r="H28" s="56"/>
      <c r="I28" s="173">
        <v>322766</v>
      </c>
      <c r="J28" s="174"/>
    </row>
    <row r="30" spans="1:10" x14ac:dyDescent="0.25">
      <c r="A30" s="238" t="s">
        <v>106</v>
      </c>
      <c r="B30" s="238"/>
    </row>
    <row r="31" spans="1:10" x14ac:dyDescent="0.25">
      <c r="A31" t="s">
        <v>107</v>
      </c>
      <c r="C31" t="s">
        <v>108</v>
      </c>
    </row>
    <row r="32" spans="1:10" x14ac:dyDescent="0.25">
      <c r="A32" t="s">
        <v>109</v>
      </c>
    </row>
    <row r="33" spans="1:6" x14ac:dyDescent="0.25">
      <c r="A33" t="s">
        <v>110</v>
      </c>
    </row>
    <row r="34" spans="1:6" x14ac:dyDescent="0.25">
      <c r="A34" t="s">
        <v>111</v>
      </c>
      <c r="C34" t="s">
        <v>112</v>
      </c>
    </row>
    <row r="35" spans="1:6" x14ac:dyDescent="0.25">
      <c r="A35" t="s">
        <v>113</v>
      </c>
    </row>
    <row r="36" spans="1:6" x14ac:dyDescent="0.25">
      <c r="A36" t="s">
        <v>114</v>
      </c>
    </row>
    <row r="37" spans="1:6" x14ac:dyDescent="0.25">
      <c r="A37" t="s">
        <v>115</v>
      </c>
      <c r="C37" t="s">
        <v>116</v>
      </c>
    </row>
    <row r="38" spans="1:6" x14ac:dyDescent="0.25">
      <c r="C38" s="61" t="s">
        <v>117</v>
      </c>
    </row>
    <row r="39" spans="1:6" x14ac:dyDescent="0.25">
      <c r="C39" t="s">
        <v>118</v>
      </c>
    </row>
    <row r="40" spans="1:6" ht="15.75" x14ac:dyDescent="0.25">
      <c r="A40" s="239" t="s">
        <v>119</v>
      </c>
      <c r="B40" s="239"/>
      <c r="C40" s="239"/>
      <c r="D40" s="239"/>
      <c r="E40" s="239"/>
      <c r="F40" s="239"/>
    </row>
    <row r="41" spans="1:6" ht="15.75" x14ac:dyDescent="0.25">
      <c r="A41" s="239" t="s">
        <v>120</v>
      </c>
      <c r="B41" s="239"/>
      <c r="C41" s="239"/>
      <c r="D41" s="239"/>
      <c r="E41" s="239"/>
      <c r="F41" s="239"/>
    </row>
    <row r="42" spans="1:6" ht="15.75" x14ac:dyDescent="0.25">
      <c r="A42" s="86" t="s">
        <v>150</v>
      </c>
      <c r="B42" s="87" t="str">
        <f>'input data'!B5</f>
        <v>select the financial year</v>
      </c>
      <c r="C42" s="86"/>
      <c r="D42" s="86"/>
      <c r="E42" s="86"/>
      <c r="F42" s="86"/>
    </row>
    <row r="43" spans="1:6" x14ac:dyDescent="0.25">
      <c r="A43" t="s">
        <v>121</v>
      </c>
    </row>
  </sheetData>
  <mergeCells count="40">
    <mergeCell ref="V1:X1"/>
    <mergeCell ref="A26:D26"/>
    <mergeCell ref="G26:H26"/>
    <mergeCell ref="I26:J26"/>
    <mergeCell ref="G24:H24"/>
    <mergeCell ref="I24:J24"/>
    <mergeCell ref="A25:D25"/>
    <mergeCell ref="G25:H25"/>
    <mergeCell ref="I25:J25"/>
    <mergeCell ref="A22:D22"/>
    <mergeCell ref="E22:F22"/>
    <mergeCell ref="G22:H22"/>
    <mergeCell ref="I22:J22"/>
    <mergeCell ref="A23:D23"/>
    <mergeCell ref="Q1:U1"/>
    <mergeCell ref="A1:J3"/>
    <mergeCell ref="G27:H27"/>
    <mergeCell ref="I27:J27"/>
    <mergeCell ref="A28:B28"/>
    <mergeCell ref="I28:J28"/>
    <mergeCell ref="A16:F17"/>
    <mergeCell ref="A18:D18"/>
    <mergeCell ref="I23:J23"/>
    <mergeCell ref="A21:D21"/>
    <mergeCell ref="E21:F21"/>
    <mergeCell ref="G21:H21"/>
    <mergeCell ref="I21:J21"/>
    <mergeCell ref="E23:F23"/>
    <mergeCell ref="G23:H23"/>
    <mergeCell ref="A5:J5"/>
    <mergeCell ref="A6:J6"/>
    <mergeCell ref="A7:J7"/>
    <mergeCell ref="A9:J9"/>
    <mergeCell ref="A15:B15"/>
    <mergeCell ref="A30:B30"/>
    <mergeCell ref="A40:F40"/>
    <mergeCell ref="A41:F41"/>
    <mergeCell ref="A24:D24"/>
    <mergeCell ref="E24:F24"/>
    <mergeCell ref="A27:D2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7126E-0AB1-4512-B208-5936EA01CB1F}">
  <dimension ref="A1:G36"/>
  <sheetViews>
    <sheetView tabSelected="1" zoomScaleNormal="100" workbookViewId="0">
      <selection activeCell="K6" sqref="K6"/>
    </sheetView>
  </sheetViews>
  <sheetFormatPr defaultRowHeight="15" x14ac:dyDescent="0.25"/>
  <cols>
    <col min="1" max="1" width="9.140625" style="93"/>
    <col min="2" max="2" width="31.5703125" style="93" customWidth="1"/>
    <col min="3" max="3" width="10.28515625" style="93" customWidth="1"/>
    <col min="4" max="6" width="9.140625" style="93"/>
    <col min="7" max="7" width="13.28515625" style="93" customWidth="1"/>
    <col min="8" max="16384" width="9.140625" style="93"/>
  </cols>
  <sheetData>
    <row r="1" spans="1:7" ht="26.25" x14ac:dyDescent="0.25">
      <c r="A1" s="319"/>
      <c r="B1" s="320"/>
      <c r="C1" s="320"/>
      <c r="D1" s="320"/>
      <c r="E1" s="320"/>
      <c r="F1" s="320"/>
      <c r="G1" s="321"/>
    </row>
    <row r="2" spans="1:7" ht="27" thickBot="1" x14ac:dyDescent="0.3">
      <c r="A2" s="322" t="s">
        <v>154</v>
      </c>
      <c r="B2" s="274"/>
      <c r="C2" s="274"/>
      <c r="D2" s="274"/>
      <c r="E2" s="274"/>
      <c r="F2" s="274"/>
      <c r="G2" s="357"/>
    </row>
    <row r="3" spans="1:7" ht="16.5" thickTop="1" thickBot="1" x14ac:dyDescent="0.3">
      <c r="A3" s="323" t="s">
        <v>155</v>
      </c>
      <c r="B3" s="272"/>
      <c r="C3" s="300" t="s">
        <v>156</v>
      </c>
      <c r="D3" s="301"/>
      <c r="E3" s="302"/>
      <c r="F3" s="304" t="s">
        <v>194</v>
      </c>
      <c r="G3" s="324"/>
    </row>
    <row r="4" spans="1:7" ht="16.5" customHeight="1" thickTop="1" thickBot="1" x14ac:dyDescent="0.3">
      <c r="A4" s="325" t="s">
        <v>187</v>
      </c>
      <c r="B4" s="260"/>
      <c r="C4" s="300" t="s">
        <v>8</v>
      </c>
      <c r="D4" s="301"/>
      <c r="E4" s="302"/>
      <c r="F4" s="305">
        <v>45551</v>
      </c>
      <c r="G4" s="326"/>
    </row>
    <row r="5" spans="1:7" ht="27.75" customHeight="1" thickTop="1" thickBot="1" x14ac:dyDescent="0.3">
      <c r="A5" s="325"/>
      <c r="B5" s="260"/>
      <c r="C5" s="300" t="s">
        <v>157</v>
      </c>
      <c r="D5" s="301"/>
      <c r="E5" s="302"/>
      <c r="F5" s="305">
        <v>45580</v>
      </c>
      <c r="G5" s="326"/>
    </row>
    <row r="6" spans="1:7" ht="25.5" customHeight="1" thickTop="1" thickBot="1" x14ac:dyDescent="0.3">
      <c r="A6" s="325"/>
      <c r="B6" s="260"/>
      <c r="C6" s="300" t="s">
        <v>158</v>
      </c>
      <c r="D6" s="301"/>
      <c r="E6" s="302"/>
      <c r="F6" s="304" t="s">
        <v>12</v>
      </c>
      <c r="G6" s="324"/>
    </row>
    <row r="7" spans="1:7" ht="24.75" customHeight="1" thickTop="1" thickBot="1" x14ac:dyDescent="0.3">
      <c r="A7" s="325"/>
      <c r="B7" s="260"/>
      <c r="C7" s="300" t="s">
        <v>10</v>
      </c>
      <c r="D7" s="301"/>
      <c r="E7" s="302"/>
      <c r="F7" s="304" t="s">
        <v>11</v>
      </c>
      <c r="G7" s="324"/>
    </row>
    <row r="8" spans="1:7" ht="16.5" thickTop="1" thickBot="1" x14ac:dyDescent="0.3">
      <c r="A8" s="325"/>
      <c r="B8" s="260"/>
      <c r="C8" s="300" t="s">
        <v>159</v>
      </c>
      <c r="D8" s="301"/>
      <c r="E8" s="302"/>
      <c r="F8" s="304" t="s">
        <v>12</v>
      </c>
      <c r="G8" s="324"/>
    </row>
    <row r="9" spans="1:7" ht="16.5" thickTop="1" thickBot="1" x14ac:dyDescent="0.3">
      <c r="A9" s="325"/>
      <c r="B9" s="260"/>
      <c r="C9" s="300" t="s">
        <v>160</v>
      </c>
      <c r="D9" s="301"/>
      <c r="E9" s="302"/>
      <c r="F9" s="304" t="s">
        <v>161</v>
      </c>
      <c r="G9" s="324"/>
    </row>
    <row r="10" spans="1:7" ht="16.5" thickTop="1" thickBot="1" x14ac:dyDescent="0.3">
      <c r="A10" s="327"/>
      <c r="B10" s="261"/>
      <c r="C10" s="300" t="s">
        <v>162</v>
      </c>
      <c r="D10" s="301"/>
      <c r="E10" s="302"/>
      <c r="F10" s="303" t="s">
        <v>163</v>
      </c>
      <c r="G10" s="328"/>
    </row>
    <row r="11" spans="1:7" ht="15.75" thickTop="1" x14ac:dyDescent="0.25">
      <c r="A11" s="323" t="s">
        <v>164</v>
      </c>
      <c r="B11" s="272"/>
      <c r="C11" s="263" t="s">
        <v>165</v>
      </c>
      <c r="D11" s="264"/>
      <c r="E11" s="265"/>
      <c r="F11" s="294" t="s">
        <v>166</v>
      </c>
      <c r="G11" s="329"/>
    </row>
    <row r="12" spans="1:7" ht="7.5" customHeight="1" thickBot="1" x14ac:dyDescent="0.3">
      <c r="A12" s="164" t="s">
        <v>186</v>
      </c>
      <c r="B12" s="275"/>
      <c r="C12" s="268"/>
      <c r="D12" s="269"/>
      <c r="E12" s="270"/>
      <c r="F12" s="295"/>
      <c r="G12" s="330"/>
    </row>
    <row r="13" spans="1:7" ht="24.75" customHeight="1" thickTop="1" thickBot="1" x14ac:dyDescent="0.3">
      <c r="A13" s="164"/>
      <c r="B13" s="275"/>
      <c r="C13" s="296" t="s">
        <v>167</v>
      </c>
      <c r="D13" s="297"/>
      <c r="E13" s="298"/>
      <c r="F13" s="299" t="s">
        <v>188</v>
      </c>
      <c r="G13" s="331"/>
    </row>
    <row r="14" spans="1:7" ht="30" customHeight="1" thickTop="1" thickBot="1" x14ac:dyDescent="0.3">
      <c r="A14" s="164"/>
      <c r="B14" s="275"/>
      <c r="C14" s="296" t="s">
        <v>168</v>
      </c>
      <c r="D14" s="297"/>
      <c r="E14" s="298"/>
      <c r="F14" s="290" t="s">
        <v>169</v>
      </c>
      <c r="G14" s="332"/>
    </row>
    <row r="15" spans="1:7" ht="16.5" customHeight="1" thickTop="1" thickBot="1" x14ac:dyDescent="0.3">
      <c r="A15" s="164"/>
      <c r="B15" s="275"/>
      <c r="C15" s="296" t="s">
        <v>43</v>
      </c>
      <c r="D15" s="297"/>
      <c r="E15" s="298"/>
      <c r="F15" s="290" t="s">
        <v>170</v>
      </c>
      <c r="G15" s="332"/>
    </row>
    <row r="16" spans="1:7" ht="28.5" customHeight="1" thickTop="1" x14ac:dyDescent="0.25">
      <c r="A16" s="164"/>
      <c r="B16" s="275"/>
      <c r="C16" s="263" t="s">
        <v>171</v>
      </c>
      <c r="D16" s="264"/>
      <c r="E16" s="265"/>
      <c r="F16" s="306" t="s">
        <v>189</v>
      </c>
      <c r="G16" s="333"/>
    </row>
    <row r="17" spans="1:7" ht="15" customHeight="1" thickBot="1" x14ac:dyDescent="0.3">
      <c r="A17" s="334"/>
      <c r="B17" s="277"/>
      <c r="C17" s="268"/>
      <c r="D17" s="269"/>
      <c r="E17" s="270"/>
      <c r="F17" s="276"/>
      <c r="G17" s="335"/>
    </row>
    <row r="18" spans="1:7" ht="16.5" thickTop="1" thickBot="1" x14ac:dyDescent="0.3">
      <c r="A18" s="336"/>
      <c r="B18" s="291"/>
      <c r="C18" s="291"/>
      <c r="D18" s="291"/>
      <c r="E18" s="291"/>
      <c r="F18" s="291"/>
      <c r="G18" s="337"/>
    </row>
    <row r="19" spans="1:7" ht="31.5" thickTop="1" thickBot="1" x14ac:dyDescent="0.3">
      <c r="A19" s="338" t="s">
        <v>172</v>
      </c>
      <c r="B19" s="292" t="s">
        <v>173</v>
      </c>
      <c r="C19" s="293"/>
      <c r="D19" s="90" t="s">
        <v>30</v>
      </c>
      <c r="E19" s="90" t="s">
        <v>174</v>
      </c>
      <c r="F19" s="90" t="s">
        <v>175</v>
      </c>
      <c r="G19" s="339" t="s">
        <v>176</v>
      </c>
    </row>
    <row r="20" spans="1:7" ht="16.5" thickTop="1" thickBot="1" x14ac:dyDescent="0.3">
      <c r="A20" s="340">
        <v>1</v>
      </c>
      <c r="B20" s="288" t="s">
        <v>190</v>
      </c>
      <c r="C20" s="289"/>
      <c r="D20" s="91">
        <v>68022390</v>
      </c>
      <c r="E20" s="91">
        <v>300</v>
      </c>
      <c r="F20" s="309">
        <v>35.5</v>
      </c>
      <c r="G20" s="341">
        <f>E20*F20</f>
        <v>10650</v>
      </c>
    </row>
    <row r="21" spans="1:7" ht="16.5" thickTop="1" thickBot="1" x14ac:dyDescent="0.3">
      <c r="A21" s="340">
        <v>2</v>
      </c>
      <c r="B21" s="307" t="s">
        <v>191</v>
      </c>
      <c r="C21" s="308"/>
      <c r="D21" s="91">
        <v>68022390</v>
      </c>
      <c r="E21" s="91">
        <v>150</v>
      </c>
      <c r="F21" s="309">
        <v>39</v>
      </c>
      <c r="G21" s="341">
        <f>E21*F21</f>
        <v>5850</v>
      </c>
    </row>
    <row r="22" spans="1:7" ht="16.5" thickTop="1" thickBot="1" x14ac:dyDescent="0.3">
      <c r="A22" s="342"/>
      <c r="B22" s="284"/>
      <c r="C22" s="285"/>
      <c r="D22" s="92"/>
      <c r="E22" s="92"/>
      <c r="F22" s="92"/>
      <c r="G22" s="343"/>
    </row>
    <row r="23" spans="1:7" ht="16.5" thickTop="1" thickBot="1" x14ac:dyDescent="0.3">
      <c r="A23" s="342"/>
      <c r="B23" s="284"/>
      <c r="C23" s="285"/>
      <c r="D23" s="92"/>
      <c r="E23" s="92"/>
      <c r="F23" s="92"/>
      <c r="G23" s="343"/>
    </row>
    <row r="24" spans="1:7" ht="16.5" thickTop="1" thickBot="1" x14ac:dyDescent="0.3">
      <c r="A24" s="342"/>
      <c r="B24" s="284"/>
      <c r="C24" s="285"/>
      <c r="D24" s="92"/>
      <c r="E24" s="92"/>
      <c r="F24" s="92"/>
      <c r="G24" s="343"/>
    </row>
    <row r="25" spans="1:7" ht="16.5" thickTop="1" thickBot="1" x14ac:dyDescent="0.3">
      <c r="A25" s="342"/>
      <c r="B25" s="284"/>
      <c r="C25" s="285"/>
      <c r="D25" s="92"/>
      <c r="E25" s="92"/>
      <c r="F25" s="92"/>
      <c r="G25" s="343"/>
    </row>
    <row r="26" spans="1:7" ht="31.5" customHeight="1" thickTop="1" x14ac:dyDescent="0.25">
      <c r="A26" s="323" t="s">
        <v>177</v>
      </c>
      <c r="B26" s="271"/>
      <c r="C26" s="271"/>
      <c r="D26" s="272"/>
      <c r="E26" s="278" t="s">
        <v>181</v>
      </c>
      <c r="F26" s="279"/>
      <c r="G26" s="344">
        <f>SUM(G20:G25)</f>
        <v>16500</v>
      </c>
    </row>
    <row r="27" spans="1:7" ht="15.75" thickBot="1" x14ac:dyDescent="0.3">
      <c r="A27" s="345" t="s">
        <v>178</v>
      </c>
      <c r="B27" s="286"/>
      <c r="C27" s="286"/>
      <c r="D27" s="287"/>
      <c r="E27" s="280"/>
      <c r="F27" s="281"/>
      <c r="G27" s="346"/>
    </row>
    <row r="28" spans="1:7" ht="32.25" customHeight="1" thickTop="1" thickBot="1" x14ac:dyDescent="0.3">
      <c r="A28" s="345" t="s">
        <v>179</v>
      </c>
      <c r="B28" s="286"/>
      <c r="C28" s="286"/>
      <c r="D28" s="287"/>
      <c r="E28" s="282"/>
      <c r="F28" s="283"/>
      <c r="G28" s="347"/>
    </row>
    <row r="29" spans="1:7" ht="25.5" customHeight="1" thickTop="1" thickBot="1" x14ac:dyDescent="0.3">
      <c r="A29" s="345" t="s">
        <v>180</v>
      </c>
      <c r="B29" s="286"/>
      <c r="C29" s="286"/>
      <c r="D29" s="287"/>
      <c r="E29" s="278" t="s">
        <v>74</v>
      </c>
      <c r="F29" s="279"/>
      <c r="G29" s="348">
        <v>16500</v>
      </c>
    </row>
    <row r="30" spans="1:7" x14ac:dyDescent="0.25">
      <c r="A30" s="311" t="s">
        <v>182</v>
      </c>
      <c r="B30" s="312"/>
      <c r="C30" s="312"/>
      <c r="D30" s="312"/>
      <c r="E30" s="312"/>
      <c r="F30" s="312"/>
      <c r="G30" s="313"/>
    </row>
    <row r="31" spans="1:7" ht="15" customHeight="1" x14ac:dyDescent="0.25">
      <c r="A31" s="314" t="s">
        <v>183</v>
      </c>
      <c r="B31" s="262"/>
      <c r="C31" s="262"/>
      <c r="D31" s="262"/>
      <c r="E31" s="262"/>
      <c r="F31" s="262"/>
      <c r="G31" s="315"/>
    </row>
    <row r="32" spans="1:7" ht="15" customHeight="1" x14ac:dyDescent="0.25">
      <c r="A32" s="314" t="s">
        <v>193</v>
      </c>
      <c r="B32" s="262"/>
      <c r="C32" s="262"/>
      <c r="D32" s="262"/>
      <c r="E32" s="262"/>
      <c r="F32" s="262"/>
      <c r="G32" s="315"/>
    </row>
    <row r="33" spans="1:7" ht="14.25" customHeight="1" thickBot="1" x14ac:dyDescent="0.3">
      <c r="A33" s="316" t="s">
        <v>192</v>
      </c>
      <c r="B33" s="317"/>
      <c r="C33" s="317"/>
      <c r="D33" s="317"/>
      <c r="E33" s="317"/>
      <c r="F33" s="317"/>
      <c r="G33" s="318"/>
    </row>
    <row r="34" spans="1:7" x14ac:dyDescent="0.25">
      <c r="A34" s="349" t="s">
        <v>184</v>
      </c>
      <c r="B34" s="266"/>
      <c r="C34" s="267"/>
      <c r="D34" s="273" t="s">
        <v>185</v>
      </c>
      <c r="E34" s="310"/>
      <c r="F34" s="310"/>
      <c r="G34" s="350"/>
    </row>
    <row r="35" spans="1:7" x14ac:dyDescent="0.25">
      <c r="A35" s="349"/>
      <c r="B35" s="266"/>
      <c r="C35" s="267"/>
      <c r="D35" s="273"/>
      <c r="E35" s="310"/>
      <c r="F35" s="310"/>
      <c r="G35" s="350"/>
    </row>
    <row r="36" spans="1:7" ht="15.75" thickBot="1" x14ac:dyDescent="0.3">
      <c r="A36" s="351"/>
      <c r="B36" s="352"/>
      <c r="C36" s="353"/>
      <c r="D36" s="354"/>
      <c r="E36" s="355"/>
      <c r="F36" s="355"/>
      <c r="G36" s="356"/>
    </row>
  </sheetData>
  <mergeCells count="53">
    <mergeCell ref="A2:G2"/>
    <mergeCell ref="A3:B3"/>
    <mergeCell ref="C3:E3"/>
    <mergeCell ref="F3:G3"/>
    <mergeCell ref="F16:G17"/>
    <mergeCell ref="A33:G33"/>
    <mergeCell ref="C4:E4"/>
    <mergeCell ref="F4:G4"/>
    <mergeCell ref="C5:E5"/>
    <mergeCell ref="F5:G5"/>
    <mergeCell ref="C6:E6"/>
    <mergeCell ref="F6:G6"/>
    <mergeCell ref="C15:E15"/>
    <mergeCell ref="C10:E10"/>
    <mergeCell ref="F10:G10"/>
    <mergeCell ref="A11:B11"/>
    <mergeCell ref="C7:E7"/>
    <mergeCell ref="F7:G7"/>
    <mergeCell ref="C8:E8"/>
    <mergeCell ref="F8:G8"/>
    <mergeCell ref="C9:E9"/>
    <mergeCell ref="F9:G9"/>
    <mergeCell ref="C11:E12"/>
    <mergeCell ref="F11:G12"/>
    <mergeCell ref="C13:E13"/>
    <mergeCell ref="F13:G13"/>
    <mergeCell ref="C14:E14"/>
    <mergeCell ref="F14:G14"/>
    <mergeCell ref="A12:B17"/>
    <mergeCell ref="A29:D29"/>
    <mergeCell ref="E26:F27"/>
    <mergeCell ref="G26:G27"/>
    <mergeCell ref="E28:G28"/>
    <mergeCell ref="E29:F29"/>
    <mergeCell ref="B24:C24"/>
    <mergeCell ref="B25:C25"/>
    <mergeCell ref="A26:D26"/>
    <mergeCell ref="A27:D27"/>
    <mergeCell ref="A28:D28"/>
    <mergeCell ref="B20:C20"/>
    <mergeCell ref="B21:C21"/>
    <mergeCell ref="B22:C22"/>
    <mergeCell ref="A4:B10"/>
    <mergeCell ref="A31:G31"/>
    <mergeCell ref="A32:G32"/>
    <mergeCell ref="A34:C36"/>
    <mergeCell ref="D34:G36"/>
    <mergeCell ref="A30:G30"/>
    <mergeCell ref="B23:C23"/>
    <mergeCell ref="F15:G15"/>
    <mergeCell ref="C16:E17"/>
    <mergeCell ref="A18:G18"/>
    <mergeCell ref="B19:C19"/>
  </mergeCells>
  <pageMargins left="0.7" right="0.7" top="0.75" bottom="0.75" header="0.3" footer="0.3"/>
  <pageSetup scale="9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company data</vt:lpstr>
      <vt:lpstr>input data</vt:lpstr>
      <vt:lpstr>Inovice</vt:lpstr>
      <vt:lpstr>Peacking List</vt:lpstr>
      <vt:lpstr>PO</vt:lpstr>
      <vt:lpstr>proforma Invoice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2024-09-16T10:29:22Z</cp:lastPrinted>
  <dcterms:created xsi:type="dcterms:W3CDTF">2022-11-23T06:47:43Z</dcterms:created>
  <dcterms:modified xsi:type="dcterms:W3CDTF">2024-09-16T10:29:56Z</dcterms:modified>
</cp:coreProperties>
</file>
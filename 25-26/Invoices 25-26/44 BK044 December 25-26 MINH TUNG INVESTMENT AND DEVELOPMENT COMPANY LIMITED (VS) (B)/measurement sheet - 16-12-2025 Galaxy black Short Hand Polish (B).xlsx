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</sheets>
  <definedNames>
    <definedName name="ColumnTitle1">#REF!</definedName>
    <definedName name="ColumnTitleRegion1..B4.1">#REF!</definedName>
    <definedName name="ColumnTitleRegion2..C9.1">#REF!</definedName>
    <definedName name="Company_Name">#REF!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22" i="1" l="1"/>
  <c r="I22" i="1"/>
  <c r="J22" i="1" s="1"/>
  <c r="H23" i="1"/>
  <c r="I23" i="1"/>
  <c r="H24" i="1"/>
  <c r="I24" i="1"/>
  <c r="H25" i="1"/>
  <c r="I25" i="1"/>
  <c r="H26" i="1"/>
  <c r="I26" i="1"/>
  <c r="H27" i="1"/>
  <c r="I27" i="1"/>
  <c r="H28" i="1"/>
  <c r="I28" i="1"/>
  <c r="J28" i="1" s="1"/>
  <c r="H29" i="1"/>
  <c r="I29" i="1"/>
  <c r="H30" i="1"/>
  <c r="I30" i="1"/>
  <c r="H31" i="1"/>
  <c r="I31" i="1"/>
  <c r="H32" i="1"/>
  <c r="I32" i="1"/>
  <c r="J32" i="1" s="1"/>
  <c r="H33" i="1"/>
  <c r="I33" i="1"/>
  <c r="H34" i="1"/>
  <c r="I34" i="1"/>
  <c r="H35" i="1"/>
  <c r="I35" i="1"/>
  <c r="H36" i="1"/>
  <c r="I36" i="1"/>
  <c r="J36" i="1" s="1"/>
  <c r="H37" i="1"/>
  <c r="I37" i="1"/>
  <c r="H38" i="1"/>
  <c r="I38" i="1"/>
  <c r="H39" i="1"/>
  <c r="I39" i="1"/>
  <c r="H40" i="1"/>
  <c r="I40" i="1"/>
  <c r="H41" i="1"/>
  <c r="I41" i="1"/>
  <c r="H42" i="1"/>
  <c r="I42" i="1"/>
  <c r="J42" i="1" s="1"/>
  <c r="H43" i="1"/>
  <c r="I43" i="1"/>
  <c r="H44" i="1"/>
  <c r="I44" i="1"/>
  <c r="J44" i="1" s="1"/>
  <c r="H45" i="1"/>
  <c r="I45" i="1"/>
  <c r="H46" i="1"/>
  <c r="I46" i="1"/>
  <c r="J46" i="1" s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J54" i="1" s="1"/>
  <c r="H55" i="1"/>
  <c r="I55" i="1"/>
  <c r="H56" i="1"/>
  <c r="I56" i="1"/>
  <c r="H57" i="1"/>
  <c r="I57" i="1"/>
  <c r="H58" i="1"/>
  <c r="I58" i="1"/>
  <c r="J58" i="1" s="1"/>
  <c r="H59" i="1"/>
  <c r="I59" i="1"/>
  <c r="H60" i="1"/>
  <c r="I60" i="1"/>
  <c r="J60" i="1" s="1"/>
  <c r="H61" i="1"/>
  <c r="I61" i="1"/>
  <c r="H62" i="1"/>
  <c r="I62" i="1"/>
  <c r="H63" i="1"/>
  <c r="I63" i="1"/>
  <c r="H64" i="1"/>
  <c r="I64" i="1"/>
  <c r="H65" i="1"/>
  <c r="I65" i="1"/>
  <c r="H66" i="1"/>
  <c r="I66" i="1"/>
  <c r="J66" i="1" s="1"/>
  <c r="H67" i="1"/>
  <c r="I67" i="1"/>
  <c r="H68" i="1"/>
  <c r="I68" i="1"/>
  <c r="J68" i="1" s="1"/>
  <c r="H69" i="1"/>
  <c r="I69" i="1"/>
  <c r="H70" i="1"/>
  <c r="I70" i="1"/>
  <c r="J70" i="1" s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J78" i="1" s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J86" i="1" s="1"/>
  <c r="H87" i="1"/>
  <c r="I87" i="1"/>
  <c r="H88" i="1"/>
  <c r="I88" i="1"/>
  <c r="H89" i="1"/>
  <c r="I89" i="1"/>
  <c r="H90" i="1"/>
  <c r="I90" i="1"/>
  <c r="J90" i="1" s="1"/>
  <c r="H91" i="1"/>
  <c r="I91" i="1"/>
  <c r="H92" i="1"/>
  <c r="I92" i="1"/>
  <c r="H93" i="1"/>
  <c r="I93" i="1"/>
  <c r="H94" i="1"/>
  <c r="I94" i="1"/>
  <c r="H95" i="1"/>
  <c r="I95" i="1"/>
  <c r="H96" i="1"/>
  <c r="I96" i="1"/>
  <c r="J96" i="1" s="1"/>
  <c r="H97" i="1"/>
  <c r="I97" i="1"/>
  <c r="H98" i="1"/>
  <c r="I98" i="1"/>
  <c r="J98" i="1" s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J106" i="1" s="1"/>
  <c r="H107" i="1"/>
  <c r="I107" i="1"/>
  <c r="H108" i="1"/>
  <c r="I108" i="1"/>
  <c r="J108" i="1" s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J116" i="1" s="1"/>
  <c r="H117" i="1"/>
  <c r="I117" i="1"/>
  <c r="H118" i="1"/>
  <c r="I118" i="1"/>
  <c r="H119" i="1"/>
  <c r="I119" i="1"/>
  <c r="H120" i="1"/>
  <c r="I120" i="1"/>
  <c r="H121" i="1"/>
  <c r="I121" i="1"/>
  <c r="H122" i="1"/>
  <c r="I122" i="1"/>
  <c r="J122" i="1" s="1"/>
  <c r="H123" i="1"/>
  <c r="I123" i="1"/>
  <c r="H124" i="1"/>
  <c r="I124" i="1"/>
  <c r="H125" i="1"/>
  <c r="I125" i="1"/>
  <c r="H126" i="1"/>
  <c r="I126" i="1"/>
  <c r="J126" i="1" s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J134" i="1" s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J142" i="1" s="1"/>
  <c r="H143" i="1"/>
  <c r="I143" i="1"/>
  <c r="H144" i="1"/>
  <c r="I144" i="1"/>
  <c r="H145" i="1"/>
  <c r="I145" i="1"/>
  <c r="H146" i="1"/>
  <c r="I146" i="1"/>
  <c r="J146" i="1" s="1"/>
  <c r="H147" i="1"/>
  <c r="I147" i="1"/>
  <c r="H148" i="1"/>
  <c r="I148" i="1"/>
  <c r="H149" i="1"/>
  <c r="I149" i="1"/>
  <c r="H150" i="1"/>
  <c r="I150" i="1"/>
  <c r="H151" i="1"/>
  <c r="I151" i="1"/>
  <c r="H152" i="1"/>
  <c r="I152" i="1"/>
  <c r="J152" i="1" s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J160" i="1" s="1"/>
  <c r="H161" i="1"/>
  <c r="I161" i="1"/>
  <c r="H162" i="1"/>
  <c r="I162" i="1"/>
  <c r="H163" i="1"/>
  <c r="I163" i="1"/>
  <c r="H164" i="1"/>
  <c r="I164" i="1"/>
  <c r="H165" i="1"/>
  <c r="I165" i="1"/>
  <c r="H166" i="1"/>
  <c r="I166" i="1"/>
  <c r="J166" i="1" s="1"/>
  <c r="H167" i="1"/>
  <c r="I167" i="1"/>
  <c r="H168" i="1"/>
  <c r="I168" i="1"/>
  <c r="H169" i="1"/>
  <c r="I169" i="1"/>
  <c r="H170" i="1"/>
  <c r="I170" i="1"/>
  <c r="H171" i="1"/>
  <c r="I171" i="1"/>
  <c r="H172" i="1"/>
  <c r="I172" i="1"/>
  <c r="J172" i="1" s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J180" i="1" s="1"/>
  <c r="H181" i="1"/>
  <c r="I181" i="1"/>
  <c r="H182" i="1"/>
  <c r="I182" i="1"/>
  <c r="J182" i="1" s="1"/>
  <c r="H183" i="1"/>
  <c r="I183" i="1"/>
  <c r="H184" i="1"/>
  <c r="I184" i="1"/>
  <c r="H185" i="1"/>
  <c r="I185" i="1"/>
  <c r="H186" i="1"/>
  <c r="I186" i="1"/>
  <c r="J186" i="1" s="1"/>
  <c r="H187" i="1"/>
  <c r="I187" i="1"/>
  <c r="H188" i="1"/>
  <c r="I188" i="1"/>
  <c r="J188" i="1" s="1"/>
  <c r="H189" i="1"/>
  <c r="I189" i="1"/>
  <c r="H190" i="1"/>
  <c r="I190" i="1"/>
  <c r="J190" i="1" s="1"/>
  <c r="H191" i="1"/>
  <c r="I191" i="1"/>
  <c r="H192" i="1"/>
  <c r="I192" i="1"/>
  <c r="H193" i="1"/>
  <c r="I193" i="1"/>
  <c r="H194" i="1"/>
  <c r="I194" i="1"/>
  <c r="H195" i="1"/>
  <c r="I195" i="1"/>
  <c r="H196" i="1"/>
  <c r="I196" i="1"/>
  <c r="J196" i="1" s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J204" i="1" s="1"/>
  <c r="H205" i="1"/>
  <c r="I205" i="1"/>
  <c r="H206" i="1"/>
  <c r="I206" i="1"/>
  <c r="J206" i="1" s="1"/>
  <c r="H207" i="1"/>
  <c r="I207" i="1"/>
  <c r="H208" i="1"/>
  <c r="I208" i="1"/>
  <c r="J208" i="1" s="1"/>
  <c r="H209" i="1"/>
  <c r="I209" i="1"/>
  <c r="H210" i="1"/>
  <c r="I210" i="1"/>
  <c r="H211" i="1"/>
  <c r="I211" i="1"/>
  <c r="H212" i="1"/>
  <c r="I212" i="1"/>
  <c r="H213" i="1"/>
  <c r="I213" i="1"/>
  <c r="H214" i="1"/>
  <c r="I214" i="1"/>
  <c r="J214" i="1" s="1"/>
  <c r="H215" i="1"/>
  <c r="I215" i="1"/>
  <c r="H216" i="1"/>
  <c r="I216" i="1"/>
  <c r="J216" i="1" s="1"/>
  <c r="H217" i="1"/>
  <c r="I217" i="1"/>
  <c r="H218" i="1"/>
  <c r="I218" i="1"/>
  <c r="H219" i="1"/>
  <c r="I219" i="1"/>
  <c r="H220" i="1"/>
  <c r="I220" i="1"/>
  <c r="H221" i="1"/>
  <c r="I221" i="1"/>
  <c r="H222" i="1"/>
  <c r="I222" i="1"/>
  <c r="J222" i="1" s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J230" i="1" s="1"/>
  <c r="H231" i="1"/>
  <c r="I231" i="1"/>
  <c r="H232" i="1"/>
  <c r="I232" i="1"/>
  <c r="J232" i="1" s="1"/>
  <c r="H233" i="1"/>
  <c r="I233" i="1"/>
  <c r="H234" i="1"/>
  <c r="I234" i="1"/>
  <c r="J234" i="1" s="1"/>
  <c r="H235" i="1"/>
  <c r="I235" i="1"/>
  <c r="H236" i="1"/>
  <c r="I236" i="1"/>
  <c r="H237" i="1"/>
  <c r="I237" i="1"/>
  <c r="H238" i="1"/>
  <c r="I238" i="1"/>
  <c r="J238" i="1" s="1"/>
  <c r="H239" i="1"/>
  <c r="I239" i="1"/>
  <c r="H240" i="1"/>
  <c r="I240" i="1"/>
  <c r="H241" i="1"/>
  <c r="I241" i="1"/>
  <c r="H242" i="1"/>
  <c r="I242" i="1"/>
  <c r="H243" i="1"/>
  <c r="I243" i="1"/>
  <c r="H244" i="1"/>
  <c r="I244" i="1"/>
  <c r="J244" i="1" s="1"/>
  <c r="H245" i="1"/>
  <c r="I245" i="1"/>
  <c r="H246" i="1"/>
  <c r="I246" i="1"/>
  <c r="J246" i="1" s="1"/>
  <c r="H247" i="1"/>
  <c r="I247" i="1"/>
  <c r="H248" i="1"/>
  <c r="I248" i="1"/>
  <c r="J248" i="1" s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J256" i="1" s="1"/>
  <c r="H257" i="1"/>
  <c r="I257" i="1"/>
  <c r="H258" i="1"/>
  <c r="I258" i="1"/>
  <c r="H259" i="1"/>
  <c r="I259" i="1"/>
  <c r="H260" i="1"/>
  <c r="I260" i="1"/>
  <c r="H261" i="1"/>
  <c r="I261" i="1"/>
  <c r="H262" i="1"/>
  <c r="I262" i="1"/>
  <c r="J262" i="1" s="1"/>
  <c r="H263" i="1"/>
  <c r="I263" i="1"/>
  <c r="H264" i="1"/>
  <c r="I264" i="1"/>
  <c r="H265" i="1"/>
  <c r="I265" i="1"/>
  <c r="H266" i="1"/>
  <c r="I266" i="1"/>
  <c r="J266" i="1" s="1"/>
  <c r="H267" i="1"/>
  <c r="I267" i="1"/>
  <c r="H268" i="1"/>
  <c r="I268" i="1"/>
  <c r="J268" i="1" s="1"/>
  <c r="H269" i="1"/>
  <c r="I269" i="1"/>
  <c r="H270" i="1"/>
  <c r="I270" i="1"/>
  <c r="H271" i="1"/>
  <c r="I271" i="1"/>
  <c r="H272" i="1"/>
  <c r="I272" i="1"/>
  <c r="J272" i="1" s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J280" i="1" s="1"/>
  <c r="H281" i="1"/>
  <c r="I281" i="1"/>
  <c r="H282" i="1"/>
  <c r="I282" i="1"/>
  <c r="J282" i="1" s="1"/>
  <c r="H283" i="1"/>
  <c r="I283" i="1"/>
  <c r="H284" i="1"/>
  <c r="I284" i="1"/>
  <c r="H285" i="1"/>
  <c r="I285" i="1"/>
  <c r="H286" i="1"/>
  <c r="I286" i="1"/>
  <c r="H287" i="1"/>
  <c r="I287" i="1"/>
  <c r="H288" i="1"/>
  <c r="I288" i="1"/>
  <c r="J288" i="1" s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J300" i="1" s="1"/>
  <c r="H301" i="1"/>
  <c r="I301" i="1"/>
  <c r="H302" i="1"/>
  <c r="I302" i="1"/>
  <c r="H303" i="1"/>
  <c r="I303" i="1"/>
  <c r="H304" i="1"/>
  <c r="I304" i="1"/>
  <c r="J304" i="1" s="1"/>
  <c r="H305" i="1"/>
  <c r="I305" i="1"/>
  <c r="H306" i="1"/>
  <c r="I306" i="1"/>
  <c r="J306" i="1" s="1"/>
  <c r="H307" i="1"/>
  <c r="I307" i="1"/>
  <c r="H308" i="1"/>
  <c r="I308" i="1"/>
  <c r="H309" i="1"/>
  <c r="I309" i="1"/>
  <c r="H310" i="1"/>
  <c r="I310" i="1"/>
  <c r="H311" i="1"/>
  <c r="I311" i="1"/>
  <c r="H312" i="1"/>
  <c r="I312" i="1"/>
  <c r="J312" i="1" s="1"/>
  <c r="H313" i="1"/>
  <c r="I313" i="1"/>
  <c r="H314" i="1"/>
  <c r="I314" i="1"/>
  <c r="H315" i="1"/>
  <c r="I315" i="1"/>
  <c r="H316" i="1"/>
  <c r="I316" i="1"/>
  <c r="J316" i="1" s="1"/>
  <c r="H317" i="1"/>
  <c r="I317" i="1"/>
  <c r="H318" i="1"/>
  <c r="I318" i="1"/>
  <c r="H319" i="1"/>
  <c r="I319" i="1"/>
  <c r="H320" i="1"/>
  <c r="I320" i="1"/>
  <c r="J320" i="1" s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J328" i="1" s="1"/>
  <c r="H329" i="1"/>
  <c r="I329" i="1"/>
  <c r="H330" i="1"/>
  <c r="I330" i="1"/>
  <c r="J330" i="1" s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J342" i="1" s="1"/>
  <c r="H343" i="1"/>
  <c r="I343" i="1"/>
  <c r="H344" i="1"/>
  <c r="I344" i="1"/>
  <c r="H345" i="1"/>
  <c r="I345" i="1"/>
  <c r="H346" i="1"/>
  <c r="I346" i="1"/>
  <c r="J346" i="1" s="1"/>
  <c r="H347" i="1"/>
  <c r="I347" i="1"/>
  <c r="H348" i="1"/>
  <c r="I348" i="1"/>
  <c r="H349" i="1"/>
  <c r="I349" i="1"/>
  <c r="H350" i="1"/>
  <c r="I350" i="1"/>
  <c r="J350" i="1" s="1"/>
  <c r="H351" i="1"/>
  <c r="I351" i="1"/>
  <c r="H352" i="1"/>
  <c r="I352" i="1"/>
  <c r="H353" i="1"/>
  <c r="I353" i="1"/>
  <c r="H354" i="1"/>
  <c r="I354" i="1"/>
  <c r="J354" i="1" s="1"/>
  <c r="H355" i="1"/>
  <c r="I355" i="1"/>
  <c r="H356" i="1"/>
  <c r="I356" i="1"/>
  <c r="H357" i="1"/>
  <c r="I357" i="1"/>
  <c r="H358" i="1"/>
  <c r="I358" i="1"/>
  <c r="J358" i="1" s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J366" i="1" s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J376" i="1" s="1"/>
  <c r="H377" i="1"/>
  <c r="I377" i="1"/>
  <c r="H378" i="1"/>
  <c r="I378" i="1"/>
  <c r="J378" i="1" s="1"/>
  <c r="H379" i="1"/>
  <c r="I379" i="1"/>
  <c r="H380" i="1"/>
  <c r="I380" i="1"/>
  <c r="H381" i="1"/>
  <c r="I381" i="1"/>
  <c r="H382" i="1"/>
  <c r="I382" i="1"/>
  <c r="H383" i="1"/>
  <c r="I383" i="1"/>
  <c r="H384" i="1"/>
  <c r="I384" i="1"/>
  <c r="J384" i="1" s="1"/>
  <c r="H385" i="1"/>
  <c r="I385" i="1"/>
  <c r="H386" i="1"/>
  <c r="I386" i="1"/>
  <c r="H387" i="1"/>
  <c r="I387" i="1"/>
  <c r="H388" i="1"/>
  <c r="I388" i="1"/>
  <c r="H389" i="1"/>
  <c r="I389" i="1"/>
  <c r="H390" i="1"/>
  <c r="I390" i="1"/>
  <c r="J390" i="1" s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J404" i="1" s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J412" i="1" s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J420" i="1" s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J430" i="1" s="1"/>
  <c r="H431" i="1"/>
  <c r="I431" i="1"/>
  <c r="H432" i="1"/>
  <c r="I432" i="1"/>
  <c r="H433" i="1"/>
  <c r="I433" i="1"/>
  <c r="I21" i="1"/>
  <c r="H21" i="1"/>
  <c r="J432" i="1"/>
  <c r="J424" i="1"/>
  <c r="J398" i="1"/>
  <c r="J374" i="1"/>
  <c r="J370" i="1"/>
  <c r="J336" i="1"/>
  <c r="J332" i="1"/>
  <c r="J324" i="1"/>
  <c r="J308" i="1"/>
  <c r="J296" i="1"/>
  <c r="J292" i="1"/>
  <c r="J278" i="1"/>
  <c r="J276" i="1"/>
  <c r="J274" i="1"/>
  <c r="J270" i="1"/>
  <c r="J260" i="1"/>
  <c r="J258" i="1"/>
  <c r="J254" i="1"/>
  <c r="J252" i="1"/>
  <c r="J250" i="1"/>
  <c r="J242" i="1"/>
  <c r="J240" i="1"/>
  <c r="J236" i="1"/>
  <c r="J228" i="1"/>
  <c r="J226" i="1"/>
  <c r="J224" i="1"/>
  <c r="J220" i="1"/>
  <c r="J218" i="1"/>
  <c r="J212" i="1"/>
  <c r="J202" i="1"/>
  <c r="J200" i="1"/>
  <c r="J198" i="1"/>
  <c r="J194" i="1"/>
  <c r="J192" i="1"/>
  <c r="J184" i="1"/>
  <c r="J178" i="1"/>
  <c r="J176" i="1"/>
  <c r="J174" i="1"/>
  <c r="J170" i="1"/>
  <c r="J168" i="1"/>
  <c r="J164" i="1"/>
  <c r="J158" i="1"/>
  <c r="J156" i="1"/>
  <c r="J154" i="1"/>
  <c r="J150" i="1"/>
  <c r="J148" i="1"/>
  <c r="J144" i="1"/>
  <c r="J140" i="1"/>
  <c r="J138" i="1"/>
  <c r="J136" i="1"/>
  <c r="J132" i="1"/>
  <c r="J130" i="1"/>
  <c r="J128" i="1"/>
  <c r="J124" i="1"/>
  <c r="J120" i="1"/>
  <c r="J118" i="1"/>
  <c r="J114" i="1"/>
  <c r="J112" i="1"/>
  <c r="J110" i="1"/>
  <c r="J104" i="1"/>
  <c r="J102" i="1"/>
  <c r="J100" i="1"/>
  <c r="J94" i="1"/>
  <c r="J92" i="1"/>
  <c r="J88" i="1"/>
  <c r="J84" i="1"/>
  <c r="J82" i="1"/>
  <c r="J80" i="1"/>
  <c r="J76" i="1"/>
  <c r="J74" i="1"/>
  <c r="J72" i="1"/>
  <c r="J64" i="1"/>
  <c r="J62" i="1"/>
  <c r="J56" i="1"/>
  <c r="J52" i="1"/>
  <c r="J50" i="1"/>
  <c r="J48" i="1"/>
  <c r="J40" i="1"/>
  <c r="J38" i="1"/>
  <c r="J34" i="1"/>
  <c r="J30" i="1"/>
  <c r="J26" i="1"/>
  <c r="J24" i="1"/>
  <c r="J419" i="1" l="1"/>
  <c r="J403" i="1"/>
  <c r="J371" i="1"/>
  <c r="J355" i="1"/>
  <c r="J339" i="1"/>
  <c r="J323" i="1"/>
  <c r="J307" i="1"/>
  <c r="J291" i="1"/>
  <c r="J275" i="1"/>
  <c r="J259" i="1"/>
  <c r="J243" i="1"/>
  <c r="J227" i="1"/>
  <c r="J211" i="1"/>
  <c r="J195" i="1"/>
  <c r="J179" i="1"/>
  <c r="J163" i="1"/>
  <c r="J147" i="1"/>
  <c r="J131" i="1"/>
  <c r="J115" i="1"/>
  <c r="J99" i="1"/>
  <c r="J310" i="1"/>
  <c r="J426" i="1"/>
  <c r="J418" i="1"/>
  <c r="J410" i="1"/>
  <c r="J396" i="1"/>
  <c r="J388" i="1"/>
  <c r="J387" i="1"/>
  <c r="J382" i="1"/>
  <c r="J428" i="1"/>
  <c r="J422" i="1"/>
  <c r="J416" i="1"/>
  <c r="J414" i="1"/>
  <c r="J408" i="1"/>
  <c r="J406" i="1"/>
  <c r="J402" i="1"/>
  <c r="J400" i="1"/>
  <c r="J394" i="1"/>
  <c r="J392" i="1"/>
  <c r="J386" i="1"/>
  <c r="J368" i="1"/>
  <c r="J360" i="1"/>
  <c r="J356" i="1"/>
  <c r="J352" i="1"/>
  <c r="J348" i="1"/>
  <c r="J344" i="1"/>
  <c r="J340" i="1"/>
  <c r="J338" i="1"/>
  <c r="J334" i="1"/>
  <c r="J326" i="1"/>
  <c r="J322" i="1"/>
  <c r="J318" i="1"/>
  <c r="J314" i="1"/>
  <c r="J302" i="1"/>
  <c r="J298" i="1"/>
  <c r="J294" i="1"/>
  <c r="J290" i="1"/>
  <c r="J286" i="1"/>
  <c r="J284" i="1"/>
  <c r="J264" i="1"/>
  <c r="J380" i="1"/>
  <c r="J372" i="1"/>
  <c r="J364" i="1"/>
  <c r="J362" i="1"/>
  <c r="J210" i="1"/>
  <c r="J162" i="1"/>
  <c r="J431" i="1"/>
  <c r="J427" i="1"/>
  <c r="J423" i="1"/>
  <c r="J415" i="1"/>
  <c r="J411" i="1"/>
  <c r="J407" i="1"/>
  <c r="J399" i="1"/>
  <c r="J395" i="1"/>
  <c r="J391" i="1"/>
  <c r="J383" i="1"/>
  <c r="J379" i="1"/>
  <c r="J375" i="1"/>
  <c r="J367" i="1"/>
  <c r="J363" i="1"/>
  <c r="J359" i="1"/>
  <c r="J353" i="1"/>
  <c r="J351" i="1"/>
  <c r="J349" i="1"/>
  <c r="J347" i="1"/>
  <c r="J345" i="1"/>
  <c r="J343" i="1"/>
  <c r="J341" i="1"/>
  <c r="J337" i="1"/>
  <c r="J335" i="1"/>
  <c r="J333" i="1"/>
  <c r="J331" i="1"/>
  <c r="J329" i="1"/>
  <c r="J327" i="1"/>
  <c r="J325" i="1"/>
  <c r="J321" i="1"/>
  <c r="J319" i="1"/>
  <c r="J317" i="1"/>
  <c r="J315" i="1"/>
  <c r="J313" i="1"/>
  <c r="J311" i="1"/>
  <c r="J309" i="1"/>
  <c r="J305" i="1"/>
  <c r="J303" i="1"/>
  <c r="J301" i="1"/>
  <c r="J299" i="1"/>
  <c r="J297" i="1"/>
  <c r="J295" i="1"/>
  <c r="J293" i="1"/>
  <c r="J289" i="1"/>
  <c r="J287" i="1"/>
  <c r="J285" i="1"/>
  <c r="J283" i="1"/>
  <c r="J281" i="1"/>
  <c r="J279" i="1"/>
  <c r="J277" i="1"/>
  <c r="J273" i="1"/>
  <c r="J271" i="1"/>
  <c r="J269" i="1"/>
  <c r="J267" i="1"/>
  <c r="J265" i="1"/>
  <c r="J263" i="1"/>
  <c r="J261" i="1"/>
  <c r="J257" i="1"/>
  <c r="J255" i="1"/>
  <c r="J253" i="1"/>
  <c r="J251" i="1"/>
  <c r="J249" i="1"/>
  <c r="J247" i="1"/>
  <c r="J245" i="1"/>
  <c r="J241" i="1"/>
  <c r="J239" i="1"/>
  <c r="J237" i="1"/>
  <c r="J235" i="1"/>
  <c r="J233" i="1"/>
  <c r="J231" i="1"/>
  <c r="J229" i="1"/>
  <c r="J225" i="1"/>
  <c r="J223" i="1"/>
  <c r="J221" i="1"/>
  <c r="J219" i="1"/>
  <c r="J217" i="1"/>
  <c r="J215" i="1"/>
  <c r="J213" i="1"/>
  <c r="J209" i="1"/>
  <c r="J207" i="1"/>
  <c r="J205" i="1"/>
  <c r="J203" i="1"/>
  <c r="J201" i="1"/>
  <c r="J199" i="1"/>
  <c r="J197" i="1"/>
  <c r="J193" i="1"/>
  <c r="J191" i="1"/>
  <c r="J189" i="1"/>
  <c r="J187" i="1"/>
  <c r="J185" i="1"/>
  <c r="J183" i="1"/>
  <c r="J181" i="1"/>
  <c r="J177" i="1"/>
  <c r="J175" i="1"/>
  <c r="J173" i="1"/>
  <c r="J171" i="1"/>
  <c r="J169" i="1"/>
  <c r="J167" i="1"/>
  <c r="J165" i="1"/>
  <c r="J161" i="1"/>
  <c r="J159" i="1"/>
  <c r="J157" i="1"/>
  <c r="J155" i="1"/>
  <c r="J153" i="1"/>
  <c r="J151" i="1"/>
  <c r="J149" i="1"/>
  <c r="J145" i="1"/>
  <c r="J143" i="1"/>
  <c r="J141" i="1"/>
  <c r="J139" i="1"/>
  <c r="J137" i="1"/>
  <c r="J135" i="1"/>
  <c r="J133" i="1"/>
  <c r="J129" i="1"/>
  <c r="J127" i="1"/>
  <c r="J125" i="1"/>
  <c r="J123" i="1"/>
  <c r="J121" i="1"/>
  <c r="J119" i="1"/>
  <c r="J117" i="1"/>
  <c r="J113" i="1"/>
  <c r="J111" i="1"/>
  <c r="J109" i="1"/>
  <c r="J107" i="1"/>
  <c r="J105" i="1"/>
  <c r="J103" i="1"/>
  <c r="J101" i="1"/>
  <c r="J97" i="1"/>
  <c r="J95" i="1"/>
  <c r="J93" i="1"/>
  <c r="J91" i="1"/>
  <c r="J89" i="1"/>
  <c r="J87" i="1"/>
  <c r="J85" i="1"/>
  <c r="J83" i="1"/>
  <c r="J81" i="1"/>
  <c r="J79" i="1"/>
  <c r="J77" i="1"/>
  <c r="J75" i="1"/>
  <c r="J73" i="1"/>
  <c r="J71" i="1"/>
  <c r="J69" i="1"/>
  <c r="J67" i="1"/>
  <c r="J65" i="1"/>
  <c r="J63" i="1"/>
  <c r="J61" i="1"/>
  <c r="J59" i="1"/>
  <c r="J57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433" i="1"/>
  <c r="J429" i="1"/>
  <c r="J425" i="1"/>
  <c r="J421" i="1"/>
  <c r="J417" i="1"/>
  <c r="J413" i="1"/>
  <c r="J409" i="1"/>
  <c r="J405" i="1"/>
  <c r="J401" i="1"/>
  <c r="J397" i="1"/>
  <c r="J393" i="1"/>
  <c r="J389" i="1"/>
  <c r="J385" i="1"/>
  <c r="J381" i="1"/>
  <c r="J377" i="1"/>
  <c r="J373" i="1"/>
  <c r="J369" i="1"/>
  <c r="J365" i="1"/>
  <c r="J361" i="1"/>
  <c r="J357" i="1"/>
  <c r="E238" i="1" l="1"/>
  <c r="M238" i="1"/>
  <c r="L238" i="1"/>
  <c r="N238" i="1" s="1"/>
  <c r="E239" i="1"/>
  <c r="L239" i="1"/>
  <c r="M239" i="1"/>
  <c r="E240" i="1"/>
  <c r="M240" i="1"/>
  <c r="E241" i="1"/>
  <c r="L241" i="1"/>
  <c r="E242" i="1"/>
  <c r="M242" i="1"/>
  <c r="E243" i="1"/>
  <c r="M243" i="1"/>
  <c r="E244" i="1"/>
  <c r="M244" i="1"/>
  <c r="E245" i="1"/>
  <c r="L245" i="1"/>
  <c r="E246" i="1"/>
  <c r="M246" i="1"/>
  <c r="E247" i="1"/>
  <c r="M247" i="1"/>
  <c r="E248" i="1"/>
  <c r="M248" i="1"/>
  <c r="E249" i="1"/>
  <c r="L249" i="1"/>
  <c r="E250" i="1"/>
  <c r="L250" i="1"/>
  <c r="N250" i="1" s="1"/>
  <c r="M250" i="1"/>
  <c r="E251" i="1"/>
  <c r="M251" i="1"/>
  <c r="E252" i="1"/>
  <c r="M252" i="1"/>
  <c r="E253" i="1"/>
  <c r="L253" i="1"/>
  <c r="E254" i="1"/>
  <c r="M254" i="1"/>
  <c r="E255" i="1"/>
  <c r="L255" i="1"/>
  <c r="M255" i="1"/>
  <c r="E256" i="1"/>
  <c r="M256" i="1"/>
  <c r="E257" i="1"/>
  <c r="L257" i="1"/>
  <c r="E258" i="1"/>
  <c r="M258" i="1"/>
  <c r="E259" i="1"/>
  <c r="M259" i="1"/>
  <c r="E260" i="1"/>
  <c r="M260" i="1"/>
  <c r="E261" i="1"/>
  <c r="L261" i="1"/>
  <c r="E262" i="1"/>
  <c r="L262" i="1"/>
  <c r="M262" i="1"/>
  <c r="E263" i="1"/>
  <c r="M263" i="1"/>
  <c r="E264" i="1"/>
  <c r="M264" i="1"/>
  <c r="E265" i="1"/>
  <c r="L265" i="1"/>
  <c r="E266" i="1"/>
  <c r="L266" i="1"/>
  <c r="M266" i="1"/>
  <c r="E267" i="1"/>
  <c r="M267" i="1"/>
  <c r="E268" i="1"/>
  <c r="M268" i="1"/>
  <c r="E269" i="1"/>
  <c r="L269" i="1"/>
  <c r="E270" i="1"/>
  <c r="M270" i="1"/>
  <c r="E271" i="1"/>
  <c r="L271" i="1"/>
  <c r="M271" i="1"/>
  <c r="E272" i="1"/>
  <c r="M272" i="1"/>
  <c r="E273" i="1"/>
  <c r="L273" i="1"/>
  <c r="E274" i="1"/>
  <c r="M274" i="1"/>
  <c r="E275" i="1"/>
  <c r="M275" i="1"/>
  <c r="E276" i="1"/>
  <c r="M276" i="1"/>
  <c r="E277" i="1"/>
  <c r="L277" i="1"/>
  <c r="E278" i="1"/>
  <c r="M278" i="1"/>
  <c r="E279" i="1"/>
  <c r="M279" i="1"/>
  <c r="E280" i="1"/>
  <c r="M280" i="1"/>
  <c r="E281" i="1"/>
  <c r="L281" i="1"/>
  <c r="E282" i="1"/>
  <c r="L282" i="1"/>
  <c r="M282" i="1"/>
  <c r="E283" i="1"/>
  <c r="M283" i="1"/>
  <c r="E284" i="1"/>
  <c r="M284" i="1"/>
  <c r="E285" i="1"/>
  <c r="L285" i="1"/>
  <c r="E286" i="1"/>
  <c r="M286" i="1"/>
  <c r="E287" i="1"/>
  <c r="L287" i="1"/>
  <c r="N287" i="1" s="1"/>
  <c r="M287" i="1"/>
  <c r="E288" i="1"/>
  <c r="M288" i="1"/>
  <c r="E289" i="1"/>
  <c r="L289" i="1"/>
  <c r="E290" i="1"/>
  <c r="M290" i="1"/>
  <c r="E291" i="1"/>
  <c r="M291" i="1"/>
  <c r="E292" i="1"/>
  <c r="M292" i="1"/>
  <c r="E293" i="1"/>
  <c r="M293" i="1"/>
  <c r="L293" i="1"/>
  <c r="E294" i="1"/>
  <c r="M294" i="1"/>
  <c r="E295" i="1"/>
  <c r="M295" i="1"/>
  <c r="E296" i="1"/>
  <c r="M296" i="1"/>
  <c r="E297" i="1"/>
  <c r="M297" i="1"/>
  <c r="E298" i="1"/>
  <c r="M298" i="1"/>
  <c r="E299" i="1"/>
  <c r="M299" i="1"/>
  <c r="E300" i="1"/>
  <c r="M300" i="1"/>
  <c r="E301" i="1"/>
  <c r="L301" i="1"/>
  <c r="M301" i="1"/>
  <c r="E302" i="1"/>
  <c r="L302" i="1"/>
  <c r="M302" i="1"/>
  <c r="E303" i="1"/>
  <c r="L303" i="1"/>
  <c r="N303" i="1" s="1"/>
  <c r="M303" i="1"/>
  <c r="E304" i="1"/>
  <c r="M304" i="1"/>
  <c r="E305" i="1"/>
  <c r="M305" i="1"/>
  <c r="E306" i="1"/>
  <c r="M306" i="1"/>
  <c r="E307" i="1"/>
  <c r="L307" i="1"/>
  <c r="M307" i="1"/>
  <c r="E308" i="1"/>
  <c r="M308" i="1"/>
  <c r="E309" i="1"/>
  <c r="M309" i="1"/>
  <c r="L309" i="1"/>
  <c r="E310" i="1"/>
  <c r="M310" i="1"/>
  <c r="L310" i="1"/>
  <c r="N310" i="1" s="1"/>
  <c r="E311" i="1"/>
  <c r="L311" i="1"/>
  <c r="N311" i="1" s="1"/>
  <c r="M311" i="1"/>
  <c r="E312" i="1"/>
  <c r="M312" i="1"/>
  <c r="E313" i="1"/>
  <c r="M313" i="1"/>
  <c r="E314" i="1"/>
  <c r="M314" i="1"/>
  <c r="E315" i="1"/>
  <c r="L315" i="1"/>
  <c r="M315" i="1"/>
  <c r="E316" i="1"/>
  <c r="M316" i="1"/>
  <c r="E317" i="1"/>
  <c r="L317" i="1"/>
  <c r="E318" i="1"/>
  <c r="M318" i="1"/>
  <c r="E319" i="1"/>
  <c r="L319" i="1"/>
  <c r="M319" i="1"/>
  <c r="E320" i="1"/>
  <c r="M320" i="1"/>
  <c r="E321" i="1"/>
  <c r="M321" i="1"/>
  <c r="E322" i="1"/>
  <c r="M322" i="1"/>
  <c r="E323" i="1"/>
  <c r="L323" i="1"/>
  <c r="M323" i="1"/>
  <c r="E324" i="1"/>
  <c r="L324" i="1"/>
  <c r="M324" i="1"/>
  <c r="E325" i="1"/>
  <c r="M325" i="1"/>
  <c r="E326" i="1"/>
  <c r="M326" i="1"/>
  <c r="E327" i="1"/>
  <c r="M327" i="1"/>
  <c r="E328" i="1"/>
  <c r="M328" i="1"/>
  <c r="E329" i="1"/>
  <c r="M329" i="1"/>
  <c r="E330" i="1"/>
  <c r="M330" i="1"/>
  <c r="E331" i="1"/>
  <c r="M331" i="1"/>
  <c r="E332" i="1"/>
  <c r="M332" i="1"/>
  <c r="E333" i="1"/>
  <c r="M333" i="1"/>
  <c r="E334" i="1"/>
  <c r="M334" i="1"/>
  <c r="E335" i="1"/>
  <c r="L335" i="1"/>
  <c r="M335" i="1"/>
  <c r="E336" i="1"/>
  <c r="L336" i="1"/>
  <c r="N336" i="1" s="1"/>
  <c r="M336" i="1"/>
  <c r="E337" i="1"/>
  <c r="M337" i="1"/>
  <c r="L337" i="1"/>
  <c r="N337" i="1" s="1"/>
  <c r="E338" i="1"/>
  <c r="M338" i="1"/>
  <c r="E339" i="1"/>
  <c r="L339" i="1"/>
  <c r="N339" i="1" s="1"/>
  <c r="M339" i="1"/>
  <c r="E340" i="1"/>
  <c r="L340" i="1"/>
  <c r="M340" i="1"/>
  <c r="E341" i="1"/>
  <c r="M341" i="1"/>
  <c r="E342" i="1"/>
  <c r="M342" i="1"/>
  <c r="E343" i="1"/>
  <c r="M343" i="1"/>
  <c r="E344" i="1"/>
  <c r="M344" i="1"/>
  <c r="E345" i="1"/>
  <c r="M345" i="1"/>
  <c r="E346" i="1"/>
  <c r="M346" i="1"/>
  <c r="E347" i="1"/>
  <c r="M347" i="1"/>
  <c r="E348" i="1"/>
  <c r="M348" i="1"/>
  <c r="E349" i="1"/>
  <c r="M349" i="1"/>
  <c r="E350" i="1"/>
  <c r="M350" i="1"/>
  <c r="E351" i="1"/>
  <c r="L351" i="1"/>
  <c r="M351" i="1"/>
  <c r="E352" i="1"/>
  <c r="L352" i="1"/>
  <c r="M352" i="1"/>
  <c r="E353" i="1"/>
  <c r="M353" i="1"/>
  <c r="L353" i="1"/>
  <c r="E354" i="1"/>
  <c r="M354" i="1"/>
  <c r="E355" i="1"/>
  <c r="L355" i="1"/>
  <c r="M355" i="1"/>
  <c r="E356" i="1"/>
  <c r="M356" i="1"/>
  <c r="E357" i="1"/>
  <c r="M357" i="1"/>
  <c r="E358" i="1"/>
  <c r="M358" i="1"/>
  <c r="E359" i="1"/>
  <c r="M359" i="1"/>
  <c r="E360" i="1"/>
  <c r="M360" i="1"/>
  <c r="E361" i="1"/>
  <c r="M361" i="1"/>
  <c r="E362" i="1"/>
  <c r="M362" i="1"/>
  <c r="E363" i="1"/>
  <c r="M363" i="1"/>
  <c r="E364" i="1"/>
  <c r="M364" i="1"/>
  <c r="E365" i="1"/>
  <c r="M365" i="1"/>
  <c r="E366" i="1"/>
  <c r="M366" i="1"/>
  <c r="E367" i="1"/>
  <c r="L367" i="1"/>
  <c r="M367" i="1"/>
  <c r="E368" i="1"/>
  <c r="L368" i="1"/>
  <c r="M368" i="1"/>
  <c r="E369" i="1"/>
  <c r="M369" i="1"/>
  <c r="L369" i="1"/>
  <c r="E370" i="1"/>
  <c r="M370" i="1"/>
  <c r="E371" i="1"/>
  <c r="L371" i="1"/>
  <c r="M371" i="1"/>
  <c r="E372" i="1"/>
  <c r="M372" i="1"/>
  <c r="E373" i="1"/>
  <c r="M373" i="1"/>
  <c r="E374" i="1"/>
  <c r="M374" i="1"/>
  <c r="E375" i="1"/>
  <c r="M375" i="1"/>
  <c r="E376" i="1"/>
  <c r="L376" i="1"/>
  <c r="N376" i="1" s="1"/>
  <c r="M376" i="1"/>
  <c r="E377" i="1"/>
  <c r="M377" i="1"/>
  <c r="E378" i="1"/>
  <c r="M378" i="1"/>
  <c r="E379" i="1"/>
  <c r="M379" i="1"/>
  <c r="E380" i="1"/>
  <c r="L380" i="1"/>
  <c r="M380" i="1"/>
  <c r="E381" i="1"/>
  <c r="M381" i="1"/>
  <c r="E382" i="1"/>
  <c r="L382" i="1"/>
  <c r="M382" i="1"/>
  <c r="E383" i="1"/>
  <c r="M383" i="1"/>
  <c r="E384" i="1"/>
  <c r="L384" i="1"/>
  <c r="M384" i="1"/>
  <c r="E385" i="1"/>
  <c r="M385" i="1"/>
  <c r="E386" i="1"/>
  <c r="M386" i="1"/>
  <c r="E387" i="1"/>
  <c r="M387" i="1"/>
  <c r="E388" i="1"/>
  <c r="L388" i="1"/>
  <c r="M388" i="1"/>
  <c r="E389" i="1"/>
  <c r="M389" i="1"/>
  <c r="E390" i="1"/>
  <c r="L390" i="1"/>
  <c r="M390" i="1"/>
  <c r="E391" i="1"/>
  <c r="M391" i="1"/>
  <c r="E392" i="1"/>
  <c r="L392" i="1"/>
  <c r="M392" i="1"/>
  <c r="E393" i="1"/>
  <c r="M393" i="1"/>
  <c r="E394" i="1"/>
  <c r="L394" i="1"/>
  <c r="M394" i="1"/>
  <c r="E395" i="1"/>
  <c r="L395" i="1"/>
  <c r="M395" i="1"/>
  <c r="E396" i="1"/>
  <c r="M396" i="1"/>
  <c r="E397" i="1"/>
  <c r="L397" i="1"/>
  <c r="M397" i="1"/>
  <c r="E398" i="1"/>
  <c r="L398" i="1"/>
  <c r="M398" i="1"/>
  <c r="E399" i="1"/>
  <c r="L399" i="1"/>
  <c r="M399" i="1"/>
  <c r="E400" i="1"/>
  <c r="M400" i="1"/>
  <c r="E401" i="1"/>
  <c r="M401" i="1"/>
  <c r="L401" i="1"/>
  <c r="E402" i="1"/>
  <c r="L402" i="1"/>
  <c r="E403" i="1"/>
  <c r="L403" i="1"/>
  <c r="M403" i="1"/>
  <c r="E404" i="1"/>
  <c r="M404" i="1"/>
  <c r="E405" i="1"/>
  <c r="L405" i="1"/>
  <c r="N405" i="1" s="1"/>
  <c r="M405" i="1"/>
  <c r="E406" i="1"/>
  <c r="M406" i="1"/>
  <c r="E407" i="1"/>
  <c r="L407" i="1"/>
  <c r="M407" i="1"/>
  <c r="E408" i="1"/>
  <c r="M408" i="1"/>
  <c r="E409" i="1"/>
  <c r="M409" i="1"/>
  <c r="E410" i="1"/>
  <c r="L410" i="1"/>
  <c r="N410" i="1" s="1"/>
  <c r="M410" i="1"/>
  <c r="E411" i="1"/>
  <c r="L411" i="1"/>
  <c r="M411" i="1"/>
  <c r="E412" i="1"/>
  <c r="M412" i="1"/>
  <c r="E413" i="1"/>
  <c r="L413" i="1"/>
  <c r="N413" i="1" s="1"/>
  <c r="M413" i="1"/>
  <c r="E414" i="1"/>
  <c r="L414" i="1"/>
  <c r="M414" i="1"/>
  <c r="E415" i="1"/>
  <c r="L415" i="1"/>
  <c r="M415" i="1"/>
  <c r="E416" i="1"/>
  <c r="M416" i="1"/>
  <c r="E417" i="1"/>
  <c r="M417" i="1"/>
  <c r="E418" i="1"/>
  <c r="L418" i="1"/>
  <c r="M418" i="1"/>
  <c r="E419" i="1"/>
  <c r="L419" i="1"/>
  <c r="N419" i="1" s="1"/>
  <c r="M419" i="1"/>
  <c r="E420" i="1"/>
  <c r="M420" i="1"/>
  <c r="E421" i="1"/>
  <c r="L421" i="1"/>
  <c r="M421" i="1"/>
  <c r="E422" i="1"/>
  <c r="L422" i="1"/>
  <c r="N422" i="1" s="1"/>
  <c r="M422" i="1"/>
  <c r="E423" i="1"/>
  <c r="L423" i="1"/>
  <c r="M423" i="1"/>
  <c r="E424" i="1"/>
  <c r="M424" i="1"/>
  <c r="E425" i="1"/>
  <c r="L425" i="1"/>
  <c r="N425" i="1" s="1"/>
  <c r="M425" i="1"/>
  <c r="E426" i="1"/>
  <c r="L426" i="1"/>
  <c r="M426" i="1"/>
  <c r="E427" i="1"/>
  <c r="L427" i="1"/>
  <c r="M427" i="1"/>
  <c r="E428" i="1"/>
  <c r="M428" i="1"/>
  <c r="E429" i="1"/>
  <c r="L429" i="1"/>
  <c r="M429" i="1"/>
  <c r="E430" i="1"/>
  <c r="L430" i="1"/>
  <c r="M430" i="1"/>
  <c r="E431" i="1"/>
  <c r="L431" i="1"/>
  <c r="M431" i="1"/>
  <c r="E432" i="1"/>
  <c r="L432" i="1"/>
  <c r="N432" i="1" s="1"/>
  <c r="M432" i="1"/>
  <c r="E433" i="1"/>
  <c r="M433" i="1"/>
  <c r="L433" i="1"/>
  <c r="N433" i="1" s="1"/>
  <c r="N388" i="1" l="1"/>
  <c r="N293" i="1"/>
  <c r="N430" i="1"/>
  <c r="N427" i="1"/>
  <c r="N398" i="1"/>
  <c r="N301" i="1"/>
  <c r="N271" i="1"/>
  <c r="N262" i="1"/>
  <c r="N415" i="1"/>
  <c r="N395" i="1"/>
  <c r="N392" i="1"/>
  <c r="N382" i="1"/>
  <c r="N367" i="1"/>
  <c r="N351" i="1"/>
  <c r="N324" i="1"/>
  <c r="N319" i="1"/>
  <c r="N429" i="1"/>
  <c r="N426" i="1"/>
  <c r="N423" i="1"/>
  <c r="N414" i="1"/>
  <c r="N411" i="1"/>
  <c r="N403" i="1"/>
  <c r="N401" i="1"/>
  <c r="N397" i="1"/>
  <c r="N394" i="1"/>
  <c r="N384" i="1"/>
  <c r="N340" i="1"/>
  <c r="N323" i="1"/>
  <c r="N309" i="1"/>
  <c r="N266" i="1"/>
  <c r="N255" i="1"/>
  <c r="N431" i="1"/>
  <c r="N421" i="1"/>
  <c r="N418" i="1"/>
  <c r="N407" i="1"/>
  <c r="N399" i="1"/>
  <c r="N390" i="1"/>
  <c r="N380" i="1"/>
  <c r="N371" i="1"/>
  <c r="N369" i="1"/>
  <c r="N368" i="1"/>
  <c r="N355" i="1"/>
  <c r="N353" i="1"/>
  <c r="N352" i="1"/>
  <c r="N335" i="1"/>
  <c r="N315" i="1"/>
  <c r="N307" i="1"/>
  <c r="N302" i="1"/>
  <c r="N282" i="1"/>
  <c r="N239" i="1"/>
  <c r="L372" i="1"/>
  <c r="N372" i="1" s="1"/>
  <c r="L365" i="1"/>
  <c r="N365" i="1" s="1"/>
  <c r="L364" i="1"/>
  <c r="N364" i="1" s="1"/>
  <c r="L356" i="1"/>
  <c r="N356" i="1" s="1"/>
  <c r="L349" i="1"/>
  <c r="N349" i="1" s="1"/>
  <c r="L348" i="1"/>
  <c r="N348" i="1" s="1"/>
  <c r="L333" i="1"/>
  <c r="N333" i="1" s="1"/>
  <c r="L322" i="1"/>
  <c r="N322" i="1" s="1"/>
  <c r="L306" i="1"/>
  <c r="N306" i="1" s="1"/>
  <c r="L297" i="1"/>
  <c r="N297" i="1" s="1"/>
  <c r="L295" i="1"/>
  <c r="N295" i="1" s="1"/>
  <c r="L291" i="1"/>
  <c r="N291" i="1" s="1"/>
  <c r="L286" i="1"/>
  <c r="N286" i="1" s="1"/>
  <c r="L278" i="1"/>
  <c r="N278" i="1" s="1"/>
  <c r="L275" i="1"/>
  <c r="N275" i="1" s="1"/>
  <c r="L270" i="1"/>
  <c r="N270" i="1" s="1"/>
  <c r="L259" i="1"/>
  <c r="N259" i="1" s="1"/>
  <c r="L254" i="1"/>
  <c r="N254" i="1" s="1"/>
  <c r="L246" i="1"/>
  <c r="N246" i="1" s="1"/>
  <c r="L243" i="1"/>
  <c r="N243" i="1" s="1"/>
  <c r="L341" i="1"/>
  <c r="N341" i="1" s="1"/>
  <c r="L386" i="1"/>
  <c r="N386" i="1" s="1"/>
  <c r="L378" i="1"/>
  <c r="N378" i="1" s="1"/>
  <c r="L361" i="1"/>
  <c r="N361" i="1" s="1"/>
  <c r="L327" i="1"/>
  <c r="N327" i="1" s="1"/>
  <c r="L313" i="1"/>
  <c r="N313" i="1" s="1"/>
  <c r="L294" i="1"/>
  <c r="N294" i="1" s="1"/>
  <c r="L279" i="1"/>
  <c r="N279" i="1" s="1"/>
  <c r="L263" i="1"/>
  <c r="N263" i="1" s="1"/>
  <c r="L409" i="1"/>
  <c r="N409" i="1" s="1"/>
  <c r="M402" i="1"/>
  <c r="N402" i="1" s="1"/>
  <c r="L373" i="1"/>
  <c r="N373" i="1" s="1"/>
  <c r="L363" i="1"/>
  <c r="N363" i="1" s="1"/>
  <c r="L343" i="1"/>
  <c r="N343" i="1" s="1"/>
  <c r="L328" i="1"/>
  <c r="N328" i="1" s="1"/>
  <c r="L305" i="1"/>
  <c r="N305" i="1" s="1"/>
  <c r="L406" i="1"/>
  <c r="N406" i="1" s="1"/>
  <c r="L360" i="1"/>
  <c r="N360" i="1" s="1"/>
  <c r="L345" i="1"/>
  <c r="N345" i="1" s="1"/>
  <c r="L331" i="1"/>
  <c r="N331" i="1" s="1"/>
  <c r="L298" i="1"/>
  <c r="N298" i="1" s="1"/>
  <c r="L357" i="1"/>
  <c r="N357" i="1" s="1"/>
  <c r="L347" i="1"/>
  <c r="N347" i="1" s="1"/>
  <c r="L247" i="1"/>
  <c r="N247" i="1" s="1"/>
  <c r="L417" i="1"/>
  <c r="N417" i="1" s="1"/>
  <c r="L359" i="1"/>
  <c r="N359" i="1" s="1"/>
  <c r="L344" i="1"/>
  <c r="N344" i="1" s="1"/>
  <c r="L332" i="1"/>
  <c r="N332" i="1" s="1"/>
  <c r="L329" i="1"/>
  <c r="N329" i="1" s="1"/>
  <c r="L325" i="1"/>
  <c r="N325" i="1" s="1"/>
  <c r="L321" i="1"/>
  <c r="N321" i="1" s="1"/>
  <c r="L290" i="1"/>
  <c r="N290" i="1" s="1"/>
  <c r="L283" i="1"/>
  <c r="N283" i="1" s="1"/>
  <c r="L274" i="1"/>
  <c r="N274" i="1" s="1"/>
  <c r="L267" i="1"/>
  <c r="N267" i="1" s="1"/>
  <c r="L258" i="1"/>
  <c r="N258" i="1" s="1"/>
  <c r="L251" i="1"/>
  <c r="N251" i="1" s="1"/>
  <c r="L242" i="1"/>
  <c r="N242" i="1" s="1"/>
  <c r="L391" i="1"/>
  <c r="N391" i="1" s="1"/>
  <c r="L389" i="1"/>
  <c r="N389" i="1" s="1"/>
  <c r="L379" i="1"/>
  <c r="N379" i="1" s="1"/>
  <c r="L428" i="1"/>
  <c r="N428" i="1" s="1"/>
  <c r="L420" i="1"/>
  <c r="N420" i="1" s="1"/>
  <c r="L412" i="1"/>
  <c r="N412" i="1" s="1"/>
  <c r="L404" i="1"/>
  <c r="N404" i="1" s="1"/>
  <c r="L396" i="1"/>
  <c r="N396" i="1" s="1"/>
  <c r="L383" i="1"/>
  <c r="N383" i="1" s="1"/>
  <c r="L377" i="1"/>
  <c r="N377" i="1" s="1"/>
  <c r="L308" i="1"/>
  <c r="N308" i="1" s="1"/>
  <c r="L393" i="1"/>
  <c r="N393" i="1" s="1"/>
  <c r="L387" i="1"/>
  <c r="N387" i="1" s="1"/>
  <c r="L381" i="1"/>
  <c r="N381" i="1" s="1"/>
  <c r="M317" i="1"/>
  <c r="N317" i="1" s="1"/>
  <c r="L424" i="1"/>
  <c r="N424" i="1" s="1"/>
  <c r="L416" i="1"/>
  <c r="N416" i="1" s="1"/>
  <c r="L408" i="1"/>
  <c r="N408" i="1" s="1"/>
  <c r="L400" i="1"/>
  <c r="N400" i="1" s="1"/>
  <c r="L385" i="1"/>
  <c r="N385" i="1" s="1"/>
  <c r="L375" i="1"/>
  <c r="N375" i="1" s="1"/>
  <c r="L318" i="1"/>
  <c r="N318" i="1" s="1"/>
  <c r="L374" i="1"/>
  <c r="N374" i="1" s="1"/>
  <c r="L370" i="1"/>
  <c r="N370" i="1" s="1"/>
  <c r="L366" i="1"/>
  <c r="N366" i="1" s="1"/>
  <c r="L362" i="1"/>
  <c r="N362" i="1" s="1"/>
  <c r="L358" i="1"/>
  <c r="N358" i="1" s="1"/>
  <c r="L354" i="1"/>
  <c r="N354" i="1" s="1"/>
  <c r="L350" i="1"/>
  <c r="N350" i="1" s="1"/>
  <c r="L346" i="1"/>
  <c r="N346" i="1" s="1"/>
  <c r="L342" i="1"/>
  <c r="N342" i="1" s="1"/>
  <c r="L338" i="1"/>
  <c r="N338" i="1" s="1"/>
  <c r="L334" i="1"/>
  <c r="N334" i="1" s="1"/>
  <c r="L330" i="1"/>
  <c r="N330" i="1" s="1"/>
  <c r="L326" i="1"/>
  <c r="N326" i="1" s="1"/>
  <c r="L314" i="1"/>
  <c r="N314" i="1" s="1"/>
  <c r="L312" i="1"/>
  <c r="N312" i="1" s="1"/>
  <c r="L316" i="1"/>
  <c r="N316" i="1" s="1"/>
  <c r="L320" i="1"/>
  <c r="N320" i="1" s="1"/>
  <c r="L304" i="1"/>
  <c r="N304" i="1" s="1"/>
  <c r="L299" i="1"/>
  <c r="N299" i="1" s="1"/>
  <c r="L296" i="1"/>
  <c r="N296" i="1" s="1"/>
  <c r="M289" i="1"/>
  <c r="N289" i="1" s="1"/>
  <c r="M285" i="1"/>
  <c r="N285" i="1" s="1"/>
  <c r="M281" i="1"/>
  <c r="N281" i="1" s="1"/>
  <c r="M277" i="1"/>
  <c r="N277" i="1" s="1"/>
  <c r="M273" i="1"/>
  <c r="N273" i="1" s="1"/>
  <c r="M269" i="1"/>
  <c r="N269" i="1" s="1"/>
  <c r="M265" i="1"/>
  <c r="N265" i="1" s="1"/>
  <c r="M261" i="1"/>
  <c r="N261" i="1" s="1"/>
  <c r="M257" i="1"/>
  <c r="N257" i="1" s="1"/>
  <c r="M253" i="1"/>
  <c r="N253" i="1" s="1"/>
  <c r="M249" i="1"/>
  <c r="N249" i="1" s="1"/>
  <c r="M245" i="1"/>
  <c r="N245" i="1" s="1"/>
  <c r="M241" i="1"/>
  <c r="N241" i="1" s="1"/>
  <c r="L300" i="1"/>
  <c r="N300" i="1" s="1"/>
  <c r="L292" i="1"/>
  <c r="N292" i="1" s="1"/>
  <c r="L288" i="1"/>
  <c r="N288" i="1" s="1"/>
  <c r="L284" i="1"/>
  <c r="N284" i="1" s="1"/>
  <c r="L280" i="1"/>
  <c r="N280" i="1" s="1"/>
  <c r="L276" i="1"/>
  <c r="N276" i="1" s="1"/>
  <c r="L272" i="1"/>
  <c r="N272" i="1" s="1"/>
  <c r="L268" i="1"/>
  <c r="N268" i="1" s="1"/>
  <c r="L264" i="1"/>
  <c r="N264" i="1" s="1"/>
  <c r="L260" i="1"/>
  <c r="N260" i="1" s="1"/>
  <c r="L256" i="1"/>
  <c r="N256" i="1" s="1"/>
  <c r="L252" i="1"/>
  <c r="N252" i="1" s="1"/>
  <c r="L248" i="1"/>
  <c r="N248" i="1" s="1"/>
  <c r="L244" i="1"/>
  <c r="N244" i="1" s="1"/>
  <c r="L240" i="1"/>
  <c r="N240" i="1" s="1"/>
  <c r="H10" i="1"/>
  <c r="E22" i="1" l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L231" i="1" l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N237" i="1" l="1"/>
  <c r="N234" i="1"/>
  <c r="N232" i="1"/>
  <c r="N236" i="1"/>
  <c r="N235" i="1"/>
  <c r="N233" i="1"/>
  <c r="N231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N229" i="1" l="1"/>
  <c r="N227" i="1"/>
  <c r="N225" i="1"/>
  <c r="N223" i="1"/>
  <c r="N221" i="1"/>
  <c r="N219" i="1"/>
  <c r="N217" i="1"/>
  <c r="N230" i="1"/>
  <c r="N226" i="1"/>
  <c r="N224" i="1"/>
  <c r="N222" i="1"/>
  <c r="N220" i="1"/>
  <c r="N218" i="1"/>
  <c r="N216" i="1"/>
  <c r="N228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N112" i="1" s="1"/>
  <c r="M112" i="1"/>
  <c r="L113" i="1"/>
  <c r="M113" i="1"/>
  <c r="L114" i="1"/>
  <c r="N114" i="1" s="1"/>
  <c r="M114" i="1"/>
  <c r="L115" i="1"/>
  <c r="M115" i="1"/>
  <c r="L116" i="1"/>
  <c r="N116" i="1" s="1"/>
  <c r="M116" i="1"/>
  <c r="L117" i="1"/>
  <c r="M117" i="1"/>
  <c r="L118" i="1"/>
  <c r="N118" i="1" s="1"/>
  <c r="M118" i="1"/>
  <c r="L119" i="1"/>
  <c r="M119" i="1"/>
  <c r="L120" i="1"/>
  <c r="N120" i="1" s="1"/>
  <c r="M120" i="1"/>
  <c r="L121" i="1"/>
  <c r="M121" i="1"/>
  <c r="L122" i="1"/>
  <c r="N122" i="1" s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N150" i="1" s="1"/>
  <c r="M150" i="1"/>
  <c r="L151" i="1"/>
  <c r="M151" i="1"/>
  <c r="L152" i="1"/>
  <c r="N152" i="1" s="1"/>
  <c r="M152" i="1"/>
  <c r="L153" i="1"/>
  <c r="M153" i="1"/>
  <c r="L154" i="1"/>
  <c r="N154" i="1" s="1"/>
  <c r="M154" i="1"/>
  <c r="L155" i="1"/>
  <c r="M155" i="1"/>
  <c r="L156" i="1"/>
  <c r="N156" i="1" s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N176" i="1" s="1"/>
  <c r="M176" i="1"/>
  <c r="L177" i="1"/>
  <c r="M177" i="1"/>
  <c r="L178" i="1"/>
  <c r="N178" i="1" s="1"/>
  <c r="M178" i="1"/>
  <c r="L179" i="1"/>
  <c r="M179" i="1"/>
  <c r="L180" i="1"/>
  <c r="N180" i="1" s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N196" i="1" s="1"/>
  <c r="M196" i="1"/>
  <c r="L197" i="1"/>
  <c r="M197" i="1"/>
  <c r="L198" i="1"/>
  <c r="N198" i="1" s="1"/>
  <c r="M198" i="1"/>
  <c r="L199" i="1"/>
  <c r="M199" i="1"/>
  <c r="L200" i="1"/>
  <c r="N200" i="1" s="1"/>
  <c r="M200" i="1"/>
  <c r="L201" i="1"/>
  <c r="M201" i="1"/>
  <c r="L202" i="1"/>
  <c r="N202" i="1" s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N210" i="1" s="1"/>
  <c r="M210" i="1"/>
  <c r="L211" i="1"/>
  <c r="M211" i="1"/>
  <c r="L212" i="1"/>
  <c r="M212" i="1"/>
  <c r="L213" i="1"/>
  <c r="M213" i="1"/>
  <c r="L214" i="1"/>
  <c r="M214" i="1"/>
  <c r="L215" i="1"/>
  <c r="M215" i="1"/>
  <c r="N69" i="1" l="1"/>
  <c r="N67" i="1"/>
  <c r="N65" i="1"/>
  <c r="N63" i="1"/>
  <c r="N61" i="1"/>
  <c r="N57" i="1"/>
  <c r="N55" i="1"/>
  <c r="N53" i="1"/>
  <c r="N51" i="1"/>
  <c r="N49" i="1"/>
  <c r="N47" i="1"/>
  <c r="N45" i="1"/>
  <c r="N43" i="1"/>
  <c r="N41" i="1"/>
  <c r="N39" i="1"/>
  <c r="N35" i="1"/>
  <c r="N33" i="1"/>
  <c r="N31" i="1"/>
  <c r="N29" i="1"/>
  <c r="N23" i="1"/>
  <c r="N214" i="1"/>
  <c r="N212" i="1"/>
  <c r="N208" i="1"/>
  <c r="N206" i="1"/>
  <c r="N204" i="1"/>
  <c r="N194" i="1"/>
  <c r="N192" i="1"/>
  <c r="N190" i="1"/>
  <c r="N188" i="1"/>
  <c r="N186" i="1"/>
  <c r="N184" i="1"/>
  <c r="N182" i="1"/>
  <c r="N174" i="1"/>
  <c r="N172" i="1"/>
  <c r="N170" i="1"/>
  <c r="N168" i="1"/>
  <c r="N166" i="1"/>
  <c r="N164" i="1"/>
  <c r="N162" i="1"/>
  <c r="N160" i="1"/>
  <c r="N158" i="1"/>
  <c r="N148" i="1"/>
  <c r="N146" i="1"/>
  <c r="N144" i="1"/>
  <c r="N142" i="1"/>
  <c r="N140" i="1"/>
  <c r="N138" i="1"/>
  <c r="N136" i="1"/>
  <c r="N134" i="1"/>
  <c r="N132" i="1"/>
  <c r="N130" i="1"/>
  <c r="N128" i="1"/>
  <c r="N126" i="1"/>
  <c r="N124" i="1"/>
  <c r="N110" i="1"/>
  <c r="N108" i="1"/>
  <c r="N106" i="1"/>
  <c r="N104" i="1"/>
  <c r="N102" i="1"/>
  <c r="N100" i="1"/>
  <c r="N98" i="1"/>
  <c r="N96" i="1"/>
  <c r="N59" i="1"/>
  <c r="N37" i="1"/>
  <c r="N27" i="1"/>
  <c r="N25" i="1"/>
  <c r="N215" i="1"/>
  <c r="N211" i="1"/>
  <c r="N207" i="1"/>
  <c r="N203" i="1"/>
  <c r="N199" i="1"/>
  <c r="N195" i="1"/>
  <c r="N189" i="1"/>
  <c r="N185" i="1"/>
  <c r="N181" i="1"/>
  <c r="N177" i="1"/>
  <c r="N173" i="1"/>
  <c r="N169" i="1"/>
  <c r="N165" i="1"/>
  <c r="N161" i="1"/>
  <c r="N157" i="1"/>
  <c r="N153" i="1"/>
  <c r="N147" i="1"/>
  <c r="N143" i="1"/>
  <c r="N139" i="1"/>
  <c r="N135" i="1"/>
  <c r="N131" i="1"/>
  <c r="N125" i="1"/>
  <c r="N121" i="1"/>
  <c r="N117" i="1"/>
  <c r="N113" i="1"/>
  <c r="N109" i="1"/>
  <c r="N105" i="1"/>
  <c r="N101" i="1"/>
  <c r="N97" i="1"/>
  <c r="N93" i="1"/>
  <c r="N89" i="1"/>
  <c r="N85" i="1"/>
  <c r="N81" i="1"/>
  <c r="N79" i="1"/>
  <c r="N77" i="1"/>
  <c r="N75" i="1"/>
  <c r="N73" i="1"/>
  <c r="N70" i="1"/>
  <c r="N68" i="1"/>
  <c r="N66" i="1"/>
  <c r="N64" i="1"/>
  <c r="N62" i="1"/>
  <c r="N60" i="1"/>
  <c r="N58" i="1"/>
  <c r="N56" i="1"/>
  <c r="N54" i="1"/>
  <c r="N52" i="1"/>
  <c r="N50" i="1"/>
  <c r="N48" i="1"/>
  <c r="N46" i="1"/>
  <c r="N44" i="1"/>
  <c r="N42" i="1"/>
  <c r="N40" i="1"/>
  <c r="N38" i="1"/>
  <c r="N36" i="1"/>
  <c r="N34" i="1"/>
  <c r="N32" i="1"/>
  <c r="N30" i="1"/>
  <c r="N28" i="1"/>
  <c r="N26" i="1"/>
  <c r="N24" i="1"/>
  <c r="N22" i="1"/>
  <c r="N213" i="1"/>
  <c r="N209" i="1"/>
  <c r="N205" i="1"/>
  <c r="N201" i="1"/>
  <c r="N197" i="1"/>
  <c r="N193" i="1"/>
  <c r="N191" i="1"/>
  <c r="N187" i="1"/>
  <c r="N183" i="1"/>
  <c r="N179" i="1"/>
  <c r="N175" i="1"/>
  <c r="N171" i="1"/>
  <c r="N167" i="1"/>
  <c r="N163" i="1"/>
  <c r="N159" i="1"/>
  <c r="N155" i="1"/>
  <c r="N151" i="1"/>
  <c r="N149" i="1"/>
  <c r="N145" i="1"/>
  <c r="N141" i="1"/>
  <c r="N137" i="1"/>
  <c r="N133" i="1"/>
  <c r="N129" i="1"/>
  <c r="N127" i="1"/>
  <c r="N123" i="1"/>
  <c r="N119" i="1"/>
  <c r="N115" i="1"/>
  <c r="N111" i="1"/>
  <c r="N107" i="1"/>
  <c r="N103" i="1"/>
  <c r="N99" i="1"/>
  <c r="N95" i="1"/>
  <c r="N91" i="1"/>
  <c r="N87" i="1"/>
  <c r="N83" i="1"/>
  <c r="N94" i="1"/>
  <c r="N92" i="1"/>
  <c r="N90" i="1"/>
  <c r="N88" i="1"/>
  <c r="N86" i="1"/>
  <c r="N84" i="1"/>
  <c r="N82" i="1"/>
  <c r="N80" i="1"/>
  <c r="N78" i="1"/>
  <c r="N76" i="1"/>
  <c r="N74" i="1"/>
  <c r="N72" i="1"/>
  <c r="M71" i="1"/>
  <c r="N71" i="1" s="1"/>
  <c r="E21" i="1"/>
  <c r="E434" i="1" s="1"/>
  <c r="L21" i="1"/>
  <c r="N21" i="1" s="1"/>
  <c r="J21" i="1"/>
  <c r="J434" i="1" s="1"/>
  <c r="N434" i="1" l="1"/>
  <c r="L441" i="1"/>
  <c r="L440" i="1"/>
  <c r="E435" i="1"/>
</calcChain>
</file>

<file path=xl/sharedStrings.xml><?xml version="1.0" encoding="utf-8"?>
<sst xmlns="http://schemas.openxmlformats.org/spreadsheetml/2006/main" count="51" uniqueCount="25">
  <si>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</si>
  <si>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</si>
  <si>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</si>
  <si>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</si>
  <si>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</si>
  <si>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</si>
  <si>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</si>
  <si>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</si>
  <si>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</si>
  <si>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</si>
  <si>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</si>
  <si>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</si>
  <si>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</si>
  <si>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</si>
  <si>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</si>
  <si>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</si>
  <si>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</si>
  <si>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</si>
  <si>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</si>
  <si>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</si>
  <si>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</si>
  <si>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Dealer</t>
  </si>
  <si>
    <t>GALAXY BLACK SHORT 
(Hand Polish)</t>
  </si>
  <si>
    <t>REMARK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</si>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</sst>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3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5"/>
      <name val="Arial"/>
      <family val="2"/>
    </font>
    <font>
      <sz val="11"/>
      <color theme="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14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3</xdr:row>
      <xdr:rowOff>19050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7"/>
  <sheetViews>
    <sheetView tabSelected="1" workbookViewId="0">
      <selection activeCell="G4" sqref="G4:K5"/>
    </sheetView>
  </sheetViews>
  <sheetFormatPr defaultColWidth="12.625" defaultRowHeight="15" customHeight="1" x14ac:dyDescent="0.2"/>
  <cols>
    <col min="1" max="1" width="0.625" style="25" customWidth="1"/>
    <col min="2" max="2" width="11.875" style="25" hidden="1" customWidth="1"/>
    <col min="3" max="3" width="10.75" style="49" hidden="1" customWidth="1"/>
    <col min="4" max="5" width="7" style="49" hidden="1" customWidth="1"/>
    <col min="6" max="6" width="6.75" style="49" hidden="1" customWidth="1"/>
    <col min="7" max="7" width="7.375" style="25" customWidth="1"/>
    <col min="8" max="8" width="10.125" style="25" customWidth="1"/>
    <col min="9" max="9" width="9.75" style="25" customWidth="1"/>
    <col min="10" max="10" width="12.125" style="25" customWidth="1"/>
    <col min="11" max="11" width="9.25" style="25" customWidth="1"/>
    <col min="12" max="12" width="6.75" style="25" customWidth="1"/>
    <col min="13" max="13" width="10.625" style="25" customWidth="1"/>
    <col min="14" max="26" width="8.625" style="25" customWidth="1"/>
    <col min="27" max="16384" width="12.625" style="25"/>
  </cols>
  <sheetData>
    <row r="1" spans="1:14" ht="13.5" customHeight="1" x14ac:dyDescent="0.2">
      <c r="A1" s="6"/>
      <c r="B1" s="6"/>
      <c r="C1" s="50"/>
      <c r="D1" s="50"/>
      <c r="E1" s="50"/>
      <c r="F1" s="50"/>
      <c r="G1" s="71" t="s">
        <v>0</v>
      </c>
      <c r="H1" s="72"/>
      <c r="I1" s="72"/>
      <c r="J1" s="72"/>
      <c r="K1" s="72"/>
      <c r="L1" s="72"/>
      <c r="M1" s="72"/>
      <c r="N1" s="72"/>
    </row>
    <row r="2" spans="1:14" ht="13.5" customHeight="1" x14ac:dyDescent="0.2">
      <c r="A2" s="6"/>
      <c r="B2" s="6"/>
      <c r="C2" s="50"/>
      <c r="D2" s="50"/>
      <c r="E2" s="50"/>
      <c r="F2" s="50"/>
      <c r="G2" s="72"/>
      <c r="H2" s="72"/>
      <c r="I2" s="72"/>
      <c r="J2" s="72"/>
      <c r="K2" s="72"/>
      <c r="L2" s="72"/>
      <c r="M2" s="72"/>
      <c r="N2" s="72"/>
    </row>
    <row r="3" spans="1:14" ht="6" customHeight="1" x14ac:dyDescent="0.2">
      <c r="A3" s="6"/>
      <c r="B3" s="6"/>
      <c r="C3" s="50"/>
      <c r="D3" s="50"/>
      <c r="E3" s="50"/>
      <c r="F3" s="50"/>
      <c r="G3" s="1"/>
      <c r="H3" s="1"/>
      <c r="I3" s="1"/>
      <c r="J3" s="1"/>
      <c r="K3" s="1"/>
      <c r="L3" s="1"/>
      <c r="M3" s="1"/>
      <c r="N3" s="1"/>
    </row>
    <row r="4" spans="1:14" ht="14.25" customHeight="1" x14ac:dyDescent="0.2">
      <c r="A4" s="2"/>
      <c r="B4" s="3"/>
      <c r="C4" s="3"/>
      <c r="D4" s="3"/>
      <c r="E4" s="3"/>
      <c r="F4" s="3"/>
      <c r="G4" s="73" t="s">
        <v>1</v>
      </c>
      <c r="H4" s="72"/>
      <c r="I4" s="72"/>
      <c r="J4" s="72"/>
      <c r="K4" s="72"/>
      <c r="L4" s="3"/>
      <c r="M4" s="3"/>
      <c r="N4" s="3"/>
    </row>
    <row r="5" spans="1:14" ht="14.25" customHeight="1" x14ac:dyDescent="0.2">
      <c r="A5" s="2"/>
      <c r="B5" s="3"/>
      <c r="C5" s="3"/>
      <c r="D5" s="3"/>
      <c r="E5" s="3"/>
      <c r="F5" s="3"/>
      <c r="G5" s="72"/>
      <c r="H5" s="72"/>
      <c r="I5" s="72"/>
      <c r="J5" s="72"/>
      <c r="K5" s="72"/>
      <c r="L5" s="3"/>
      <c r="M5" s="3"/>
      <c r="N5" s="3"/>
    </row>
    <row r="6" spans="1:14" ht="14.25" customHeight="1" x14ac:dyDescent="0.2">
      <c r="A6" s="2"/>
      <c r="B6" s="3"/>
      <c r="C6" s="3"/>
      <c r="D6" s="3"/>
      <c r="E6" s="3"/>
      <c r="F6" s="3"/>
      <c r="G6" s="74" t="s">
        <v>2</v>
      </c>
      <c r="H6" s="72"/>
      <c r="I6" s="72"/>
      <c r="J6" s="72"/>
      <c r="K6" s="72"/>
      <c r="L6" s="3"/>
      <c r="M6" s="3"/>
      <c r="N6" s="3"/>
    </row>
    <row r="7" spans="1:14" ht="14.25" customHeight="1" x14ac:dyDescent="0.2">
      <c r="A7" s="2"/>
      <c r="B7" s="3"/>
      <c r="C7" s="3"/>
      <c r="D7" s="3"/>
      <c r="E7" s="3"/>
      <c r="F7" s="3"/>
      <c r="G7" s="72"/>
      <c r="H7" s="72"/>
      <c r="I7" s="72"/>
      <c r="J7" s="72"/>
      <c r="K7" s="72"/>
      <c r="L7" s="3"/>
      <c r="M7" s="3"/>
      <c r="N7" s="3"/>
    </row>
    <row r="8" spans="1:14" ht="23.25" customHeight="1" x14ac:dyDescent="0.2">
      <c r="A8" s="2"/>
      <c r="B8" s="3"/>
      <c r="C8" s="3"/>
      <c r="D8" s="3"/>
      <c r="E8" s="3"/>
      <c r="F8" s="3"/>
      <c r="G8" s="72"/>
      <c r="H8" s="72"/>
      <c r="I8" s="72"/>
      <c r="J8" s="72"/>
      <c r="K8" s="72"/>
      <c r="L8" s="3"/>
      <c r="M8" s="3"/>
      <c r="N8" s="3"/>
    </row>
    <row r="9" spans="1:14" ht="14.25" customHeight="1" x14ac:dyDescent="0.2">
      <c r="A9" s="2"/>
      <c r="B9" s="3"/>
      <c r="C9" s="3"/>
      <c r="D9" s="3"/>
      <c r="E9" s="3"/>
      <c r="F9" s="3"/>
      <c r="G9" s="75" t="s">
        <v>3</v>
      </c>
      <c r="H9" s="72"/>
      <c r="I9" s="3"/>
      <c r="J9" s="3"/>
      <c r="K9" s="3"/>
      <c r="L9" s="3"/>
      <c r="M9" s="3"/>
      <c r="N9" s="3"/>
    </row>
    <row r="10" spans="1:14" ht="14.25" customHeight="1" x14ac:dyDescent="0.2">
      <c r="A10" s="2"/>
      <c r="B10" s="3"/>
      <c r="C10" s="3"/>
      <c r="D10" s="3"/>
      <c r="E10" s="3"/>
      <c r="F10" s="3"/>
      <c r="G10" s="4" t="s">
        <v>4</v>
      </c>
      <c r="H10" s="76">
        <f ca="1">TODAY()</f>
        <v>46007</v>
      </c>
      <c r="I10" s="77"/>
      <c r="J10" s="3"/>
      <c r="K10" s="3"/>
      <c r="L10" s="3"/>
      <c r="M10" s="3"/>
      <c r="N10" s="3"/>
    </row>
    <row r="11" spans="1:14" ht="14.25" customHeight="1" x14ac:dyDescent="0.2">
      <c r="A11" s="2"/>
      <c r="B11" s="3"/>
      <c r="C11" s="3"/>
      <c r="D11" s="3"/>
      <c r="E11" s="3"/>
      <c r="F11" s="3"/>
      <c r="G11" s="5"/>
      <c r="H11" s="3"/>
      <c r="I11" s="3"/>
      <c r="J11" s="3"/>
      <c r="K11" s="3"/>
      <c r="L11" s="3"/>
      <c r="M11" s="3"/>
      <c r="N11" s="3"/>
    </row>
    <row r="12" spans="1:14" ht="13.5" customHeight="1" x14ac:dyDescent="0.2">
      <c r="A12" s="2"/>
      <c r="B12" s="3"/>
      <c r="C12" s="3"/>
      <c r="D12" s="3"/>
      <c r="E12" s="3"/>
      <c r="F12" s="3"/>
      <c r="G12" s="79" t="s">
        <v>5</v>
      </c>
      <c r="H12" s="72"/>
      <c r="I12" s="72"/>
      <c r="J12" s="3"/>
      <c r="K12" s="3"/>
      <c r="L12" s="81" t="s">
        <v>6</v>
      </c>
      <c r="M12" s="72"/>
      <c r="N12" s="3"/>
    </row>
    <row r="13" spans="1:14" ht="14.25" customHeight="1" x14ac:dyDescent="0.2">
      <c r="A13" s="3"/>
      <c r="B13" s="3"/>
      <c r="C13" s="3"/>
      <c r="D13" s="3"/>
      <c r="E13" s="3"/>
      <c r="F13" s="3"/>
      <c r="G13" s="80"/>
      <c r="H13" s="72"/>
      <c r="I13" s="72"/>
      <c r="J13" s="3"/>
      <c r="K13" s="3"/>
      <c r="L13" s="83" t="s">
        <v>22</v>
      </c>
      <c r="M13" s="83"/>
      <c r="N13" s="83"/>
    </row>
    <row r="14" spans="1:14" ht="14.25" customHeight="1" x14ac:dyDescent="0.2">
      <c r="A14" s="3"/>
      <c r="B14" s="3"/>
      <c r="C14" s="3"/>
      <c r="D14" s="3"/>
      <c r="E14" s="3"/>
      <c r="F14" s="3"/>
      <c r="G14" s="72"/>
      <c r="H14" s="72"/>
      <c r="I14" s="72"/>
      <c r="J14" s="3"/>
      <c r="K14" s="3"/>
      <c r="L14" s="83"/>
      <c r="M14" s="83"/>
      <c r="N14" s="83"/>
    </row>
    <row r="15" spans="1:14" ht="6" customHeight="1" x14ac:dyDescent="0.2">
      <c r="A15" s="7"/>
      <c r="B15" s="7"/>
      <c r="C15" s="7"/>
      <c r="D15" s="7"/>
      <c r="E15" s="7"/>
      <c r="F15" s="7"/>
      <c r="G15" s="8"/>
      <c r="H15" s="9"/>
      <c r="I15" s="9"/>
      <c r="J15" s="9"/>
      <c r="K15" s="9"/>
      <c r="L15" s="9"/>
      <c r="M15" s="9"/>
      <c r="N15" s="9"/>
    </row>
    <row r="16" spans="1:14" ht="14.25" customHeight="1" thickBot="1" x14ac:dyDescent="0.25">
      <c r="A16" s="3"/>
      <c r="B16" s="3"/>
      <c r="C16" s="3"/>
      <c r="D16" s="3"/>
      <c r="E16" s="3"/>
      <c r="F16" s="3"/>
      <c r="G16" s="5"/>
      <c r="H16" s="3"/>
      <c r="I16" s="3"/>
      <c r="J16" s="3"/>
      <c r="K16" s="3"/>
      <c r="L16" s="3"/>
      <c r="M16" s="3"/>
      <c r="N16" s="3"/>
    </row>
    <row r="17" spans="1:15" ht="14.25" customHeight="1" x14ac:dyDescent="0.2">
      <c r="A17" s="3"/>
      <c r="B17" s="61" t="s">
        <v>21</v>
      </c>
      <c r="C17" s="62"/>
      <c r="D17" s="62"/>
      <c r="E17" s="63"/>
      <c r="F17" s="3"/>
      <c r="G17" s="61" t="s">
        <v>7</v>
      </c>
      <c r="H17" s="62"/>
      <c r="I17" s="62"/>
      <c r="J17" s="63"/>
      <c r="K17" s="13"/>
      <c r="L17" s="61" t="s">
        <v>8</v>
      </c>
      <c r="M17" s="62"/>
      <c r="N17" s="63"/>
    </row>
    <row r="18" spans="1:15" ht="14.25" customHeight="1" x14ac:dyDescent="0.2">
      <c r="A18" s="3"/>
      <c r="B18" s="64"/>
      <c r="C18" s="65"/>
      <c r="D18" s="65"/>
      <c r="E18" s="66"/>
      <c r="F18" s="3"/>
      <c r="G18" s="64"/>
      <c r="H18" s="65"/>
      <c r="I18" s="65"/>
      <c r="J18" s="66"/>
      <c r="K18" s="14"/>
      <c r="L18" s="67"/>
      <c r="M18" s="65"/>
      <c r="N18" s="66"/>
    </row>
    <row r="19" spans="1:15" ht="14.25" customHeight="1" thickBot="1" x14ac:dyDescent="0.25">
      <c r="A19" s="3"/>
      <c r="B19" s="15"/>
      <c r="C19" s="14"/>
      <c r="D19" s="14"/>
      <c r="E19" s="16"/>
      <c r="F19" s="3"/>
      <c r="G19" s="15"/>
      <c r="H19" s="14"/>
      <c r="I19" s="14"/>
      <c r="J19" s="16"/>
      <c r="K19" s="14"/>
      <c r="L19" s="21"/>
      <c r="M19" s="14"/>
      <c r="N19" s="16"/>
    </row>
    <row r="20" spans="1:15" ht="18" customHeight="1" thickBot="1" x14ac:dyDescent="0.25">
      <c r="A20" s="3"/>
      <c r="B20" s="22" t="s">
        <v>9</v>
      </c>
      <c r="C20" s="23" t="s">
        <v>10</v>
      </c>
      <c r="D20" s="23" t="s">
        <v>11</v>
      </c>
      <c r="E20" s="24" t="s">
        <v>12</v>
      </c>
      <c r="F20" s="3"/>
      <c r="G20" s="22" t="s">
        <v>9</v>
      </c>
      <c r="H20" s="23" t="s">
        <v>10</v>
      </c>
      <c r="I20" s="23" t="s">
        <v>11</v>
      </c>
      <c r="J20" s="24" t="s">
        <v>12</v>
      </c>
      <c r="K20" s="20" t="s">
        <v>13</v>
      </c>
      <c r="L20" s="17" t="s">
        <v>10</v>
      </c>
      <c r="M20" s="18" t="s">
        <v>11</v>
      </c>
      <c r="N20" s="19" t="s">
        <v>12</v>
      </c>
      <c r="O20" s="25" t="s">
        <v>23</v>
      </c>
    </row>
    <row r="21" spans="1:15" ht="14.25" customHeight="1" x14ac:dyDescent="0.2">
      <c r="A21" s="3"/>
      <c r="B21" s="26">
        <v>1</v>
      </c>
      <c r="C21" s="27">
        <v>45</v>
      </c>
      <c r="D21" s="27">
        <v>25</v>
      </c>
      <c r="E21" s="28">
        <f>C21*D21/144</f>
        <v>7.8125</v>
      </c>
      <c r="F21" s="3"/>
      <c r="G21" s="26">
        <v>1</v>
      </c>
      <c r="H21" s="27">
        <f>ROUNDUP((C21+5)*2.54,0)</f>
        <v>127</v>
      </c>
      <c r="I21" s="27">
        <f>ROUNDUP((D21+2)*2.54,0)</f>
        <v>69</v>
      </c>
      <c r="J21" s="28">
        <f t="shared" ref="J21:J83" si="0">H21*I21/10000</f>
        <v>0.87629999999999997</v>
      </c>
      <c r="K21" s="29"/>
      <c r="L21" s="30">
        <f t="shared" ref="L21:M21" si="1">H21-5</f>
        <v>122</v>
      </c>
      <c r="M21" s="30">
        <f t="shared" si="1"/>
        <v>64</v>
      </c>
      <c r="N21" s="28">
        <f t="shared" ref="N21:N81" si="2">L21*M21/10000</f>
        <v>0.78080000000000005</v>
      </c>
    </row>
    <row r="22" spans="1:15" ht="14.25" customHeight="1" x14ac:dyDescent="0.2">
      <c r="A22" s="3"/>
      <c r="B22" s="31">
        <v>2</v>
      </c>
      <c r="C22" s="27">
        <v>43</v>
      </c>
      <c r="D22" s="27">
        <v>25</v>
      </c>
      <c r="E22" s="28">
        <f t="shared" ref="E22:E85" si="3">C22*D22/144</f>
        <v>7.4652777777777777</v>
      </c>
      <c r="F22" s="3"/>
      <c r="G22" s="31">
        <v>2</v>
      </c>
      <c r="H22" s="27">
        <f t="shared" ref="H22:H85" si="4">ROUNDUP((C22+5)*2.54,0)</f>
        <v>122</v>
      </c>
      <c r="I22" s="27">
        <f t="shared" ref="I22:I85" si="5">ROUNDUP((D22+2)*2.54,0)</f>
        <v>69</v>
      </c>
      <c r="J22" s="28">
        <f t="shared" si="0"/>
        <v>0.84179999999999999</v>
      </c>
      <c r="K22" s="32"/>
      <c r="L22" s="33">
        <f t="shared" ref="L22:M22" si="6">H22-5</f>
        <v>117</v>
      </c>
      <c r="M22" s="33">
        <f t="shared" si="6"/>
        <v>64</v>
      </c>
      <c r="N22" s="28">
        <f t="shared" si="2"/>
        <v>0.74880000000000002</v>
      </c>
    </row>
    <row r="23" spans="1:15" ht="14.25" customHeight="1" x14ac:dyDescent="0.2">
      <c r="A23" s="3"/>
      <c r="B23" s="26">
        <v>3</v>
      </c>
      <c r="C23" s="27">
        <v>46</v>
      </c>
      <c r="D23" s="27">
        <v>26</v>
      </c>
      <c r="E23" s="28">
        <f t="shared" si="3"/>
        <v>8.3055555555555554</v>
      </c>
      <c r="F23" s="3"/>
      <c r="G23" s="26">
        <v>3</v>
      </c>
      <c r="H23" s="27">
        <f t="shared" si="4"/>
        <v>130</v>
      </c>
      <c r="I23" s="27">
        <f t="shared" si="5"/>
        <v>72</v>
      </c>
      <c r="J23" s="28">
        <f t="shared" si="0"/>
        <v>0.93600000000000005</v>
      </c>
      <c r="K23" s="32"/>
      <c r="L23" s="33">
        <f t="shared" ref="L23:M23" si="7">H23-5</f>
        <v>125</v>
      </c>
      <c r="M23" s="33">
        <f t="shared" si="7"/>
        <v>67</v>
      </c>
      <c r="N23" s="28">
        <f t="shared" si="2"/>
        <v>0.83750000000000002</v>
      </c>
    </row>
    <row r="24" spans="1:15" ht="14.25" customHeight="1" x14ac:dyDescent="0.2">
      <c r="A24" s="3"/>
      <c r="B24" s="31">
        <v>4</v>
      </c>
      <c r="C24" s="27">
        <v>64</v>
      </c>
      <c r="D24" s="27">
        <v>23</v>
      </c>
      <c r="E24" s="28">
        <f t="shared" si="3"/>
        <v>10.222222222222221</v>
      </c>
      <c r="F24" s="3"/>
      <c r="G24" s="31">
        <v>4</v>
      </c>
      <c r="H24" s="27">
        <f t="shared" si="4"/>
        <v>176</v>
      </c>
      <c r="I24" s="27">
        <f t="shared" si="5"/>
        <v>64</v>
      </c>
      <c r="J24" s="28">
        <f t="shared" si="0"/>
        <v>1.1264000000000001</v>
      </c>
      <c r="K24" s="32"/>
      <c r="L24" s="33">
        <f t="shared" ref="L24:M24" si="8">H24-5</f>
        <v>171</v>
      </c>
      <c r="M24" s="33">
        <f t="shared" si="8"/>
        <v>59</v>
      </c>
      <c r="N24" s="28">
        <f t="shared" si="2"/>
        <v>1.0088999999999999</v>
      </c>
    </row>
    <row r="25" spans="1:15" ht="14.25" customHeight="1" x14ac:dyDescent="0.2">
      <c r="A25" s="3"/>
      <c r="B25" s="26">
        <v>5</v>
      </c>
      <c r="C25" s="27">
        <v>61</v>
      </c>
      <c r="D25" s="27">
        <v>23</v>
      </c>
      <c r="E25" s="28">
        <f t="shared" si="3"/>
        <v>9.7430555555555554</v>
      </c>
      <c r="F25" s="3"/>
      <c r="G25" s="26">
        <v>5</v>
      </c>
      <c r="H25" s="27">
        <f t="shared" si="4"/>
        <v>168</v>
      </c>
      <c r="I25" s="27">
        <f t="shared" si="5"/>
        <v>64</v>
      </c>
      <c r="J25" s="28">
        <f t="shared" si="0"/>
        <v>1.0751999999999999</v>
      </c>
      <c r="K25" s="32"/>
      <c r="L25" s="33">
        <f t="shared" ref="L25:M25" si="9">H25-5</f>
        <v>163</v>
      </c>
      <c r="M25" s="33">
        <f t="shared" si="9"/>
        <v>59</v>
      </c>
      <c r="N25" s="28">
        <f t="shared" si="2"/>
        <v>0.9617</v>
      </c>
    </row>
    <row r="26" spans="1:15" ht="14.25" customHeight="1" x14ac:dyDescent="0.2">
      <c r="A26" s="3"/>
      <c r="B26" s="31">
        <v>6</v>
      </c>
      <c r="C26" s="27">
        <v>38</v>
      </c>
      <c r="D26" s="27">
        <v>22</v>
      </c>
      <c r="E26" s="28">
        <f t="shared" si="3"/>
        <v>5.8055555555555554</v>
      </c>
      <c r="F26" s="3"/>
      <c r="G26" s="31">
        <v>6</v>
      </c>
      <c r="H26" s="27">
        <f t="shared" si="4"/>
        <v>110</v>
      </c>
      <c r="I26" s="27">
        <f t="shared" si="5"/>
        <v>61</v>
      </c>
      <c r="J26" s="28">
        <f t="shared" si="0"/>
        <v>0.67100000000000004</v>
      </c>
      <c r="K26" s="32"/>
      <c r="L26" s="33">
        <f t="shared" ref="L26:M26" si="10">H26-5</f>
        <v>105</v>
      </c>
      <c r="M26" s="33">
        <f t="shared" si="10"/>
        <v>56</v>
      </c>
      <c r="N26" s="28">
        <f t="shared" si="2"/>
        <v>0.58799999999999997</v>
      </c>
    </row>
    <row r="27" spans="1:15" ht="14.25" customHeight="1" x14ac:dyDescent="0.2">
      <c r="A27" s="3"/>
      <c r="B27" s="26">
        <v>7</v>
      </c>
      <c r="C27" s="27">
        <v>51</v>
      </c>
      <c r="D27" s="27">
        <v>24</v>
      </c>
      <c r="E27" s="28">
        <f t="shared" si="3"/>
        <v>8.5</v>
      </c>
      <c r="F27" s="3"/>
      <c r="G27" s="26">
        <v>7</v>
      </c>
      <c r="H27" s="27">
        <f t="shared" si="4"/>
        <v>143</v>
      </c>
      <c r="I27" s="27">
        <f t="shared" si="5"/>
        <v>67</v>
      </c>
      <c r="J27" s="28">
        <f t="shared" si="0"/>
        <v>0.95809999999999995</v>
      </c>
      <c r="K27" s="32"/>
      <c r="L27" s="33">
        <f t="shared" ref="L27:M27" si="11">H27-5</f>
        <v>138</v>
      </c>
      <c r="M27" s="33">
        <f t="shared" si="11"/>
        <v>62</v>
      </c>
      <c r="N27" s="28">
        <f t="shared" si="2"/>
        <v>0.85560000000000003</v>
      </c>
    </row>
    <row r="28" spans="1:15" ht="14.25" customHeight="1" x14ac:dyDescent="0.2">
      <c r="A28" s="3"/>
      <c r="B28" s="31">
        <v>8</v>
      </c>
      <c r="C28" s="27">
        <v>36</v>
      </c>
      <c r="D28" s="27">
        <v>23</v>
      </c>
      <c r="E28" s="28">
        <f t="shared" si="3"/>
        <v>5.75</v>
      </c>
      <c r="F28" s="3"/>
      <c r="G28" s="31">
        <v>8</v>
      </c>
      <c r="H28" s="27">
        <f t="shared" si="4"/>
        <v>105</v>
      </c>
      <c r="I28" s="27">
        <f t="shared" si="5"/>
        <v>64</v>
      </c>
      <c r="J28" s="28">
        <f t="shared" si="0"/>
        <v>0.67200000000000004</v>
      </c>
      <c r="K28" s="32"/>
      <c r="L28" s="33">
        <f t="shared" ref="L28:M28" si="12">H28-5</f>
        <v>100</v>
      </c>
      <c r="M28" s="33">
        <f t="shared" si="12"/>
        <v>59</v>
      </c>
      <c r="N28" s="28">
        <f t="shared" si="2"/>
        <v>0.59</v>
      </c>
    </row>
    <row r="29" spans="1:15" ht="14.25" customHeight="1" x14ac:dyDescent="0.2">
      <c r="A29" s="3"/>
      <c r="B29" s="26">
        <v>9</v>
      </c>
      <c r="C29" s="27">
        <v>68</v>
      </c>
      <c r="D29" s="27">
        <v>27</v>
      </c>
      <c r="E29" s="28">
        <f t="shared" si="3"/>
        <v>12.75</v>
      </c>
      <c r="F29" s="3"/>
      <c r="G29" s="26">
        <v>9</v>
      </c>
      <c r="H29" s="27">
        <f t="shared" si="4"/>
        <v>186</v>
      </c>
      <c r="I29" s="27">
        <f t="shared" si="5"/>
        <v>74</v>
      </c>
      <c r="J29" s="28">
        <f t="shared" si="0"/>
        <v>1.3764000000000001</v>
      </c>
      <c r="K29" s="32"/>
      <c r="L29" s="33">
        <f t="shared" ref="L29:M29" si="13">H29-5</f>
        <v>181</v>
      </c>
      <c r="M29" s="33">
        <f t="shared" si="13"/>
        <v>69</v>
      </c>
      <c r="N29" s="28">
        <f t="shared" si="2"/>
        <v>1.2488999999999999</v>
      </c>
      <c r="O29" s="25" t="s">
        <v>24</v>
      </c>
    </row>
    <row r="30" spans="1:15" ht="14.25" customHeight="1" x14ac:dyDescent="0.2">
      <c r="A30" s="3"/>
      <c r="B30" s="31">
        <v>10</v>
      </c>
      <c r="C30" s="27">
        <v>52</v>
      </c>
      <c r="D30" s="27">
        <v>23</v>
      </c>
      <c r="E30" s="28">
        <f t="shared" si="3"/>
        <v>8.3055555555555554</v>
      </c>
      <c r="F30" s="3"/>
      <c r="G30" s="31">
        <v>10</v>
      </c>
      <c r="H30" s="27">
        <f t="shared" si="4"/>
        <v>145</v>
      </c>
      <c r="I30" s="27">
        <f t="shared" si="5"/>
        <v>64</v>
      </c>
      <c r="J30" s="28">
        <f t="shared" si="0"/>
        <v>0.92800000000000005</v>
      </c>
      <c r="K30" s="32"/>
      <c r="L30" s="33">
        <f t="shared" ref="L30:M30" si="14">H30-5</f>
        <v>140</v>
      </c>
      <c r="M30" s="33">
        <f t="shared" si="14"/>
        <v>59</v>
      </c>
      <c r="N30" s="28">
        <f t="shared" si="2"/>
        <v>0.82599999999999996</v>
      </c>
    </row>
    <row r="31" spans="1:15" ht="14.25" customHeight="1" x14ac:dyDescent="0.2">
      <c r="A31" s="3"/>
      <c r="B31" s="26">
        <v>11</v>
      </c>
      <c r="C31" s="27">
        <v>54</v>
      </c>
      <c r="D31" s="27">
        <v>27</v>
      </c>
      <c r="E31" s="28">
        <f t="shared" si="3"/>
        <v>10.125</v>
      </c>
      <c r="F31" s="3"/>
      <c r="G31" s="26">
        <v>11</v>
      </c>
      <c r="H31" s="27">
        <f t="shared" si="4"/>
        <v>150</v>
      </c>
      <c r="I31" s="27">
        <f t="shared" si="5"/>
        <v>74</v>
      </c>
      <c r="J31" s="28">
        <f t="shared" si="0"/>
        <v>1.1100000000000001</v>
      </c>
      <c r="K31" s="32"/>
      <c r="L31" s="33">
        <f t="shared" ref="L31:M31" si="15">H31-5</f>
        <v>145</v>
      </c>
      <c r="M31" s="33">
        <f t="shared" si="15"/>
        <v>69</v>
      </c>
      <c r="N31" s="28">
        <f t="shared" si="2"/>
        <v>1.0004999999999999</v>
      </c>
      <c r="O31" s="47"/>
    </row>
    <row r="32" spans="1:15" ht="14.25" customHeight="1" x14ac:dyDescent="0.2">
      <c r="A32" s="3"/>
      <c r="B32" s="31">
        <v>12</v>
      </c>
      <c r="C32" s="27">
        <v>49</v>
      </c>
      <c r="D32" s="27">
        <v>27</v>
      </c>
      <c r="E32" s="28">
        <f t="shared" si="3"/>
        <v>9.1875</v>
      </c>
      <c r="F32" s="3"/>
      <c r="G32" s="31">
        <v>12</v>
      </c>
      <c r="H32" s="27">
        <f t="shared" si="4"/>
        <v>138</v>
      </c>
      <c r="I32" s="27">
        <f t="shared" si="5"/>
        <v>74</v>
      </c>
      <c r="J32" s="28">
        <f t="shared" si="0"/>
        <v>1.0212000000000001</v>
      </c>
      <c r="K32" s="32"/>
      <c r="L32" s="33">
        <f t="shared" ref="L32:M32" si="16">H32-5</f>
        <v>133</v>
      </c>
      <c r="M32" s="33">
        <f t="shared" si="16"/>
        <v>69</v>
      </c>
      <c r="N32" s="28">
        <f t="shared" si="2"/>
        <v>0.91769999999999996</v>
      </c>
    </row>
    <row r="33" spans="1:15" ht="14.25" customHeight="1" x14ac:dyDescent="0.2">
      <c r="A33" s="3"/>
      <c r="B33" s="26">
        <v>13</v>
      </c>
      <c r="C33" s="27">
        <v>47</v>
      </c>
      <c r="D33" s="27">
        <v>26</v>
      </c>
      <c r="E33" s="28">
        <f t="shared" si="3"/>
        <v>8.4861111111111107</v>
      </c>
      <c r="F33" s="3"/>
      <c r="G33" s="26">
        <v>13</v>
      </c>
      <c r="H33" s="27">
        <f t="shared" si="4"/>
        <v>133</v>
      </c>
      <c r="I33" s="27">
        <f t="shared" si="5"/>
        <v>72</v>
      </c>
      <c r="J33" s="28">
        <f t="shared" si="0"/>
        <v>0.95760000000000001</v>
      </c>
      <c r="K33" s="32"/>
      <c r="L33" s="33">
        <f t="shared" ref="L33:M33" si="17">H33-5</f>
        <v>128</v>
      </c>
      <c r="M33" s="33">
        <f t="shared" si="17"/>
        <v>67</v>
      </c>
      <c r="N33" s="28">
        <f t="shared" si="2"/>
        <v>0.85760000000000003</v>
      </c>
    </row>
    <row r="34" spans="1:15" ht="14.25" customHeight="1" x14ac:dyDescent="0.2">
      <c r="A34" s="3"/>
      <c r="B34" s="31">
        <v>14</v>
      </c>
      <c r="C34" s="27">
        <v>46</v>
      </c>
      <c r="D34" s="27">
        <v>27</v>
      </c>
      <c r="E34" s="28">
        <f t="shared" si="3"/>
        <v>8.625</v>
      </c>
      <c r="F34" s="3"/>
      <c r="G34" s="31">
        <v>14</v>
      </c>
      <c r="H34" s="27">
        <f t="shared" si="4"/>
        <v>130</v>
      </c>
      <c r="I34" s="27">
        <f t="shared" si="5"/>
        <v>74</v>
      </c>
      <c r="J34" s="28">
        <f t="shared" si="0"/>
        <v>0.96199999999999997</v>
      </c>
      <c r="K34" s="32"/>
      <c r="L34" s="33">
        <f t="shared" ref="L34:M34" si="18">H34-5</f>
        <v>125</v>
      </c>
      <c r="M34" s="33">
        <f t="shared" si="18"/>
        <v>69</v>
      </c>
      <c r="N34" s="28">
        <f t="shared" si="2"/>
        <v>0.86250000000000004</v>
      </c>
    </row>
    <row r="35" spans="1:15" ht="14.25" customHeight="1" x14ac:dyDescent="0.2">
      <c r="A35" s="3"/>
      <c r="B35" s="26">
        <v>15</v>
      </c>
      <c r="C35" s="27">
        <v>48</v>
      </c>
      <c r="D35" s="27">
        <v>27</v>
      </c>
      <c r="E35" s="28">
        <f t="shared" si="3"/>
        <v>9</v>
      </c>
      <c r="F35" s="3"/>
      <c r="G35" s="26">
        <v>15</v>
      </c>
      <c r="H35" s="27">
        <f t="shared" si="4"/>
        <v>135</v>
      </c>
      <c r="I35" s="27">
        <f t="shared" si="5"/>
        <v>74</v>
      </c>
      <c r="J35" s="28">
        <f t="shared" si="0"/>
        <v>0.999</v>
      </c>
      <c r="K35" s="32"/>
      <c r="L35" s="33">
        <f t="shared" ref="L35:M35" si="19">H35-5</f>
        <v>130</v>
      </c>
      <c r="M35" s="33">
        <f t="shared" si="19"/>
        <v>69</v>
      </c>
      <c r="N35" s="28">
        <f t="shared" si="2"/>
        <v>0.89700000000000002</v>
      </c>
    </row>
    <row r="36" spans="1:15" ht="14.25" customHeight="1" x14ac:dyDescent="0.2">
      <c r="A36" s="3"/>
      <c r="B36" s="31">
        <v>16</v>
      </c>
      <c r="C36" s="27">
        <v>43</v>
      </c>
      <c r="D36" s="27">
        <v>27</v>
      </c>
      <c r="E36" s="28">
        <f t="shared" si="3"/>
        <v>8.0625</v>
      </c>
      <c r="F36" s="3"/>
      <c r="G36" s="31">
        <v>16</v>
      </c>
      <c r="H36" s="27">
        <f t="shared" si="4"/>
        <v>122</v>
      </c>
      <c r="I36" s="27">
        <f t="shared" si="5"/>
        <v>74</v>
      </c>
      <c r="J36" s="28">
        <f t="shared" si="0"/>
        <v>0.90280000000000005</v>
      </c>
      <c r="K36" s="32"/>
      <c r="L36" s="33">
        <f t="shared" ref="L36:M36" si="20">H36-5</f>
        <v>117</v>
      </c>
      <c r="M36" s="33">
        <f t="shared" si="20"/>
        <v>69</v>
      </c>
      <c r="N36" s="28">
        <f t="shared" si="2"/>
        <v>0.80730000000000002</v>
      </c>
      <c r="O36" s="47"/>
    </row>
    <row r="37" spans="1:15" ht="14.25" customHeight="1" x14ac:dyDescent="0.2">
      <c r="A37" s="3"/>
      <c r="B37" s="26">
        <v>17</v>
      </c>
      <c r="C37" s="27">
        <v>51</v>
      </c>
      <c r="D37" s="27">
        <v>27</v>
      </c>
      <c r="E37" s="28">
        <f t="shared" si="3"/>
        <v>9.5625</v>
      </c>
      <c r="F37" s="3"/>
      <c r="G37" s="26">
        <v>17</v>
      </c>
      <c r="H37" s="27">
        <f t="shared" si="4"/>
        <v>143</v>
      </c>
      <c r="I37" s="27">
        <f t="shared" si="5"/>
        <v>74</v>
      </c>
      <c r="J37" s="28">
        <f t="shared" si="0"/>
        <v>1.0582</v>
      </c>
      <c r="K37" s="32"/>
      <c r="L37" s="33">
        <f t="shared" ref="L37:M37" si="21">H37-5</f>
        <v>138</v>
      </c>
      <c r="M37" s="33">
        <f t="shared" si="21"/>
        <v>69</v>
      </c>
      <c r="N37" s="28">
        <f t="shared" si="2"/>
        <v>0.95220000000000005</v>
      </c>
      <c r="O37" s="47"/>
    </row>
    <row r="38" spans="1:15" ht="14.25" customHeight="1" x14ac:dyDescent="0.2">
      <c r="A38" s="3"/>
      <c r="B38" s="31">
        <v>18</v>
      </c>
      <c r="C38" s="27">
        <v>47</v>
      </c>
      <c r="D38" s="27">
        <v>27</v>
      </c>
      <c r="E38" s="28">
        <f t="shared" si="3"/>
        <v>8.8125</v>
      </c>
      <c r="F38" s="3"/>
      <c r="G38" s="31">
        <v>18</v>
      </c>
      <c r="H38" s="27">
        <f t="shared" si="4"/>
        <v>133</v>
      </c>
      <c r="I38" s="27">
        <f t="shared" si="5"/>
        <v>74</v>
      </c>
      <c r="J38" s="28">
        <f t="shared" si="0"/>
        <v>0.98419999999999996</v>
      </c>
      <c r="K38" s="32"/>
      <c r="L38" s="33">
        <f t="shared" ref="L38:M38" si="22">H38-5</f>
        <v>128</v>
      </c>
      <c r="M38" s="33">
        <f t="shared" si="22"/>
        <v>69</v>
      </c>
      <c r="N38" s="28">
        <f t="shared" si="2"/>
        <v>0.88319999999999999</v>
      </c>
      <c r="O38" s="47"/>
    </row>
    <row r="39" spans="1:15" ht="14.25" customHeight="1" x14ac:dyDescent="0.2">
      <c r="A39" s="3"/>
      <c r="B39" s="26">
        <v>19</v>
      </c>
      <c r="C39" s="27">
        <v>40</v>
      </c>
      <c r="D39" s="27">
        <v>27</v>
      </c>
      <c r="E39" s="28">
        <f t="shared" si="3"/>
        <v>7.5</v>
      </c>
      <c r="F39" s="3"/>
      <c r="G39" s="26">
        <v>19</v>
      </c>
      <c r="H39" s="27">
        <f t="shared" si="4"/>
        <v>115</v>
      </c>
      <c r="I39" s="27">
        <f t="shared" si="5"/>
        <v>74</v>
      </c>
      <c r="J39" s="28">
        <f t="shared" si="0"/>
        <v>0.85099999999999998</v>
      </c>
      <c r="K39" s="32"/>
      <c r="L39" s="33">
        <f t="shared" ref="L39:M39" si="23">H39-5</f>
        <v>110</v>
      </c>
      <c r="M39" s="33">
        <f t="shared" si="23"/>
        <v>69</v>
      </c>
      <c r="N39" s="28">
        <f t="shared" si="2"/>
        <v>0.75900000000000001</v>
      </c>
    </row>
    <row r="40" spans="1:15" ht="14.25" customHeight="1" x14ac:dyDescent="0.2">
      <c r="A40" s="3"/>
      <c r="B40" s="31">
        <v>20</v>
      </c>
      <c r="C40" s="27">
        <v>44</v>
      </c>
      <c r="D40" s="27">
        <v>23</v>
      </c>
      <c r="E40" s="28">
        <f t="shared" si="3"/>
        <v>7.0277777777777777</v>
      </c>
      <c r="F40" s="3"/>
      <c r="G40" s="31">
        <v>20</v>
      </c>
      <c r="H40" s="27">
        <f t="shared" si="4"/>
        <v>125</v>
      </c>
      <c r="I40" s="27">
        <f t="shared" si="5"/>
        <v>64</v>
      </c>
      <c r="J40" s="28">
        <f t="shared" si="0"/>
        <v>0.8</v>
      </c>
      <c r="K40" s="32"/>
      <c r="L40" s="33">
        <f t="shared" ref="L40:M40" si="24">H40-5</f>
        <v>120</v>
      </c>
      <c r="M40" s="33">
        <f t="shared" si="24"/>
        <v>59</v>
      </c>
      <c r="N40" s="28">
        <f t="shared" si="2"/>
        <v>0.70799999999999996</v>
      </c>
    </row>
    <row r="41" spans="1:15" ht="14.25" customHeight="1" x14ac:dyDescent="0.2">
      <c r="A41" s="3"/>
      <c r="B41" s="26">
        <v>21</v>
      </c>
      <c r="C41" s="27">
        <v>48</v>
      </c>
      <c r="D41" s="27">
        <v>27</v>
      </c>
      <c r="E41" s="28">
        <f t="shared" si="3"/>
        <v>9</v>
      </c>
      <c r="F41" s="3"/>
      <c r="G41" s="26">
        <v>21</v>
      </c>
      <c r="H41" s="27">
        <f t="shared" si="4"/>
        <v>135</v>
      </c>
      <c r="I41" s="27">
        <f t="shared" si="5"/>
        <v>74</v>
      </c>
      <c r="J41" s="28">
        <f t="shared" si="0"/>
        <v>0.999</v>
      </c>
      <c r="K41" s="32"/>
      <c r="L41" s="33">
        <f t="shared" ref="L41:M41" si="25">H41-5</f>
        <v>130</v>
      </c>
      <c r="M41" s="33">
        <f t="shared" si="25"/>
        <v>69</v>
      </c>
      <c r="N41" s="28">
        <f t="shared" si="2"/>
        <v>0.89700000000000002</v>
      </c>
    </row>
    <row r="42" spans="1:15" ht="14.25" customHeight="1" x14ac:dyDescent="0.2">
      <c r="A42" s="3"/>
      <c r="B42" s="31">
        <v>22</v>
      </c>
      <c r="C42" s="27">
        <v>39</v>
      </c>
      <c r="D42" s="27">
        <v>27</v>
      </c>
      <c r="E42" s="28">
        <f t="shared" si="3"/>
        <v>7.3125</v>
      </c>
      <c r="F42" s="3"/>
      <c r="G42" s="31">
        <v>22</v>
      </c>
      <c r="H42" s="27">
        <f t="shared" si="4"/>
        <v>112</v>
      </c>
      <c r="I42" s="27">
        <f t="shared" si="5"/>
        <v>74</v>
      </c>
      <c r="J42" s="28">
        <f t="shared" si="0"/>
        <v>0.82879999999999998</v>
      </c>
      <c r="K42" s="32"/>
      <c r="L42" s="33">
        <f t="shared" ref="L42:M42" si="26">H42-5</f>
        <v>107</v>
      </c>
      <c r="M42" s="33">
        <f t="shared" si="26"/>
        <v>69</v>
      </c>
      <c r="N42" s="28">
        <f t="shared" si="2"/>
        <v>0.73829999999999996</v>
      </c>
      <c r="O42" s="47"/>
    </row>
    <row r="43" spans="1:15" ht="14.25" customHeight="1" x14ac:dyDescent="0.2">
      <c r="A43" s="3"/>
      <c r="B43" s="26">
        <v>23</v>
      </c>
      <c r="C43" s="27">
        <v>43</v>
      </c>
      <c r="D43" s="27">
        <v>27</v>
      </c>
      <c r="E43" s="28">
        <f t="shared" si="3"/>
        <v>8.0625</v>
      </c>
      <c r="F43" s="3"/>
      <c r="G43" s="26">
        <v>23</v>
      </c>
      <c r="H43" s="27">
        <f t="shared" si="4"/>
        <v>122</v>
      </c>
      <c r="I43" s="27">
        <f t="shared" si="5"/>
        <v>74</v>
      </c>
      <c r="J43" s="28">
        <f t="shared" si="0"/>
        <v>0.90280000000000005</v>
      </c>
      <c r="K43" s="32"/>
      <c r="L43" s="33">
        <f t="shared" ref="L43:M43" si="27">H43-5</f>
        <v>117</v>
      </c>
      <c r="M43" s="33">
        <f t="shared" si="27"/>
        <v>69</v>
      </c>
      <c r="N43" s="28">
        <f t="shared" si="2"/>
        <v>0.80730000000000002</v>
      </c>
      <c r="O43" s="47"/>
    </row>
    <row r="44" spans="1:15" ht="14.25" customHeight="1" x14ac:dyDescent="0.2">
      <c r="A44" s="3"/>
      <c r="B44" s="31">
        <v>24</v>
      </c>
      <c r="C44" s="27">
        <v>45</v>
      </c>
      <c r="D44" s="27">
        <v>27</v>
      </c>
      <c r="E44" s="28">
        <f t="shared" si="3"/>
        <v>8.4375</v>
      </c>
      <c r="F44" s="3"/>
      <c r="G44" s="31">
        <v>24</v>
      </c>
      <c r="H44" s="27">
        <f t="shared" si="4"/>
        <v>127</v>
      </c>
      <c r="I44" s="27">
        <f t="shared" si="5"/>
        <v>74</v>
      </c>
      <c r="J44" s="28">
        <f t="shared" si="0"/>
        <v>0.93979999999999997</v>
      </c>
      <c r="K44" s="32"/>
      <c r="L44" s="33">
        <f t="shared" ref="L44:M44" si="28">H44-5</f>
        <v>122</v>
      </c>
      <c r="M44" s="33">
        <f t="shared" si="28"/>
        <v>69</v>
      </c>
      <c r="N44" s="28">
        <f t="shared" si="2"/>
        <v>0.84179999999999999</v>
      </c>
      <c r="O44" s="47"/>
    </row>
    <row r="45" spans="1:15" ht="14.25" customHeight="1" x14ac:dyDescent="0.2">
      <c r="A45" s="3"/>
      <c r="B45" s="26">
        <v>25</v>
      </c>
      <c r="C45" s="27">
        <v>47</v>
      </c>
      <c r="D45" s="27">
        <v>26</v>
      </c>
      <c r="E45" s="28">
        <f t="shared" si="3"/>
        <v>8.4861111111111107</v>
      </c>
      <c r="F45" s="3"/>
      <c r="G45" s="26">
        <v>25</v>
      </c>
      <c r="H45" s="27">
        <f t="shared" si="4"/>
        <v>133</v>
      </c>
      <c r="I45" s="27">
        <f t="shared" si="5"/>
        <v>72</v>
      </c>
      <c r="J45" s="28">
        <f t="shared" si="0"/>
        <v>0.95760000000000001</v>
      </c>
      <c r="K45" s="32"/>
      <c r="L45" s="33">
        <f t="shared" ref="L45:M45" si="29">H45-5</f>
        <v>128</v>
      </c>
      <c r="M45" s="33">
        <f t="shared" si="29"/>
        <v>67</v>
      </c>
      <c r="N45" s="28">
        <f t="shared" si="2"/>
        <v>0.85760000000000003</v>
      </c>
      <c r="O45" s="47"/>
    </row>
    <row r="46" spans="1:15" ht="14.25" customHeight="1" x14ac:dyDescent="0.2">
      <c r="A46" s="3"/>
      <c r="B46" s="31">
        <v>26</v>
      </c>
      <c r="C46" s="27">
        <v>43</v>
      </c>
      <c r="D46" s="27">
        <v>26</v>
      </c>
      <c r="E46" s="28">
        <f t="shared" si="3"/>
        <v>7.7638888888888893</v>
      </c>
      <c r="F46" s="3"/>
      <c r="G46" s="31">
        <v>26</v>
      </c>
      <c r="H46" s="27">
        <f t="shared" si="4"/>
        <v>122</v>
      </c>
      <c r="I46" s="27">
        <f t="shared" si="5"/>
        <v>72</v>
      </c>
      <c r="J46" s="28">
        <f t="shared" si="0"/>
        <v>0.87839999999999996</v>
      </c>
      <c r="K46" s="32"/>
      <c r="L46" s="33">
        <f t="shared" ref="L46:M46" si="30">H46-5</f>
        <v>117</v>
      </c>
      <c r="M46" s="33">
        <f t="shared" si="30"/>
        <v>67</v>
      </c>
      <c r="N46" s="28">
        <f t="shared" si="2"/>
        <v>0.78390000000000004</v>
      </c>
      <c r="O46" s="47"/>
    </row>
    <row r="47" spans="1:15" ht="14.25" customHeight="1" x14ac:dyDescent="0.2">
      <c r="A47" s="3"/>
      <c r="B47" s="26">
        <v>27</v>
      </c>
      <c r="C47" s="27">
        <v>38</v>
      </c>
      <c r="D47" s="27">
        <v>26</v>
      </c>
      <c r="E47" s="28">
        <f t="shared" si="3"/>
        <v>6.8611111111111107</v>
      </c>
      <c r="F47" s="3"/>
      <c r="G47" s="26">
        <v>27</v>
      </c>
      <c r="H47" s="27">
        <f t="shared" si="4"/>
        <v>110</v>
      </c>
      <c r="I47" s="27">
        <f t="shared" si="5"/>
        <v>72</v>
      </c>
      <c r="J47" s="28">
        <f t="shared" si="0"/>
        <v>0.79200000000000004</v>
      </c>
      <c r="K47" s="32"/>
      <c r="L47" s="33">
        <f t="shared" ref="L47:M47" si="31">H47-5</f>
        <v>105</v>
      </c>
      <c r="M47" s="33">
        <f t="shared" si="31"/>
        <v>67</v>
      </c>
      <c r="N47" s="28">
        <f t="shared" si="2"/>
        <v>0.70350000000000001</v>
      </c>
      <c r="O47" s="47"/>
    </row>
    <row r="48" spans="1:15" ht="14.25" customHeight="1" x14ac:dyDescent="0.2">
      <c r="A48" s="3"/>
      <c r="B48" s="31">
        <v>28</v>
      </c>
      <c r="C48" s="27">
        <v>35</v>
      </c>
      <c r="D48" s="27">
        <v>26</v>
      </c>
      <c r="E48" s="28">
        <f t="shared" si="3"/>
        <v>6.3194444444444446</v>
      </c>
      <c r="F48" s="3"/>
      <c r="G48" s="31">
        <v>28</v>
      </c>
      <c r="H48" s="27">
        <f t="shared" si="4"/>
        <v>102</v>
      </c>
      <c r="I48" s="27">
        <f t="shared" si="5"/>
        <v>72</v>
      </c>
      <c r="J48" s="28">
        <f t="shared" si="0"/>
        <v>0.73440000000000005</v>
      </c>
      <c r="K48" s="32"/>
      <c r="L48" s="33">
        <f t="shared" ref="L48:M48" si="32">H48-5</f>
        <v>97</v>
      </c>
      <c r="M48" s="33">
        <f t="shared" si="32"/>
        <v>67</v>
      </c>
      <c r="N48" s="28">
        <f t="shared" si="2"/>
        <v>0.64990000000000003</v>
      </c>
      <c r="O48" s="47"/>
    </row>
    <row r="49" spans="1:15" ht="14.25" customHeight="1" x14ac:dyDescent="0.2">
      <c r="A49" s="3"/>
      <c r="B49" s="26">
        <v>29</v>
      </c>
      <c r="C49" s="27">
        <v>40</v>
      </c>
      <c r="D49" s="27">
        <v>26</v>
      </c>
      <c r="E49" s="28">
        <f t="shared" si="3"/>
        <v>7.2222222222222223</v>
      </c>
      <c r="F49" s="3"/>
      <c r="G49" s="26">
        <v>29</v>
      </c>
      <c r="H49" s="27">
        <f t="shared" si="4"/>
        <v>115</v>
      </c>
      <c r="I49" s="27">
        <f t="shared" si="5"/>
        <v>72</v>
      </c>
      <c r="J49" s="28">
        <f t="shared" si="0"/>
        <v>0.82799999999999996</v>
      </c>
      <c r="K49" s="32"/>
      <c r="L49" s="33">
        <f t="shared" ref="L49:M49" si="33">H49-5</f>
        <v>110</v>
      </c>
      <c r="M49" s="33">
        <f t="shared" si="33"/>
        <v>67</v>
      </c>
      <c r="N49" s="28">
        <f t="shared" si="2"/>
        <v>0.73699999999999999</v>
      </c>
      <c r="O49" s="47"/>
    </row>
    <row r="50" spans="1:15" ht="14.25" customHeight="1" x14ac:dyDescent="0.2">
      <c r="A50" s="3"/>
      <c r="B50" s="31">
        <v>30</v>
      </c>
      <c r="C50" s="27">
        <v>31</v>
      </c>
      <c r="D50" s="27">
        <v>26</v>
      </c>
      <c r="E50" s="28">
        <f t="shared" si="3"/>
        <v>5.5972222222222223</v>
      </c>
      <c r="F50" s="3"/>
      <c r="G50" s="31">
        <v>30</v>
      </c>
      <c r="H50" s="27">
        <f t="shared" si="4"/>
        <v>92</v>
      </c>
      <c r="I50" s="27">
        <f t="shared" si="5"/>
        <v>72</v>
      </c>
      <c r="J50" s="28">
        <f t="shared" si="0"/>
        <v>0.66239999999999999</v>
      </c>
      <c r="K50" s="32"/>
      <c r="L50" s="33">
        <f t="shared" ref="L50:M50" si="34">H50-5</f>
        <v>87</v>
      </c>
      <c r="M50" s="33">
        <f t="shared" si="34"/>
        <v>67</v>
      </c>
      <c r="N50" s="28">
        <f t="shared" si="2"/>
        <v>0.58289999999999997</v>
      </c>
    </row>
    <row r="51" spans="1:15" ht="14.25" customHeight="1" x14ac:dyDescent="0.2">
      <c r="A51" s="3"/>
      <c r="B51" s="26">
        <v>31</v>
      </c>
      <c r="C51" s="27">
        <v>58</v>
      </c>
      <c r="D51" s="27">
        <v>27</v>
      </c>
      <c r="E51" s="28">
        <f t="shared" si="3"/>
        <v>10.875</v>
      </c>
      <c r="F51" s="3"/>
      <c r="G51" s="26">
        <v>31</v>
      </c>
      <c r="H51" s="27">
        <f t="shared" si="4"/>
        <v>161</v>
      </c>
      <c r="I51" s="27">
        <f t="shared" si="5"/>
        <v>74</v>
      </c>
      <c r="J51" s="28">
        <f t="shared" si="0"/>
        <v>1.1914</v>
      </c>
      <c r="K51" s="32"/>
      <c r="L51" s="33">
        <f t="shared" ref="L51:M51" si="35">H51-5</f>
        <v>156</v>
      </c>
      <c r="M51" s="33">
        <f t="shared" si="35"/>
        <v>69</v>
      </c>
      <c r="N51" s="28">
        <f t="shared" si="2"/>
        <v>1.0764</v>
      </c>
    </row>
    <row r="52" spans="1:15" ht="14.25" customHeight="1" x14ac:dyDescent="0.2">
      <c r="A52" s="3"/>
      <c r="B52" s="31">
        <v>32</v>
      </c>
      <c r="C52" s="27">
        <v>56</v>
      </c>
      <c r="D52" s="27">
        <v>27</v>
      </c>
      <c r="E52" s="28">
        <f t="shared" si="3"/>
        <v>10.5</v>
      </c>
      <c r="F52" s="3"/>
      <c r="G52" s="31">
        <v>32</v>
      </c>
      <c r="H52" s="27">
        <f t="shared" si="4"/>
        <v>155</v>
      </c>
      <c r="I52" s="27">
        <f t="shared" si="5"/>
        <v>74</v>
      </c>
      <c r="J52" s="28">
        <f t="shared" si="0"/>
        <v>1.147</v>
      </c>
      <c r="K52" s="32"/>
      <c r="L52" s="33">
        <f t="shared" ref="L52:M52" si="36">H52-5</f>
        <v>150</v>
      </c>
      <c r="M52" s="33">
        <f t="shared" si="36"/>
        <v>69</v>
      </c>
      <c r="N52" s="28">
        <f t="shared" si="2"/>
        <v>1.0349999999999999</v>
      </c>
    </row>
    <row r="53" spans="1:15" ht="14.25" customHeight="1" x14ac:dyDescent="0.2">
      <c r="A53" s="3"/>
      <c r="B53" s="26">
        <v>33</v>
      </c>
      <c r="C53" s="27">
        <v>56</v>
      </c>
      <c r="D53" s="27">
        <v>27</v>
      </c>
      <c r="E53" s="28">
        <f t="shared" si="3"/>
        <v>10.5</v>
      </c>
      <c r="F53" s="3"/>
      <c r="G53" s="26">
        <v>33</v>
      </c>
      <c r="H53" s="27">
        <f t="shared" si="4"/>
        <v>155</v>
      </c>
      <c r="I53" s="27">
        <f t="shared" si="5"/>
        <v>74</v>
      </c>
      <c r="J53" s="28">
        <f t="shared" si="0"/>
        <v>1.147</v>
      </c>
      <c r="K53" s="32"/>
      <c r="L53" s="33">
        <f t="shared" ref="L53:M53" si="37">H53-5</f>
        <v>150</v>
      </c>
      <c r="M53" s="33">
        <f t="shared" si="37"/>
        <v>69</v>
      </c>
      <c r="N53" s="28">
        <f t="shared" si="2"/>
        <v>1.0349999999999999</v>
      </c>
    </row>
    <row r="54" spans="1:15" ht="14.25" customHeight="1" x14ac:dyDescent="0.2">
      <c r="A54" s="3"/>
      <c r="B54" s="31">
        <v>34</v>
      </c>
      <c r="C54" s="27">
        <v>56</v>
      </c>
      <c r="D54" s="27">
        <v>27</v>
      </c>
      <c r="E54" s="28">
        <f t="shared" si="3"/>
        <v>10.5</v>
      </c>
      <c r="F54" s="3"/>
      <c r="G54" s="31">
        <v>34</v>
      </c>
      <c r="H54" s="27">
        <f t="shared" si="4"/>
        <v>155</v>
      </c>
      <c r="I54" s="27">
        <f t="shared" si="5"/>
        <v>74</v>
      </c>
      <c r="J54" s="28">
        <f t="shared" si="0"/>
        <v>1.147</v>
      </c>
      <c r="K54" s="32"/>
      <c r="L54" s="33">
        <f t="shared" ref="L54:M54" si="38">H54-5</f>
        <v>150</v>
      </c>
      <c r="M54" s="33">
        <f t="shared" si="38"/>
        <v>69</v>
      </c>
      <c r="N54" s="28">
        <f t="shared" si="2"/>
        <v>1.0349999999999999</v>
      </c>
    </row>
    <row r="55" spans="1:15" ht="14.25" customHeight="1" x14ac:dyDescent="0.2">
      <c r="A55" s="3"/>
      <c r="B55" s="26">
        <v>35</v>
      </c>
      <c r="C55" s="27">
        <v>56</v>
      </c>
      <c r="D55" s="27">
        <v>27</v>
      </c>
      <c r="E55" s="28">
        <f t="shared" si="3"/>
        <v>10.5</v>
      </c>
      <c r="F55" s="3"/>
      <c r="G55" s="26">
        <v>35</v>
      </c>
      <c r="H55" s="27">
        <f t="shared" si="4"/>
        <v>155</v>
      </c>
      <c r="I55" s="27">
        <f t="shared" si="5"/>
        <v>74</v>
      </c>
      <c r="J55" s="28">
        <f t="shared" si="0"/>
        <v>1.147</v>
      </c>
      <c r="K55" s="32"/>
      <c r="L55" s="33">
        <f t="shared" ref="L55:M55" si="39">H55-5</f>
        <v>150</v>
      </c>
      <c r="M55" s="33">
        <f t="shared" si="39"/>
        <v>69</v>
      </c>
      <c r="N55" s="28">
        <f t="shared" si="2"/>
        <v>1.0349999999999999</v>
      </c>
    </row>
    <row r="56" spans="1:15" ht="14.25" customHeight="1" x14ac:dyDescent="0.2">
      <c r="A56" s="3"/>
      <c r="B56" s="31">
        <v>36</v>
      </c>
      <c r="C56" s="27">
        <v>56</v>
      </c>
      <c r="D56" s="27">
        <v>27</v>
      </c>
      <c r="E56" s="28">
        <f t="shared" si="3"/>
        <v>10.5</v>
      </c>
      <c r="F56" s="3"/>
      <c r="G56" s="31">
        <v>36</v>
      </c>
      <c r="H56" s="27">
        <f t="shared" si="4"/>
        <v>155</v>
      </c>
      <c r="I56" s="27">
        <f t="shared" si="5"/>
        <v>74</v>
      </c>
      <c r="J56" s="28">
        <f t="shared" si="0"/>
        <v>1.147</v>
      </c>
      <c r="K56" s="32"/>
      <c r="L56" s="33">
        <f t="shared" ref="L56:M56" si="40">H56-5</f>
        <v>150</v>
      </c>
      <c r="M56" s="33">
        <f t="shared" si="40"/>
        <v>69</v>
      </c>
      <c r="N56" s="28">
        <f t="shared" si="2"/>
        <v>1.0349999999999999</v>
      </c>
    </row>
    <row r="57" spans="1:15" ht="14.25" customHeight="1" x14ac:dyDescent="0.2">
      <c r="A57" s="3"/>
      <c r="B57" s="26">
        <v>37</v>
      </c>
      <c r="C57" s="27">
        <v>56</v>
      </c>
      <c r="D57" s="27">
        <v>27</v>
      </c>
      <c r="E57" s="28">
        <f t="shared" si="3"/>
        <v>10.5</v>
      </c>
      <c r="F57" s="3"/>
      <c r="G57" s="26">
        <v>37</v>
      </c>
      <c r="H57" s="27">
        <f t="shared" si="4"/>
        <v>155</v>
      </c>
      <c r="I57" s="27">
        <f t="shared" si="5"/>
        <v>74</v>
      </c>
      <c r="J57" s="28">
        <f t="shared" si="0"/>
        <v>1.147</v>
      </c>
      <c r="K57" s="32"/>
      <c r="L57" s="33">
        <f t="shared" ref="L57:M57" si="41">H57-5</f>
        <v>150</v>
      </c>
      <c r="M57" s="33">
        <f t="shared" si="41"/>
        <v>69</v>
      </c>
      <c r="N57" s="28">
        <f t="shared" si="2"/>
        <v>1.0349999999999999</v>
      </c>
    </row>
    <row r="58" spans="1:15" ht="14.25" customHeight="1" x14ac:dyDescent="0.2">
      <c r="A58" s="3"/>
      <c r="B58" s="31">
        <v>38</v>
      </c>
      <c r="C58" s="27">
        <v>35</v>
      </c>
      <c r="D58" s="27">
        <v>23</v>
      </c>
      <c r="E58" s="28">
        <f t="shared" si="3"/>
        <v>5.5902777777777777</v>
      </c>
      <c r="F58" s="3"/>
      <c r="G58" s="31">
        <v>38</v>
      </c>
      <c r="H58" s="27">
        <f t="shared" si="4"/>
        <v>102</v>
      </c>
      <c r="I58" s="27">
        <f t="shared" si="5"/>
        <v>64</v>
      </c>
      <c r="J58" s="28">
        <f t="shared" si="0"/>
        <v>0.65280000000000005</v>
      </c>
      <c r="K58" s="32"/>
      <c r="L58" s="33">
        <f t="shared" ref="L58:M58" si="42">H58-5</f>
        <v>97</v>
      </c>
      <c r="M58" s="33">
        <f t="shared" si="42"/>
        <v>59</v>
      </c>
      <c r="N58" s="28">
        <f t="shared" si="2"/>
        <v>0.57230000000000003</v>
      </c>
    </row>
    <row r="59" spans="1:15" ht="14.25" customHeight="1" x14ac:dyDescent="0.2">
      <c r="A59" s="3"/>
      <c r="B59" s="26">
        <v>39</v>
      </c>
      <c r="C59" s="27">
        <v>33</v>
      </c>
      <c r="D59" s="27">
        <v>23</v>
      </c>
      <c r="E59" s="28">
        <f t="shared" si="3"/>
        <v>5.270833333333333</v>
      </c>
      <c r="F59" s="3"/>
      <c r="G59" s="26">
        <v>39</v>
      </c>
      <c r="H59" s="27">
        <f t="shared" si="4"/>
        <v>97</v>
      </c>
      <c r="I59" s="27">
        <f t="shared" si="5"/>
        <v>64</v>
      </c>
      <c r="J59" s="28">
        <f t="shared" si="0"/>
        <v>0.62080000000000002</v>
      </c>
      <c r="K59" s="32"/>
      <c r="L59" s="33">
        <f t="shared" ref="L59:M59" si="43">H59-5</f>
        <v>92</v>
      </c>
      <c r="M59" s="33">
        <f t="shared" si="43"/>
        <v>59</v>
      </c>
      <c r="N59" s="28">
        <f t="shared" si="2"/>
        <v>0.54279999999999995</v>
      </c>
    </row>
    <row r="60" spans="1:15" ht="14.25" customHeight="1" x14ac:dyDescent="0.2">
      <c r="A60" s="3"/>
      <c r="B60" s="31">
        <v>40</v>
      </c>
      <c r="C60" s="27">
        <v>38</v>
      </c>
      <c r="D60" s="27">
        <v>23</v>
      </c>
      <c r="E60" s="28">
        <f t="shared" si="3"/>
        <v>6.0694444444444446</v>
      </c>
      <c r="F60" s="3"/>
      <c r="G60" s="31">
        <v>40</v>
      </c>
      <c r="H60" s="27">
        <f t="shared" si="4"/>
        <v>110</v>
      </c>
      <c r="I60" s="27">
        <f t="shared" si="5"/>
        <v>64</v>
      </c>
      <c r="J60" s="28">
        <f t="shared" si="0"/>
        <v>0.70399999999999996</v>
      </c>
      <c r="K60" s="32"/>
      <c r="L60" s="33">
        <f t="shared" ref="L60:M60" si="44">H60-5</f>
        <v>105</v>
      </c>
      <c r="M60" s="33">
        <f t="shared" si="44"/>
        <v>59</v>
      </c>
      <c r="N60" s="28">
        <f t="shared" si="2"/>
        <v>0.61950000000000005</v>
      </c>
    </row>
    <row r="61" spans="1:15" ht="14.25" customHeight="1" x14ac:dyDescent="0.2">
      <c r="A61" s="3"/>
      <c r="B61" s="26">
        <v>41</v>
      </c>
      <c r="C61" s="27">
        <v>49</v>
      </c>
      <c r="D61" s="27">
        <v>23</v>
      </c>
      <c r="E61" s="28">
        <f t="shared" si="3"/>
        <v>7.8263888888888893</v>
      </c>
      <c r="F61" s="3"/>
      <c r="G61" s="26">
        <v>41</v>
      </c>
      <c r="H61" s="27">
        <f t="shared" si="4"/>
        <v>138</v>
      </c>
      <c r="I61" s="27">
        <f t="shared" si="5"/>
        <v>64</v>
      </c>
      <c r="J61" s="28">
        <f t="shared" si="0"/>
        <v>0.88319999999999999</v>
      </c>
      <c r="K61" s="32"/>
      <c r="L61" s="33">
        <f t="shared" ref="L61:M61" si="45">H61-5</f>
        <v>133</v>
      </c>
      <c r="M61" s="33">
        <f t="shared" si="45"/>
        <v>59</v>
      </c>
      <c r="N61" s="28">
        <f t="shared" si="2"/>
        <v>0.78469999999999995</v>
      </c>
    </row>
    <row r="62" spans="1:15" ht="14.25" customHeight="1" x14ac:dyDescent="0.2">
      <c r="A62" s="3"/>
      <c r="B62" s="31">
        <v>42</v>
      </c>
      <c r="C62" s="27">
        <v>55</v>
      </c>
      <c r="D62" s="27">
        <v>23</v>
      </c>
      <c r="E62" s="28">
        <f t="shared" si="3"/>
        <v>8.7847222222222214</v>
      </c>
      <c r="F62" s="3"/>
      <c r="G62" s="31">
        <v>42</v>
      </c>
      <c r="H62" s="27">
        <f t="shared" si="4"/>
        <v>153</v>
      </c>
      <c r="I62" s="27">
        <f t="shared" si="5"/>
        <v>64</v>
      </c>
      <c r="J62" s="28">
        <f t="shared" si="0"/>
        <v>0.97919999999999996</v>
      </c>
      <c r="K62" s="32"/>
      <c r="L62" s="33">
        <f t="shared" ref="L62:M62" si="46">H62-5</f>
        <v>148</v>
      </c>
      <c r="M62" s="33">
        <f t="shared" si="46"/>
        <v>59</v>
      </c>
      <c r="N62" s="28">
        <f t="shared" si="2"/>
        <v>0.87319999999999998</v>
      </c>
    </row>
    <row r="63" spans="1:15" ht="14.25" customHeight="1" x14ac:dyDescent="0.2">
      <c r="A63" s="3"/>
      <c r="B63" s="26">
        <v>43</v>
      </c>
      <c r="C63" s="27">
        <v>32</v>
      </c>
      <c r="D63" s="27">
        <v>26</v>
      </c>
      <c r="E63" s="28">
        <f t="shared" si="3"/>
        <v>5.7777777777777777</v>
      </c>
      <c r="F63" s="3"/>
      <c r="G63" s="26">
        <v>43</v>
      </c>
      <c r="H63" s="27">
        <f t="shared" si="4"/>
        <v>94</v>
      </c>
      <c r="I63" s="27">
        <f t="shared" si="5"/>
        <v>72</v>
      </c>
      <c r="J63" s="28">
        <f t="shared" si="0"/>
        <v>0.67679999999999996</v>
      </c>
      <c r="K63" s="32"/>
      <c r="L63" s="33">
        <f t="shared" ref="L63:M63" si="47">H63-5</f>
        <v>89</v>
      </c>
      <c r="M63" s="33">
        <f t="shared" si="47"/>
        <v>67</v>
      </c>
      <c r="N63" s="28">
        <f t="shared" si="2"/>
        <v>0.59630000000000005</v>
      </c>
    </row>
    <row r="64" spans="1:15" ht="14.25" customHeight="1" x14ac:dyDescent="0.2">
      <c r="A64" s="3"/>
      <c r="B64" s="31">
        <v>44</v>
      </c>
      <c r="C64" s="27">
        <v>51</v>
      </c>
      <c r="D64" s="27">
        <v>27</v>
      </c>
      <c r="E64" s="28">
        <f t="shared" si="3"/>
        <v>9.5625</v>
      </c>
      <c r="F64" s="3"/>
      <c r="G64" s="31">
        <v>44</v>
      </c>
      <c r="H64" s="27">
        <f t="shared" si="4"/>
        <v>143</v>
      </c>
      <c r="I64" s="27">
        <f t="shared" si="5"/>
        <v>74</v>
      </c>
      <c r="J64" s="28">
        <f t="shared" si="0"/>
        <v>1.0582</v>
      </c>
      <c r="K64" s="32"/>
      <c r="L64" s="33">
        <f t="shared" ref="L64:M64" si="48">H64-5</f>
        <v>138</v>
      </c>
      <c r="M64" s="33">
        <f t="shared" si="48"/>
        <v>69</v>
      </c>
      <c r="N64" s="28">
        <f t="shared" si="2"/>
        <v>0.95220000000000005</v>
      </c>
    </row>
    <row r="65" spans="1:15" ht="14.25" customHeight="1" x14ac:dyDescent="0.2">
      <c r="A65" s="3"/>
      <c r="B65" s="26">
        <v>45</v>
      </c>
      <c r="C65" s="27">
        <v>53</v>
      </c>
      <c r="D65" s="27">
        <v>28</v>
      </c>
      <c r="E65" s="28">
        <f t="shared" si="3"/>
        <v>10.305555555555555</v>
      </c>
      <c r="F65" s="3"/>
      <c r="G65" s="26">
        <v>45</v>
      </c>
      <c r="H65" s="27">
        <f t="shared" si="4"/>
        <v>148</v>
      </c>
      <c r="I65" s="27">
        <f t="shared" si="5"/>
        <v>77</v>
      </c>
      <c r="J65" s="28">
        <f t="shared" si="0"/>
        <v>1.1395999999999999</v>
      </c>
      <c r="K65" s="32"/>
      <c r="L65" s="33">
        <f t="shared" ref="L65:M65" si="49">H65-5</f>
        <v>143</v>
      </c>
      <c r="M65" s="33">
        <f t="shared" si="49"/>
        <v>72</v>
      </c>
      <c r="N65" s="28">
        <f t="shared" si="2"/>
        <v>1.0296000000000001</v>
      </c>
    </row>
    <row r="66" spans="1:15" ht="14.25" customHeight="1" x14ac:dyDescent="0.2">
      <c r="A66" s="3"/>
      <c r="B66" s="31">
        <v>46</v>
      </c>
      <c r="C66" s="27">
        <v>54</v>
      </c>
      <c r="D66" s="27">
        <v>28</v>
      </c>
      <c r="E66" s="28">
        <f t="shared" si="3"/>
        <v>10.5</v>
      </c>
      <c r="F66" s="3"/>
      <c r="G66" s="31">
        <v>46</v>
      </c>
      <c r="H66" s="27">
        <f t="shared" si="4"/>
        <v>150</v>
      </c>
      <c r="I66" s="27">
        <f t="shared" si="5"/>
        <v>77</v>
      </c>
      <c r="J66" s="28">
        <f t="shared" si="0"/>
        <v>1.155</v>
      </c>
      <c r="K66" s="32"/>
      <c r="L66" s="33">
        <f t="shared" ref="L66:M66" si="50">H66-5</f>
        <v>145</v>
      </c>
      <c r="M66" s="33">
        <f t="shared" si="50"/>
        <v>72</v>
      </c>
      <c r="N66" s="28">
        <f t="shared" si="2"/>
        <v>1.044</v>
      </c>
    </row>
    <row r="67" spans="1:15" ht="14.25" customHeight="1" x14ac:dyDescent="0.2">
      <c r="A67" s="3"/>
      <c r="B67" s="26">
        <v>47</v>
      </c>
      <c r="C67" s="27">
        <v>37</v>
      </c>
      <c r="D67" s="27">
        <v>27</v>
      </c>
      <c r="E67" s="28">
        <f t="shared" si="3"/>
        <v>6.9375</v>
      </c>
      <c r="F67" s="3"/>
      <c r="G67" s="26">
        <v>47</v>
      </c>
      <c r="H67" s="27">
        <f t="shared" si="4"/>
        <v>107</v>
      </c>
      <c r="I67" s="27">
        <f t="shared" si="5"/>
        <v>74</v>
      </c>
      <c r="J67" s="28">
        <f t="shared" si="0"/>
        <v>0.79179999999999995</v>
      </c>
      <c r="K67" s="32"/>
      <c r="L67" s="33">
        <f t="shared" ref="L67:M67" si="51">H67-5</f>
        <v>102</v>
      </c>
      <c r="M67" s="33">
        <f t="shared" si="51"/>
        <v>69</v>
      </c>
      <c r="N67" s="28">
        <f t="shared" si="2"/>
        <v>0.70379999999999998</v>
      </c>
    </row>
    <row r="68" spans="1:15" ht="14.25" customHeight="1" x14ac:dyDescent="0.2">
      <c r="A68" s="3"/>
      <c r="B68" s="31">
        <v>48</v>
      </c>
      <c r="C68" s="27">
        <v>47</v>
      </c>
      <c r="D68" s="27">
        <v>36</v>
      </c>
      <c r="E68" s="28">
        <f t="shared" si="3"/>
        <v>11.75</v>
      </c>
      <c r="F68" s="3"/>
      <c r="G68" s="31">
        <v>48</v>
      </c>
      <c r="H68" s="27">
        <f t="shared" si="4"/>
        <v>133</v>
      </c>
      <c r="I68" s="27">
        <f t="shared" si="5"/>
        <v>97</v>
      </c>
      <c r="J68" s="28">
        <f t="shared" si="0"/>
        <v>1.2901</v>
      </c>
      <c r="K68" s="32"/>
      <c r="L68" s="33">
        <f t="shared" ref="L68:M68" si="52">H68-5</f>
        <v>128</v>
      </c>
      <c r="M68" s="33">
        <f t="shared" si="52"/>
        <v>92</v>
      </c>
      <c r="N68" s="28">
        <f t="shared" si="2"/>
        <v>1.1776</v>
      </c>
    </row>
    <row r="69" spans="1:15" ht="14.25" customHeight="1" x14ac:dyDescent="0.2">
      <c r="A69" s="3"/>
      <c r="B69" s="26">
        <v>49</v>
      </c>
      <c r="C69" s="27">
        <v>35</v>
      </c>
      <c r="D69" s="27">
        <v>36</v>
      </c>
      <c r="E69" s="28">
        <f t="shared" si="3"/>
        <v>8.75</v>
      </c>
      <c r="F69" s="3"/>
      <c r="G69" s="26">
        <v>49</v>
      </c>
      <c r="H69" s="27">
        <f t="shared" si="4"/>
        <v>102</v>
      </c>
      <c r="I69" s="27">
        <f t="shared" si="5"/>
        <v>97</v>
      </c>
      <c r="J69" s="28">
        <f t="shared" si="0"/>
        <v>0.98939999999999995</v>
      </c>
      <c r="K69" s="32"/>
      <c r="L69" s="33">
        <f t="shared" ref="L69:M69" si="53">H69-5</f>
        <v>97</v>
      </c>
      <c r="M69" s="33">
        <f t="shared" si="53"/>
        <v>92</v>
      </c>
      <c r="N69" s="28">
        <f t="shared" si="2"/>
        <v>0.89239999999999997</v>
      </c>
    </row>
    <row r="70" spans="1:15" ht="14.25" customHeight="1" x14ac:dyDescent="0.2">
      <c r="A70" s="3"/>
      <c r="B70" s="31">
        <v>50</v>
      </c>
      <c r="C70" s="27">
        <v>38</v>
      </c>
      <c r="D70" s="27">
        <v>36</v>
      </c>
      <c r="E70" s="28">
        <f t="shared" si="3"/>
        <v>9.5</v>
      </c>
      <c r="F70" s="3"/>
      <c r="G70" s="31">
        <v>50</v>
      </c>
      <c r="H70" s="27">
        <f t="shared" si="4"/>
        <v>110</v>
      </c>
      <c r="I70" s="27">
        <f t="shared" si="5"/>
        <v>97</v>
      </c>
      <c r="J70" s="28">
        <f t="shared" si="0"/>
        <v>1.0669999999999999</v>
      </c>
      <c r="K70" s="32"/>
      <c r="L70" s="33">
        <f t="shared" ref="L70:M70" si="54">H70-5</f>
        <v>105</v>
      </c>
      <c r="M70" s="33">
        <f t="shared" si="54"/>
        <v>92</v>
      </c>
      <c r="N70" s="28">
        <f t="shared" si="2"/>
        <v>0.96599999999999997</v>
      </c>
    </row>
    <row r="71" spans="1:15" ht="14.25" customHeight="1" x14ac:dyDescent="0.2">
      <c r="A71" s="3"/>
      <c r="B71" s="26">
        <v>51</v>
      </c>
      <c r="C71" s="27">
        <v>48</v>
      </c>
      <c r="D71" s="27">
        <v>36</v>
      </c>
      <c r="E71" s="28">
        <f t="shared" si="3"/>
        <v>12</v>
      </c>
      <c r="F71" s="3"/>
      <c r="G71" s="26">
        <v>51</v>
      </c>
      <c r="H71" s="27">
        <f t="shared" si="4"/>
        <v>135</v>
      </c>
      <c r="I71" s="27">
        <f t="shared" si="5"/>
        <v>97</v>
      </c>
      <c r="J71" s="28">
        <f t="shared" si="0"/>
        <v>1.3095000000000001</v>
      </c>
      <c r="K71" s="32"/>
      <c r="L71" s="33">
        <f t="shared" ref="L71:M71" si="55">H71-5</f>
        <v>130</v>
      </c>
      <c r="M71" s="33">
        <f t="shared" si="55"/>
        <v>92</v>
      </c>
      <c r="N71" s="28">
        <f t="shared" si="2"/>
        <v>1.196</v>
      </c>
    </row>
    <row r="72" spans="1:15" ht="14.25" customHeight="1" x14ac:dyDescent="0.2">
      <c r="A72" s="3"/>
      <c r="B72" s="31">
        <v>52</v>
      </c>
      <c r="C72" s="27">
        <v>47</v>
      </c>
      <c r="D72" s="27">
        <v>36</v>
      </c>
      <c r="E72" s="28">
        <f t="shared" si="3"/>
        <v>11.75</v>
      </c>
      <c r="F72" s="3"/>
      <c r="G72" s="31">
        <v>52</v>
      </c>
      <c r="H72" s="27">
        <f t="shared" si="4"/>
        <v>133</v>
      </c>
      <c r="I72" s="27">
        <f t="shared" si="5"/>
        <v>97</v>
      </c>
      <c r="J72" s="28">
        <f t="shared" si="0"/>
        <v>1.2901</v>
      </c>
      <c r="K72" s="32"/>
      <c r="L72" s="33">
        <f t="shared" ref="L72:M72" si="56">H72-5</f>
        <v>128</v>
      </c>
      <c r="M72" s="33">
        <f t="shared" si="56"/>
        <v>92</v>
      </c>
      <c r="N72" s="28">
        <f t="shared" si="2"/>
        <v>1.1776</v>
      </c>
    </row>
    <row r="73" spans="1:15" ht="14.25" customHeight="1" x14ac:dyDescent="0.2">
      <c r="A73" s="3"/>
      <c r="B73" s="26">
        <v>53</v>
      </c>
      <c r="C73" s="27">
        <v>47</v>
      </c>
      <c r="D73" s="27">
        <v>36</v>
      </c>
      <c r="E73" s="28">
        <f t="shared" si="3"/>
        <v>11.75</v>
      </c>
      <c r="F73" s="3"/>
      <c r="G73" s="26">
        <v>53</v>
      </c>
      <c r="H73" s="27">
        <f t="shared" si="4"/>
        <v>133</v>
      </c>
      <c r="I73" s="27">
        <f t="shared" si="5"/>
        <v>97</v>
      </c>
      <c r="J73" s="28">
        <f t="shared" si="0"/>
        <v>1.2901</v>
      </c>
      <c r="K73" s="32"/>
      <c r="L73" s="33">
        <f t="shared" ref="L73:M73" si="57">H73-5</f>
        <v>128</v>
      </c>
      <c r="M73" s="33">
        <f t="shared" si="57"/>
        <v>92</v>
      </c>
      <c r="N73" s="28">
        <f t="shared" si="2"/>
        <v>1.1776</v>
      </c>
      <c r="O73" s="47"/>
    </row>
    <row r="74" spans="1:15" ht="14.25" customHeight="1" x14ac:dyDescent="0.2">
      <c r="A74" s="3"/>
      <c r="B74" s="31">
        <v>54</v>
      </c>
      <c r="C74" s="27">
        <v>48</v>
      </c>
      <c r="D74" s="27">
        <v>36</v>
      </c>
      <c r="E74" s="28">
        <f t="shared" si="3"/>
        <v>12</v>
      </c>
      <c r="F74" s="3"/>
      <c r="G74" s="31">
        <v>54</v>
      </c>
      <c r="H74" s="27">
        <f t="shared" si="4"/>
        <v>135</v>
      </c>
      <c r="I74" s="27">
        <f t="shared" si="5"/>
        <v>97</v>
      </c>
      <c r="J74" s="28">
        <f t="shared" si="0"/>
        <v>1.3095000000000001</v>
      </c>
      <c r="K74" s="32"/>
      <c r="L74" s="33">
        <f t="shared" ref="L74:M74" si="58">H74-5</f>
        <v>130</v>
      </c>
      <c r="M74" s="33">
        <f t="shared" si="58"/>
        <v>92</v>
      </c>
      <c r="N74" s="28">
        <f t="shared" si="2"/>
        <v>1.196</v>
      </c>
    </row>
    <row r="75" spans="1:15" ht="14.25" customHeight="1" x14ac:dyDescent="0.2">
      <c r="A75" s="3"/>
      <c r="B75" s="26">
        <v>55</v>
      </c>
      <c r="C75" s="27">
        <v>48</v>
      </c>
      <c r="D75" s="27">
        <v>36</v>
      </c>
      <c r="E75" s="28">
        <f t="shared" si="3"/>
        <v>12</v>
      </c>
      <c r="F75" s="3"/>
      <c r="G75" s="26">
        <v>55</v>
      </c>
      <c r="H75" s="27">
        <f t="shared" si="4"/>
        <v>135</v>
      </c>
      <c r="I75" s="27">
        <f t="shared" si="5"/>
        <v>97</v>
      </c>
      <c r="J75" s="28">
        <f t="shared" si="0"/>
        <v>1.3095000000000001</v>
      </c>
      <c r="K75" s="32"/>
      <c r="L75" s="33">
        <f t="shared" ref="L75:M75" si="59">H75-5</f>
        <v>130</v>
      </c>
      <c r="M75" s="33">
        <f t="shared" si="59"/>
        <v>92</v>
      </c>
      <c r="N75" s="28">
        <f t="shared" si="2"/>
        <v>1.196</v>
      </c>
    </row>
    <row r="76" spans="1:15" ht="14.25" customHeight="1" x14ac:dyDescent="0.2">
      <c r="A76" s="3"/>
      <c r="B76" s="31">
        <v>56</v>
      </c>
      <c r="C76" s="27">
        <v>49</v>
      </c>
      <c r="D76" s="27">
        <v>36</v>
      </c>
      <c r="E76" s="28">
        <f t="shared" si="3"/>
        <v>12.25</v>
      </c>
      <c r="F76" s="3"/>
      <c r="G76" s="31">
        <v>56</v>
      </c>
      <c r="H76" s="27">
        <f t="shared" si="4"/>
        <v>138</v>
      </c>
      <c r="I76" s="27">
        <f t="shared" si="5"/>
        <v>97</v>
      </c>
      <c r="J76" s="28">
        <f t="shared" si="0"/>
        <v>1.3386</v>
      </c>
      <c r="K76" s="32"/>
      <c r="L76" s="33">
        <f t="shared" ref="L76:M76" si="60">H76-5</f>
        <v>133</v>
      </c>
      <c r="M76" s="33">
        <f t="shared" si="60"/>
        <v>92</v>
      </c>
      <c r="N76" s="28">
        <f t="shared" si="2"/>
        <v>1.2236</v>
      </c>
    </row>
    <row r="77" spans="1:15" ht="14.25" customHeight="1" x14ac:dyDescent="0.2">
      <c r="A77" s="3"/>
      <c r="B77" s="26">
        <v>57</v>
      </c>
      <c r="C77" s="27">
        <v>50</v>
      </c>
      <c r="D77" s="27">
        <v>33</v>
      </c>
      <c r="E77" s="28">
        <f t="shared" si="3"/>
        <v>11.458333333333334</v>
      </c>
      <c r="F77" s="3"/>
      <c r="G77" s="26">
        <v>57</v>
      </c>
      <c r="H77" s="27">
        <f t="shared" si="4"/>
        <v>140</v>
      </c>
      <c r="I77" s="27">
        <f t="shared" si="5"/>
        <v>89</v>
      </c>
      <c r="J77" s="28">
        <f t="shared" si="0"/>
        <v>1.246</v>
      </c>
      <c r="K77" s="32"/>
      <c r="L77" s="33">
        <f t="shared" ref="L77:M77" si="61">H77-5</f>
        <v>135</v>
      </c>
      <c r="M77" s="33">
        <f t="shared" si="61"/>
        <v>84</v>
      </c>
      <c r="N77" s="28">
        <f t="shared" si="2"/>
        <v>1.1339999999999999</v>
      </c>
    </row>
    <row r="78" spans="1:15" ht="14.25" customHeight="1" x14ac:dyDescent="0.2">
      <c r="A78" s="3"/>
      <c r="B78" s="31">
        <v>58</v>
      </c>
      <c r="C78" s="27">
        <v>51</v>
      </c>
      <c r="D78" s="27">
        <v>33</v>
      </c>
      <c r="E78" s="28">
        <f t="shared" si="3"/>
        <v>11.6875</v>
      </c>
      <c r="F78" s="3"/>
      <c r="G78" s="31">
        <v>58</v>
      </c>
      <c r="H78" s="27">
        <f t="shared" si="4"/>
        <v>143</v>
      </c>
      <c r="I78" s="27">
        <f t="shared" si="5"/>
        <v>89</v>
      </c>
      <c r="J78" s="28">
        <f t="shared" si="0"/>
        <v>1.2726999999999999</v>
      </c>
      <c r="K78" s="32"/>
      <c r="L78" s="33">
        <f t="shared" ref="L78:M78" si="62">H78-5</f>
        <v>138</v>
      </c>
      <c r="M78" s="33">
        <f t="shared" si="62"/>
        <v>84</v>
      </c>
      <c r="N78" s="28">
        <f t="shared" si="2"/>
        <v>1.1592</v>
      </c>
    </row>
    <row r="79" spans="1:15" ht="14.25" customHeight="1" x14ac:dyDescent="0.2">
      <c r="A79" s="3"/>
      <c r="B79" s="26">
        <v>59</v>
      </c>
      <c r="C79" s="27">
        <v>50</v>
      </c>
      <c r="D79" s="27">
        <v>33</v>
      </c>
      <c r="E79" s="28">
        <f t="shared" si="3"/>
        <v>11.458333333333334</v>
      </c>
      <c r="F79" s="3"/>
      <c r="G79" s="26">
        <v>59</v>
      </c>
      <c r="H79" s="27">
        <f t="shared" si="4"/>
        <v>140</v>
      </c>
      <c r="I79" s="27">
        <f t="shared" si="5"/>
        <v>89</v>
      </c>
      <c r="J79" s="28">
        <f t="shared" si="0"/>
        <v>1.246</v>
      </c>
      <c r="K79" s="32"/>
      <c r="L79" s="33">
        <f t="shared" ref="L79:M79" si="63">H79-5</f>
        <v>135</v>
      </c>
      <c r="M79" s="33">
        <f t="shared" si="63"/>
        <v>84</v>
      </c>
      <c r="N79" s="28">
        <f t="shared" si="2"/>
        <v>1.1339999999999999</v>
      </c>
    </row>
    <row r="80" spans="1:15" ht="14.25" customHeight="1" x14ac:dyDescent="0.2">
      <c r="A80" s="3"/>
      <c r="B80" s="31">
        <v>60</v>
      </c>
      <c r="C80" s="27">
        <v>50</v>
      </c>
      <c r="D80" s="27">
        <v>33</v>
      </c>
      <c r="E80" s="28">
        <f t="shared" si="3"/>
        <v>11.458333333333334</v>
      </c>
      <c r="F80" s="3"/>
      <c r="G80" s="31">
        <v>60</v>
      </c>
      <c r="H80" s="27">
        <f t="shared" si="4"/>
        <v>140</v>
      </c>
      <c r="I80" s="27">
        <f t="shared" si="5"/>
        <v>89</v>
      </c>
      <c r="J80" s="28">
        <f t="shared" si="0"/>
        <v>1.246</v>
      </c>
      <c r="K80" s="32"/>
      <c r="L80" s="33">
        <f t="shared" ref="L80:M80" si="64">H80-5</f>
        <v>135</v>
      </c>
      <c r="M80" s="33">
        <f t="shared" si="64"/>
        <v>84</v>
      </c>
      <c r="N80" s="28">
        <f t="shared" si="2"/>
        <v>1.1339999999999999</v>
      </c>
    </row>
    <row r="81" spans="1:15" ht="14.25" customHeight="1" x14ac:dyDescent="0.2">
      <c r="A81" s="3"/>
      <c r="B81" s="26">
        <v>61</v>
      </c>
      <c r="C81" s="27">
        <v>51</v>
      </c>
      <c r="D81" s="27">
        <v>33</v>
      </c>
      <c r="E81" s="28">
        <f t="shared" si="3"/>
        <v>11.6875</v>
      </c>
      <c r="F81" s="3"/>
      <c r="G81" s="26">
        <v>61</v>
      </c>
      <c r="H81" s="27">
        <f t="shared" si="4"/>
        <v>143</v>
      </c>
      <c r="I81" s="27">
        <f t="shared" si="5"/>
        <v>89</v>
      </c>
      <c r="J81" s="28">
        <f t="shared" si="0"/>
        <v>1.2726999999999999</v>
      </c>
      <c r="K81" s="32"/>
      <c r="L81" s="33">
        <f t="shared" ref="L81:M81" si="65">H81-5</f>
        <v>138</v>
      </c>
      <c r="M81" s="33">
        <f t="shared" si="65"/>
        <v>84</v>
      </c>
      <c r="N81" s="28">
        <f t="shared" si="2"/>
        <v>1.1592</v>
      </c>
      <c r="O81" s="47"/>
    </row>
    <row r="82" spans="1:15" ht="14.25" customHeight="1" x14ac:dyDescent="0.2">
      <c r="A82" s="3"/>
      <c r="B82" s="31">
        <v>62</v>
      </c>
      <c r="C82" s="27">
        <v>51</v>
      </c>
      <c r="D82" s="27">
        <v>33</v>
      </c>
      <c r="E82" s="28">
        <f t="shared" si="3"/>
        <v>11.6875</v>
      </c>
      <c r="F82" s="3"/>
      <c r="G82" s="31">
        <v>62</v>
      </c>
      <c r="H82" s="27">
        <f t="shared" si="4"/>
        <v>143</v>
      </c>
      <c r="I82" s="27">
        <f t="shared" si="5"/>
        <v>89</v>
      </c>
      <c r="J82" s="28">
        <f t="shared" si="0"/>
        <v>1.2726999999999999</v>
      </c>
      <c r="K82" s="32"/>
      <c r="L82" s="33">
        <f t="shared" ref="L82:M82" si="66">H82-5</f>
        <v>138</v>
      </c>
      <c r="M82" s="33">
        <f t="shared" si="66"/>
        <v>84</v>
      </c>
      <c r="N82" s="28">
        <f t="shared" ref="N82:N145" si="67">L82*M82/10000</f>
        <v>1.1592</v>
      </c>
    </row>
    <row r="83" spans="1:15" ht="14.25" customHeight="1" x14ac:dyDescent="0.2">
      <c r="A83" s="3"/>
      <c r="B83" s="26">
        <v>63</v>
      </c>
      <c r="C83" s="27">
        <v>44</v>
      </c>
      <c r="D83" s="27">
        <v>33</v>
      </c>
      <c r="E83" s="28">
        <f t="shared" si="3"/>
        <v>10.083333333333334</v>
      </c>
      <c r="F83" s="3"/>
      <c r="G83" s="26">
        <v>63</v>
      </c>
      <c r="H83" s="27">
        <f t="shared" si="4"/>
        <v>125</v>
      </c>
      <c r="I83" s="27">
        <f t="shared" si="5"/>
        <v>89</v>
      </c>
      <c r="J83" s="28">
        <f t="shared" si="0"/>
        <v>1.1125</v>
      </c>
      <c r="K83" s="32"/>
      <c r="L83" s="33">
        <f t="shared" ref="L83:M83" si="68">H83-5</f>
        <v>120</v>
      </c>
      <c r="M83" s="33">
        <f t="shared" si="68"/>
        <v>84</v>
      </c>
      <c r="N83" s="28">
        <f t="shared" si="67"/>
        <v>1.008</v>
      </c>
    </row>
    <row r="84" spans="1:15" ht="14.25" customHeight="1" x14ac:dyDescent="0.2">
      <c r="A84" s="3"/>
      <c r="B84" s="31">
        <v>64</v>
      </c>
      <c r="C84" s="27">
        <v>52</v>
      </c>
      <c r="D84" s="27">
        <v>33</v>
      </c>
      <c r="E84" s="28">
        <f t="shared" si="3"/>
        <v>11.916666666666666</v>
      </c>
      <c r="F84" s="3"/>
      <c r="G84" s="31">
        <v>64</v>
      </c>
      <c r="H84" s="27">
        <f t="shared" si="4"/>
        <v>145</v>
      </c>
      <c r="I84" s="27">
        <f t="shared" si="5"/>
        <v>89</v>
      </c>
      <c r="J84" s="28">
        <f t="shared" ref="J84:J147" si="69">H84*I84/10000</f>
        <v>1.2905</v>
      </c>
      <c r="K84" s="32"/>
      <c r="L84" s="33">
        <f t="shared" ref="L84:M84" si="70">H84-5</f>
        <v>140</v>
      </c>
      <c r="M84" s="33">
        <f t="shared" si="70"/>
        <v>84</v>
      </c>
      <c r="N84" s="28">
        <f t="shared" si="67"/>
        <v>1.1759999999999999</v>
      </c>
    </row>
    <row r="85" spans="1:15" ht="14.25" customHeight="1" x14ac:dyDescent="0.2">
      <c r="A85" s="3"/>
      <c r="B85" s="26">
        <v>65</v>
      </c>
      <c r="C85" s="27">
        <v>50</v>
      </c>
      <c r="D85" s="27">
        <v>33</v>
      </c>
      <c r="E85" s="28">
        <f t="shared" si="3"/>
        <v>11.458333333333334</v>
      </c>
      <c r="F85" s="3"/>
      <c r="G85" s="26">
        <v>65</v>
      </c>
      <c r="H85" s="27">
        <f t="shared" si="4"/>
        <v>140</v>
      </c>
      <c r="I85" s="27">
        <f t="shared" si="5"/>
        <v>89</v>
      </c>
      <c r="J85" s="28">
        <f t="shared" si="69"/>
        <v>1.246</v>
      </c>
      <c r="K85" s="32"/>
      <c r="L85" s="33">
        <f t="shared" ref="L85:M85" si="71">H85-5</f>
        <v>135</v>
      </c>
      <c r="M85" s="33">
        <f t="shared" si="71"/>
        <v>84</v>
      </c>
      <c r="N85" s="28">
        <f t="shared" si="67"/>
        <v>1.1339999999999999</v>
      </c>
    </row>
    <row r="86" spans="1:15" ht="14.25" customHeight="1" x14ac:dyDescent="0.2">
      <c r="A86" s="3"/>
      <c r="B86" s="31">
        <v>66</v>
      </c>
      <c r="C86" s="27">
        <v>52</v>
      </c>
      <c r="D86" s="27">
        <v>33</v>
      </c>
      <c r="E86" s="28">
        <f t="shared" ref="E86:E149" si="72">C86*D86/144</f>
        <v>11.916666666666666</v>
      </c>
      <c r="F86" s="3"/>
      <c r="G86" s="31">
        <v>66</v>
      </c>
      <c r="H86" s="27">
        <f t="shared" ref="H86:H149" si="73">ROUNDUP((C86+5)*2.54,0)</f>
        <v>145</v>
      </c>
      <c r="I86" s="27">
        <f t="shared" ref="I86:I149" si="74">ROUNDUP((D86+2)*2.54,0)</f>
        <v>89</v>
      </c>
      <c r="J86" s="28">
        <f t="shared" si="69"/>
        <v>1.2905</v>
      </c>
      <c r="K86" s="32"/>
      <c r="L86" s="33">
        <f t="shared" ref="L86:M86" si="75">H86-5</f>
        <v>140</v>
      </c>
      <c r="M86" s="33">
        <f t="shared" si="75"/>
        <v>84</v>
      </c>
      <c r="N86" s="28">
        <f t="shared" si="67"/>
        <v>1.1759999999999999</v>
      </c>
    </row>
    <row r="87" spans="1:15" ht="14.25" customHeight="1" x14ac:dyDescent="0.2">
      <c r="A87" s="3"/>
      <c r="B87" s="26">
        <v>67</v>
      </c>
      <c r="C87" s="27">
        <v>42</v>
      </c>
      <c r="D87" s="27">
        <v>33</v>
      </c>
      <c r="E87" s="28">
        <f t="shared" si="72"/>
        <v>9.625</v>
      </c>
      <c r="F87" s="3"/>
      <c r="G87" s="26">
        <v>67</v>
      </c>
      <c r="H87" s="27">
        <f t="shared" si="73"/>
        <v>120</v>
      </c>
      <c r="I87" s="27">
        <f t="shared" si="74"/>
        <v>89</v>
      </c>
      <c r="J87" s="28">
        <f t="shared" si="69"/>
        <v>1.0680000000000001</v>
      </c>
      <c r="K87" s="32"/>
      <c r="L87" s="33">
        <f t="shared" ref="L87:M87" si="76">H87-5</f>
        <v>115</v>
      </c>
      <c r="M87" s="33">
        <f t="shared" si="76"/>
        <v>84</v>
      </c>
      <c r="N87" s="28">
        <f t="shared" si="67"/>
        <v>0.96599999999999997</v>
      </c>
    </row>
    <row r="88" spans="1:15" ht="14.25" customHeight="1" x14ac:dyDescent="0.2">
      <c r="A88" s="3"/>
      <c r="B88" s="31">
        <v>68</v>
      </c>
      <c r="C88" s="27">
        <v>42</v>
      </c>
      <c r="D88" s="27">
        <v>33</v>
      </c>
      <c r="E88" s="28">
        <f t="shared" si="72"/>
        <v>9.625</v>
      </c>
      <c r="F88" s="3"/>
      <c r="G88" s="31">
        <v>68</v>
      </c>
      <c r="H88" s="27">
        <f t="shared" si="73"/>
        <v>120</v>
      </c>
      <c r="I88" s="27">
        <f t="shared" si="74"/>
        <v>89</v>
      </c>
      <c r="J88" s="28">
        <f t="shared" si="69"/>
        <v>1.0680000000000001</v>
      </c>
      <c r="K88" s="32"/>
      <c r="L88" s="33">
        <f t="shared" ref="L88:M88" si="77">H88-5</f>
        <v>115</v>
      </c>
      <c r="M88" s="33">
        <f t="shared" si="77"/>
        <v>84</v>
      </c>
      <c r="N88" s="28">
        <f t="shared" si="67"/>
        <v>0.96599999999999997</v>
      </c>
    </row>
    <row r="89" spans="1:15" ht="14.25" customHeight="1" x14ac:dyDescent="0.2">
      <c r="A89" s="3"/>
      <c r="B89" s="26">
        <v>69</v>
      </c>
      <c r="C89" s="27">
        <v>51</v>
      </c>
      <c r="D89" s="27">
        <v>33</v>
      </c>
      <c r="E89" s="28">
        <f t="shared" si="72"/>
        <v>11.6875</v>
      </c>
      <c r="F89" s="3"/>
      <c r="G89" s="26">
        <v>69</v>
      </c>
      <c r="H89" s="27">
        <f t="shared" si="73"/>
        <v>143</v>
      </c>
      <c r="I89" s="27">
        <f t="shared" si="74"/>
        <v>89</v>
      </c>
      <c r="J89" s="28">
        <f t="shared" si="69"/>
        <v>1.2726999999999999</v>
      </c>
      <c r="K89" s="32"/>
      <c r="L89" s="33">
        <f t="shared" ref="L89:M89" si="78">H89-5</f>
        <v>138</v>
      </c>
      <c r="M89" s="33">
        <f t="shared" si="78"/>
        <v>84</v>
      </c>
      <c r="N89" s="28">
        <f t="shared" si="67"/>
        <v>1.1592</v>
      </c>
    </row>
    <row r="90" spans="1:15" ht="14.25" customHeight="1" x14ac:dyDescent="0.2">
      <c r="A90" s="3"/>
      <c r="B90" s="31">
        <v>70</v>
      </c>
      <c r="C90" s="27">
        <v>52</v>
      </c>
      <c r="D90" s="27">
        <v>33</v>
      </c>
      <c r="E90" s="28">
        <f t="shared" si="72"/>
        <v>11.916666666666666</v>
      </c>
      <c r="F90" s="3"/>
      <c r="G90" s="31">
        <v>70</v>
      </c>
      <c r="H90" s="27">
        <f t="shared" si="73"/>
        <v>145</v>
      </c>
      <c r="I90" s="27">
        <f t="shared" si="74"/>
        <v>89</v>
      </c>
      <c r="J90" s="28">
        <f t="shared" si="69"/>
        <v>1.2905</v>
      </c>
      <c r="K90" s="32"/>
      <c r="L90" s="33">
        <f t="shared" ref="L90:M90" si="79">H90-5</f>
        <v>140</v>
      </c>
      <c r="M90" s="33">
        <f t="shared" si="79"/>
        <v>84</v>
      </c>
      <c r="N90" s="28">
        <f t="shared" si="67"/>
        <v>1.1759999999999999</v>
      </c>
    </row>
    <row r="91" spans="1:15" ht="14.25" customHeight="1" x14ac:dyDescent="0.2">
      <c r="A91" s="3"/>
      <c r="B91" s="26">
        <v>71</v>
      </c>
      <c r="C91" s="27">
        <v>44</v>
      </c>
      <c r="D91" s="27">
        <v>33</v>
      </c>
      <c r="E91" s="28">
        <f t="shared" si="72"/>
        <v>10.083333333333334</v>
      </c>
      <c r="F91" s="3"/>
      <c r="G91" s="26">
        <v>71</v>
      </c>
      <c r="H91" s="27">
        <f t="shared" si="73"/>
        <v>125</v>
      </c>
      <c r="I91" s="27">
        <f t="shared" si="74"/>
        <v>89</v>
      </c>
      <c r="J91" s="28">
        <f t="shared" si="69"/>
        <v>1.1125</v>
      </c>
      <c r="K91" s="32"/>
      <c r="L91" s="33">
        <f t="shared" ref="L91:M91" si="80">H91-5</f>
        <v>120</v>
      </c>
      <c r="M91" s="33">
        <f t="shared" si="80"/>
        <v>84</v>
      </c>
      <c r="N91" s="28">
        <f t="shared" si="67"/>
        <v>1.008</v>
      </c>
    </row>
    <row r="92" spans="1:15" ht="14.25" customHeight="1" x14ac:dyDescent="0.2">
      <c r="A92" s="3"/>
      <c r="B92" s="31">
        <v>72</v>
      </c>
      <c r="C92" s="27">
        <v>46</v>
      </c>
      <c r="D92" s="27">
        <v>33</v>
      </c>
      <c r="E92" s="28">
        <f t="shared" si="72"/>
        <v>10.541666666666666</v>
      </c>
      <c r="F92" s="3"/>
      <c r="G92" s="31">
        <v>72</v>
      </c>
      <c r="H92" s="27">
        <f t="shared" si="73"/>
        <v>130</v>
      </c>
      <c r="I92" s="27">
        <f t="shared" si="74"/>
        <v>89</v>
      </c>
      <c r="J92" s="28">
        <f t="shared" si="69"/>
        <v>1.157</v>
      </c>
      <c r="K92" s="32"/>
      <c r="L92" s="33">
        <f t="shared" ref="L92:M92" si="81">H92-5</f>
        <v>125</v>
      </c>
      <c r="M92" s="33">
        <f t="shared" si="81"/>
        <v>84</v>
      </c>
      <c r="N92" s="28">
        <f t="shared" si="67"/>
        <v>1.05</v>
      </c>
    </row>
    <row r="93" spans="1:15" ht="14.25" customHeight="1" x14ac:dyDescent="0.2">
      <c r="A93" s="3"/>
      <c r="B93" s="26">
        <v>73</v>
      </c>
      <c r="C93" s="27">
        <v>38</v>
      </c>
      <c r="D93" s="27">
        <v>23</v>
      </c>
      <c r="E93" s="28">
        <f t="shared" si="72"/>
        <v>6.0694444444444446</v>
      </c>
      <c r="F93" s="3"/>
      <c r="G93" s="26">
        <v>73</v>
      </c>
      <c r="H93" s="27">
        <f t="shared" si="73"/>
        <v>110</v>
      </c>
      <c r="I93" s="27">
        <f t="shared" si="74"/>
        <v>64</v>
      </c>
      <c r="J93" s="28">
        <f t="shared" si="69"/>
        <v>0.70399999999999996</v>
      </c>
      <c r="K93" s="32"/>
      <c r="L93" s="33">
        <f t="shared" ref="L93:M93" si="82">H93-5</f>
        <v>105</v>
      </c>
      <c r="M93" s="33">
        <f t="shared" si="82"/>
        <v>59</v>
      </c>
      <c r="N93" s="28">
        <f t="shared" si="67"/>
        <v>0.61950000000000005</v>
      </c>
      <c r="O93" s="47"/>
    </row>
    <row r="94" spans="1:15" ht="14.25" customHeight="1" x14ac:dyDescent="0.2">
      <c r="A94" s="3"/>
      <c r="B94" s="31">
        <v>74</v>
      </c>
      <c r="C94" s="27">
        <v>41</v>
      </c>
      <c r="D94" s="27">
        <v>22</v>
      </c>
      <c r="E94" s="28">
        <f t="shared" si="72"/>
        <v>6.2638888888888893</v>
      </c>
      <c r="F94" s="3"/>
      <c r="G94" s="31">
        <v>74</v>
      </c>
      <c r="H94" s="27">
        <f t="shared" si="73"/>
        <v>117</v>
      </c>
      <c r="I94" s="27">
        <f t="shared" si="74"/>
        <v>61</v>
      </c>
      <c r="J94" s="28">
        <f t="shared" si="69"/>
        <v>0.7137</v>
      </c>
      <c r="K94" s="32"/>
      <c r="L94" s="33">
        <f t="shared" ref="L94:M94" si="83">H94-5</f>
        <v>112</v>
      </c>
      <c r="M94" s="33">
        <f t="shared" si="83"/>
        <v>56</v>
      </c>
      <c r="N94" s="28">
        <f t="shared" si="67"/>
        <v>0.62719999999999998</v>
      </c>
    </row>
    <row r="95" spans="1:15" ht="14.25" customHeight="1" x14ac:dyDescent="0.2">
      <c r="A95" s="3"/>
      <c r="B95" s="26">
        <v>75</v>
      </c>
      <c r="C95" s="27">
        <v>68</v>
      </c>
      <c r="D95" s="27">
        <v>28</v>
      </c>
      <c r="E95" s="28">
        <f t="shared" si="72"/>
        <v>13.222222222222221</v>
      </c>
      <c r="F95" s="3"/>
      <c r="G95" s="26">
        <v>75</v>
      </c>
      <c r="H95" s="27">
        <f t="shared" si="73"/>
        <v>186</v>
      </c>
      <c r="I95" s="27">
        <f t="shared" si="74"/>
        <v>77</v>
      </c>
      <c r="J95" s="28">
        <f t="shared" si="69"/>
        <v>1.4321999999999999</v>
      </c>
      <c r="K95" s="32"/>
      <c r="L95" s="33">
        <f t="shared" ref="L95:M95" si="84">H95-5</f>
        <v>181</v>
      </c>
      <c r="M95" s="33">
        <f t="shared" si="84"/>
        <v>72</v>
      </c>
      <c r="N95" s="28">
        <f t="shared" si="67"/>
        <v>1.3031999999999999</v>
      </c>
    </row>
    <row r="96" spans="1:15" ht="14.25" customHeight="1" x14ac:dyDescent="0.2">
      <c r="A96" s="3"/>
      <c r="B96" s="31">
        <v>76</v>
      </c>
      <c r="C96" s="27">
        <v>36</v>
      </c>
      <c r="D96" s="27">
        <v>26</v>
      </c>
      <c r="E96" s="28">
        <f t="shared" si="72"/>
        <v>6.5</v>
      </c>
      <c r="F96" s="3"/>
      <c r="G96" s="31">
        <v>76</v>
      </c>
      <c r="H96" s="27">
        <f t="shared" si="73"/>
        <v>105</v>
      </c>
      <c r="I96" s="27">
        <f t="shared" si="74"/>
        <v>72</v>
      </c>
      <c r="J96" s="28">
        <f t="shared" si="69"/>
        <v>0.75600000000000001</v>
      </c>
      <c r="K96" s="32"/>
      <c r="L96" s="33">
        <f t="shared" ref="L96:M96" si="85">H96-5</f>
        <v>100</v>
      </c>
      <c r="M96" s="33">
        <f t="shared" si="85"/>
        <v>67</v>
      </c>
      <c r="N96" s="28">
        <f t="shared" si="67"/>
        <v>0.67</v>
      </c>
    </row>
    <row r="97" spans="1:15" ht="14.25" customHeight="1" x14ac:dyDescent="0.2">
      <c r="A97" s="3"/>
      <c r="B97" s="26">
        <v>77</v>
      </c>
      <c r="C97" s="27">
        <v>36</v>
      </c>
      <c r="D97" s="27">
        <v>24</v>
      </c>
      <c r="E97" s="28">
        <f t="shared" si="72"/>
        <v>6</v>
      </c>
      <c r="F97" s="3"/>
      <c r="G97" s="26">
        <v>77</v>
      </c>
      <c r="H97" s="27">
        <f t="shared" si="73"/>
        <v>105</v>
      </c>
      <c r="I97" s="27">
        <f t="shared" si="74"/>
        <v>67</v>
      </c>
      <c r="J97" s="28">
        <f t="shared" si="69"/>
        <v>0.70350000000000001</v>
      </c>
      <c r="K97" s="32"/>
      <c r="L97" s="33">
        <f t="shared" ref="L97:M97" si="86">H97-5</f>
        <v>100</v>
      </c>
      <c r="M97" s="33">
        <f t="shared" si="86"/>
        <v>62</v>
      </c>
      <c r="N97" s="28">
        <f t="shared" si="67"/>
        <v>0.62</v>
      </c>
    </row>
    <row r="98" spans="1:15" ht="14.25" customHeight="1" x14ac:dyDescent="0.2">
      <c r="A98" s="3"/>
      <c r="B98" s="31">
        <v>78</v>
      </c>
      <c r="C98" s="27">
        <v>36</v>
      </c>
      <c r="D98" s="27">
        <v>24</v>
      </c>
      <c r="E98" s="28">
        <f t="shared" si="72"/>
        <v>6</v>
      </c>
      <c r="F98" s="3"/>
      <c r="G98" s="31">
        <v>78</v>
      </c>
      <c r="H98" s="27">
        <f t="shared" si="73"/>
        <v>105</v>
      </c>
      <c r="I98" s="27">
        <f t="shared" si="74"/>
        <v>67</v>
      </c>
      <c r="J98" s="28">
        <f t="shared" si="69"/>
        <v>0.70350000000000001</v>
      </c>
      <c r="K98" s="32"/>
      <c r="L98" s="33">
        <f t="shared" ref="L98:M98" si="87">H98-5</f>
        <v>100</v>
      </c>
      <c r="M98" s="33">
        <f t="shared" si="87"/>
        <v>62</v>
      </c>
      <c r="N98" s="28">
        <f t="shared" si="67"/>
        <v>0.62</v>
      </c>
    </row>
    <row r="99" spans="1:15" ht="14.25" customHeight="1" x14ac:dyDescent="0.2">
      <c r="A99" s="3"/>
      <c r="B99" s="26">
        <v>79</v>
      </c>
      <c r="C99" s="27">
        <v>36</v>
      </c>
      <c r="D99" s="27">
        <v>32</v>
      </c>
      <c r="E99" s="28">
        <f t="shared" si="72"/>
        <v>8</v>
      </c>
      <c r="F99" s="3"/>
      <c r="G99" s="26">
        <v>79</v>
      </c>
      <c r="H99" s="27">
        <f t="shared" si="73"/>
        <v>105</v>
      </c>
      <c r="I99" s="27">
        <f t="shared" si="74"/>
        <v>87</v>
      </c>
      <c r="J99" s="28">
        <f t="shared" si="69"/>
        <v>0.91349999999999998</v>
      </c>
      <c r="K99" s="32"/>
      <c r="L99" s="33">
        <f t="shared" ref="L99:M99" si="88">H99-5</f>
        <v>100</v>
      </c>
      <c r="M99" s="33">
        <f t="shared" si="88"/>
        <v>82</v>
      </c>
      <c r="N99" s="28">
        <f t="shared" si="67"/>
        <v>0.82</v>
      </c>
    </row>
    <row r="100" spans="1:15" ht="14.25" customHeight="1" x14ac:dyDescent="0.2">
      <c r="A100" s="3"/>
      <c r="B100" s="31">
        <v>80</v>
      </c>
      <c r="C100" s="27">
        <v>34</v>
      </c>
      <c r="D100" s="27">
        <v>27</v>
      </c>
      <c r="E100" s="28">
        <f t="shared" si="72"/>
        <v>6.375</v>
      </c>
      <c r="F100" s="3"/>
      <c r="G100" s="31">
        <v>80</v>
      </c>
      <c r="H100" s="27">
        <f t="shared" si="73"/>
        <v>100</v>
      </c>
      <c r="I100" s="27">
        <f t="shared" si="74"/>
        <v>74</v>
      </c>
      <c r="J100" s="28">
        <f t="shared" si="69"/>
        <v>0.74</v>
      </c>
      <c r="K100" s="32"/>
      <c r="L100" s="33">
        <f t="shared" ref="L100:M100" si="89">H100-5</f>
        <v>95</v>
      </c>
      <c r="M100" s="33">
        <f t="shared" si="89"/>
        <v>69</v>
      </c>
      <c r="N100" s="28">
        <f t="shared" si="67"/>
        <v>0.65549999999999997</v>
      </c>
    </row>
    <row r="101" spans="1:15" ht="14.25" customHeight="1" x14ac:dyDescent="0.2">
      <c r="A101" s="3"/>
      <c r="B101" s="26">
        <v>81</v>
      </c>
      <c r="C101" s="27">
        <v>59</v>
      </c>
      <c r="D101" s="27">
        <v>26</v>
      </c>
      <c r="E101" s="28">
        <f t="shared" si="72"/>
        <v>10.652777777777779</v>
      </c>
      <c r="F101" s="3"/>
      <c r="G101" s="26">
        <v>81</v>
      </c>
      <c r="H101" s="27">
        <f t="shared" si="73"/>
        <v>163</v>
      </c>
      <c r="I101" s="27">
        <f t="shared" si="74"/>
        <v>72</v>
      </c>
      <c r="J101" s="28">
        <f t="shared" si="69"/>
        <v>1.1736</v>
      </c>
      <c r="K101" s="32"/>
      <c r="L101" s="33">
        <f t="shared" ref="L101:M101" si="90">H101-5</f>
        <v>158</v>
      </c>
      <c r="M101" s="33">
        <f t="shared" si="90"/>
        <v>67</v>
      </c>
      <c r="N101" s="28">
        <f t="shared" si="67"/>
        <v>1.0586</v>
      </c>
    </row>
    <row r="102" spans="1:15" ht="14.25" customHeight="1" x14ac:dyDescent="0.2">
      <c r="A102" s="3"/>
      <c r="B102" s="31">
        <v>82</v>
      </c>
      <c r="C102" s="27">
        <v>45</v>
      </c>
      <c r="D102" s="27">
        <v>27</v>
      </c>
      <c r="E102" s="28">
        <f t="shared" si="72"/>
        <v>8.4375</v>
      </c>
      <c r="F102" s="3"/>
      <c r="G102" s="31">
        <v>82</v>
      </c>
      <c r="H102" s="27">
        <f t="shared" si="73"/>
        <v>127</v>
      </c>
      <c r="I102" s="27">
        <f t="shared" si="74"/>
        <v>74</v>
      </c>
      <c r="J102" s="28">
        <f t="shared" si="69"/>
        <v>0.93979999999999997</v>
      </c>
      <c r="K102" s="32"/>
      <c r="L102" s="33">
        <f t="shared" ref="L102:M102" si="91">H102-5</f>
        <v>122</v>
      </c>
      <c r="M102" s="33">
        <f t="shared" si="91"/>
        <v>69</v>
      </c>
      <c r="N102" s="28">
        <f t="shared" si="67"/>
        <v>0.84179999999999999</v>
      </c>
    </row>
    <row r="103" spans="1:15" ht="14.25" customHeight="1" x14ac:dyDescent="0.2">
      <c r="A103" s="3"/>
      <c r="B103" s="26">
        <v>83</v>
      </c>
      <c r="C103" s="27">
        <v>51</v>
      </c>
      <c r="D103" s="27">
        <v>24</v>
      </c>
      <c r="E103" s="28">
        <f t="shared" si="72"/>
        <v>8.5</v>
      </c>
      <c r="F103" s="3"/>
      <c r="G103" s="26">
        <v>83</v>
      </c>
      <c r="H103" s="27">
        <f t="shared" si="73"/>
        <v>143</v>
      </c>
      <c r="I103" s="27">
        <f t="shared" si="74"/>
        <v>67</v>
      </c>
      <c r="J103" s="28">
        <f t="shared" si="69"/>
        <v>0.95809999999999995</v>
      </c>
      <c r="K103" s="32"/>
      <c r="L103" s="33">
        <f t="shared" ref="L103:M103" si="92">H103-5</f>
        <v>138</v>
      </c>
      <c r="M103" s="33">
        <f t="shared" si="92"/>
        <v>62</v>
      </c>
      <c r="N103" s="28">
        <f t="shared" si="67"/>
        <v>0.85560000000000003</v>
      </c>
    </row>
    <row r="104" spans="1:15" ht="14.25" customHeight="1" x14ac:dyDescent="0.2">
      <c r="A104" s="3"/>
      <c r="B104" s="31">
        <v>84</v>
      </c>
      <c r="C104" s="27">
        <v>52</v>
      </c>
      <c r="D104" s="27">
        <v>25</v>
      </c>
      <c r="E104" s="28">
        <f t="shared" si="72"/>
        <v>9.0277777777777786</v>
      </c>
      <c r="F104" s="3"/>
      <c r="G104" s="31">
        <v>84</v>
      </c>
      <c r="H104" s="27">
        <f t="shared" si="73"/>
        <v>145</v>
      </c>
      <c r="I104" s="27">
        <f t="shared" si="74"/>
        <v>69</v>
      </c>
      <c r="J104" s="28">
        <f t="shared" si="69"/>
        <v>1.0004999999999999</v>
      </c>
      <c r="K104" s="32"/>
      <c r="L104" s="33">
        <f t="shared" ref="L104:M104" si="93">H104-5</f>
        <v>140</v>
      </c>
      <c r="M104" s="33">
        <f t="shared" si="93"/>
        <v>64</v>
      </c>
      <c r="N104" s="28">
        <f t="shared" si="67"/>
        <v>0.89600000000000002</v>
      </c>
    </row>
    <row r="105" spans="1:15" ht="14.25" customHeight="1" x14ac:dyDescent="0.2">
      <c r="A105" s="3"/>
      <c r="B105" s="26">
        <v>85</v>
      </c>
      <c r="C105" s="27">
        <v>48</v>
      </c>
      <c r="D105" s="27">
        <v>24</v>
      </c>
      <c r="E105" s="28">
        <f t="shared" si="72"/>
        <v>8</v>
      </c>
      <c r="F105" s="3"/>
      <c r="G105" s="26">
        <v>85</v>
      </c>
      <c r="H105" s="27">
        <f t="shared" si="73"/>
        <v>135</v>
      </c>
      <c r="I105" s="27">
        <f t="shared" si="74"/>
        <v>67</v>
      </c>
      <c r="J105" s="28">
        <f t="shared" si="69"/>
        <v>0.90449999999999997</v>
      </c>
      <c r="K105" s="32"/>
      <c r="L105" s="33">
        <f t="shared" ref="L105:M105" si="94">H105-5</f>
        <v>130</v>
      </c>
      <c r="M105" s="33">
        <f t="shared" si="94"/>
        <v>62</v>
      </c>
      <c r="N105" s="28">
        <f t="shared" si="67"/>
        <v>0.80600000000000005</v>
      </c>
    </row>
    <row r="106" spans="1:15" ht="14.25" customHeight="1" x14ac:dyDescent="0.2">
      <c r="A106" s="3"/>
      <c r="B106" s="31">
        <v>86</v>
      </c>
      <c r="C106" s="27">
        <v>67</v>
      </c>
      <c r="D106" s="27">
        <v>24</v>
      </c>
      <c r="E106" s="28">
        <f t="shared" si="72"/>
        <v>11.166666666666666</v>
      </c>
      <c r="F106" s="3"/>
      <c r="G106" s="31">
        <v>86</v>
      </c>
      <c r="H106" s="27">
        <f t="shared" si="73"/>
        <v>183</v>
      </c>
      <c r="I106" s="27">
        <f t="shared" si="74"/>
        <v>67</v>
      </c>
      <c r="J106" s="28">
        <f t="shared" si="69"/>
        <v>1.2261</v>
      </c>
      <c r="K106" s="32"/>
      <c r="L106" s="33">
        <f t="shared" ref="L106:M106" si="95">H106-5</f>
        <v>178</v>
      </c>
      <c r="M106" s="33">
        <f t="shared" si="95"/>
        <v>62</v>
      </c>
      <c r="N106" s="28">
        <f t="shared" si="67"/>
        <v>1.1035999999999999</v>
      </c>
      <c r="O106" s="47"/>
    </row>
    <row r="107" spans="1:15" ht="14.25" customHeight="1" x14ac:dyDescent="0.2">
      <c r="A107" s="3"/>
      <c r="B107" s="26">
        <v>87</v>
      </c>
      <c r="C107" s="27">
        <v>48</v>
      </c>
      <c r="D107" s="27">
        <v>25</v>
      </c>
      <c r="E107" s="28">
        <f t="shared" si="72"/>
        <v>8.3333333333333339</v>
      </c>
      <c r="F107" s="3"/>
      <c r="G107" s="26">
        <v>87</v>
      </c>
      <c r="H107" s="27">
        <f t="shared" si="73"/>
        <v>135</v>
      </c>
      <c r="I107" s="27">
        <f t="shared" si="74"/>
        <v>69</v>
      </c>
      <c r="J107" s="28">
        <f t="shared" si="69"/>
        <v>0.93149999999999999</v>
      </c>
      <c r="K107" s="32"/>
      <c r="L107" s="33">
        <f t="shared" ref="L107:M107" si="96">H107-5</f>
        <v>130</v>
      </c>
      <c r="M107" s="33">
        <f t="shared" si="96"/>
        <v>64</v>
      </c>
      <c r="N107" s="28">
        <f t="shared" si="67"/>
        <v>0.83199999999999996</v>
      </c>
      <c r="O107" s="47"/>
    </row>
    <row r="108" spans="1:15" ht="14.25" customHeight="1" x14ac:dyDescent="0.2">
      <c r="A108" s="3"/>
      <c r="B108" s="31">
        <v>88</v>
      </c>
      <c r="C108" s="27">
        <v>39</v>
      </c>
      <c r="D108" s="27">
        <v>25</v>
      </c>
      <c r="E108" s="28">
        <f t="shared" si="72"/>
        <v>6.770833333333333</v>
      </c>
      <c r="F108" s="3"/>
      <c r="G108" s="31">
        <v>88</v>
      </c>
      <c r="H108" s="27">
        <f t="shared" si="73"/>
        <v>112</v>
      </c>
      <c r="I108" s="27">
        <f t="shared" si="74"/>
        <v>69</v>
      </c>
      <c r="J108" s="28">
        <f t="shared" si="69"/>
        <v>0.77280000000000004</v>
      </c>
      <c r="K108" s="32"/>
      <c r="L108" s="33">
        <f t="shared" ref="L108:M108" si="97">H108-5</f>
        <v>107</v>
      </c>
      <c r="M108" s="33">
        <f t="shared" si="97"/>
        <v>64</v>
      </c>
      <c r="N108" s="28">
        <f t="shared" si="67"/>
        <v>0.68479999999999996</v>
      </c>
      <c r="O108" s="47"/>
    </row>
    <row r="109" spans="1:15" ht="14.25" customHeight="1" x14ac:dyDescent="0.2">
      <c r="A109" s="3"/>
      <c r="B109" s="26">
        <v>89</v>
      </c>
      <c r="C109" s="27">
        <v>48</v>
      </c>
      <c r="D109" s="27">
        <v>24</v>
      </c>
      <c r="E109" s="28">
        <f t="shared" si="72"/>
        <v>8</v>
      </c>
      <c r="F109" s="3"/>
      <c r="G109" s="26">
        <v>89</v>
      </c>
      <c r="H109" s="27">
        <f t="shared" si="73"/>
        <v>135</v>
      </c>
      <c r="I109" s="27">
        <f t="shared" si="74"/>
        <v>67</v>
      </c>
      <c r="J109" s="28">
        <f t="shared" si="69"/>
        <v>0.90449999999999997</v>
      </c>
      <c r="K109" s="32"/>
      <c r="L109" s="33">
        <f t="shared" ref="L109:M109" si="98">H109-5</f>
        <v>130</v>
      </c>
      <c r="M109" s="33">
        <f t="shared" si="98"/>
        <v>62</v>
      </c>
      <c r="N109" s="28">
        <f t="shared" si="67"/>
        <v>0.80600000000000005</v>
      </c>
    </row>
    <row r="110" spans="1:15" ht="14.25" customHeight="1" x14ac:dyDescent="0.2">
      <c r="A110" s="3"/>
      <c r="B110" s="31">
        <v>90</v>
      </c>
      <c r="C110" s="27">
        <v>40</v>
      </c>
      <c r="D110" s="27">
        <v>24</v>
      </c>
      <c r="E110" s="28">
        <f t="shared" si="72"/>
        <v>6.666666666666667</v>
      </c>
      <c r="F110" s="3"/>
      <c r="G110" s="31">
        <v>90</v>
      </c>
      <c r="H110" s="27">
        <f t="shared" si="73"/>
        <v>115</v>
      </c>
      <c r="I110" s="27">
        <f t="shared" si="74"/>
        <v>67</v>
      </c>
      <c r="J110" s="28">
        <f t="shared" si="69"/>
        <v>0.77049999999999996</v>
      </c>
      <c r="K110" s="32"/>
      <c r="L110" s="33">
        <f t="shared" ref="L110:M110" si="99">H110-5</f>
        <v>110</v>
      </c>
      <c r="M110" s="33">
        <f t="shared" si="99"/>
        <v>62</v>
      </c>
      <c r="N110" s="28">
        <f t="shared" si="67"/>
        <v>0.68200000000000005</v>
      </c>
    </row>
    <row r="111" spans="1:15" ht="14.25" customHeight="1" x14ac:dyDescent="0.2">
      <c r="A111" s="3"/>
      <c r="B111" s="26">
        <v>91</v>
      </c>
      <c r="C111" s="27">
        <v>41</v>
      </c>
      <c r="D111" s="27">
        <v>24</v>
      </c>
      <c r="E111" s="28">
        <f t="shared" si="72"/>
        <v>6.833333333333333</v>
      </c>
      <c r="F111" s="3"/>
      <c r="G111" s="26">
        <v>91</v>
      </c>
      <c r="H111" s="27">
        <f t="shared" si="73"/>
        <v>117</v>
      </c>
      <c r="I111" s="27">
        <f t="shared" si="74"/>
        <v>67</v>
      </c>
      <c r="J111" s="28">
        <f t="shared" si="69"/>
        <v>0.78390000000000004</v>
      </c>
      <c r="K111" s="32"/>
      <c r="L111" s="33">
        <f t="shared" ref="L111:M111" si="100">H111-5</f>
        <v>112</v>
      </c>
      <c r="M111" s="33">
        <f t="shared" si="100"/>
        <v>62</v>
      </c>
      <c r="N111" s="28">
        <f t="shared" si="67"/>
        <v>0.69440000000000002</v>
      </c>
    </row>
    <row r="112" spans="1:15" ht="14.25" customHeight="1" x14ac:dyDescent="0.2">
      <c r="A112" s="3"/>
      <c r="B112" s="31">
        <v>92</v>
      </c>
      <c r="C112" s="27">
        <v>52</v>
      </c>
      <c r="D112" s="27">
        <v>24</v>
      </c>
      <c r="E112" s="28">
        <f t="shared" si="72"/>
        <v>8.6666666666666661</v>
      </c>
      <c r="F112" s="3"/>
      <c r="G112" s="31">
        <v>92</v>
      </c>
      <c r="H112" s="27">
        <f t="shared" si="73"/>
        <v>145</v>
      </c>
      <c r="I112" s="27">
        <f t="shared" si="74"/>
        <v>67</v>
      </c>
      <c r="J112" s="28">
        <f t="shared" si="69"/>
        <v>0.97150000000000003</v>
      </c>
      <c r="K112" s="32"/>
      <c r="L112" s="33">
        <f t="shared" ref="L112:M112" si="101">H112-5</f>
        <v>140</v>
      </c>
      <c r="M112" s="33">
        <f t="shared" si="101"/>
        <v>62</v>
      </c>
      <c r="N112" s="28">
        <f t="shared" si="67"/>
        <v>0.86799999999999999</v>
      </c>
    </row>
    <row r="113" spans="1:15" ht="14.25" customHeight="1" x14ac:dyDescent="0.2">
      <c r="A113" s="3"/>
      <c r="B113" s="26">
        <v>93</v>
      </c>
      <c r="C113" s="27">
        <v>56</v>
      </c>
      <c r="D113" s="27">
        <v>24</v>
      </c>
      <c r="E113" s="28">
        <f t="shared" si="72"/>
        <v>9.3333333333333339</v>
      </c>
      <c r="F113" s="3"/>
      <c r="G113" s="26">
        <v>93</v>
      </c>
      <c r="H113" s="27">
        <f t="shared" si="73"/>
        <v>155</v>
      </c>
      <c r="I113" s="27">
        <f t="shared" si="74"/>
        <v>67</v>
      </c>
      <c r="J113" s="28">
        <f t="shared" si="69"/>
        <v>1.0385</v>
      </c>
      <c r="K113" s="32"/>
      <c r="L113" s="33">
        <f t="shared" ref="L113:M113" si="102">H113-5</f>
        <v>150</v>
      </c>
      <c r="M113" s="33">
        <f t="shared" si="102"/>
        <v>62</v>
      </c>
      <c r="N113" s="28">
        <f t="shared" si="67"/>
        <v>0.93</v>
      </c>
    </row>
    <row r="114" spans="1:15" ht="14.25" customHeight="1" x14ac:dyDescent="0.2">
      <c r="A114" s="3"/>
      <c r="B114" s="31">
        <v>94</v>
      </c>
      <c r="C114" s="27">
        <v>40</v>
      </c>
      <c r="D114" s="27">
        <v>24</v>
      </c>
      <c r="E114" s="28">
        <f t="shared" si="72"/>
        <v>6.666666666666667</v>
      </c>
      <c r="F114" s="3"/>
      <c r="G114" s="31">
        <v>94</v>
      </c>
      <c r="H114" s="27">
        <f t="shared" si="73"/>
        <v>115</v>
      </c>
      <c r="I114" s="27">
        <f t="shared" si="74"/>
        <v>67</v>
      </c>
      <c r="J114" s="28">
        <f t="shared" si="69"/>
        <v>0.77049999999999996</v>
      </c>
      <c r="K114" s="32"/>
      <c r="L114" s="33">
        <f t="shared" ref="L114:M114" si="103">H114-5</f>
        <v>110</v>
      </c>
      <c r="M114" s="33">
        <f t="shared" si="103"/>
        <v>62</v>
      </c>
      <c r="N114" s="28">
        <f t="shared" si="67"/>
        <v>0.68200000000000005</v>
      </c>
    </row>
    <row r="115" spans="1:15" ht="14.25" customHeight="1" x14ac:dyDescent="0.2">
      <c r="A115" s="3"/>
      <c r="B115" s="26">
        <v>95</v>
      </c>
      <c r="C115" s="27">
        <v>42</v>
      </c>
      <c r="D115" s="27">
        <v>24</v>
      </c>
      <c r="E115" s="28">
        <f t="shared" si="72"/>
        <v>7</v>
      </c>
      <c r="F115" s="3"/>
      <c r="G115" s="26">
        <v>95</v>
      </c>
      <c r="H115" s="27">
        <f t="shared" si="73"/>
        <v>120</v>
      </c>
      <c r="I115" s="27">
        <f t="shared" si="74"/>
        <v>67</v>
      </c>
      <c r="J115" s="28">
        <f t="shared" si="69"/>
        <v>0.80400000000000005</v>
      </c>
      <c r="K115" s="32"/>
      <c r="L115" s="33">
        <f t="shared" ref="L115:M115" si="104">H115-5</f>
        <v>115</v>
      </c>
      <c r="M115" s="33">
        <f t="shared" si="104"/>
        <v>62</v>
      </c>
      <c r="N115" s="28">
        <f t="shared" si="67"/>
        <v>0.71299999999999997</v>
      </c>
    </row>
    <row r="116" spans="1:15" ht="14.25" customHeight="1" x14ac:dyDescent="0.2">
      <c r="A116" s="3"/>
      <c r="B116" s="31">
        <v>96</v>
      </c>
      <c r="C116" s="27">
        <v>55</v>
      </c>
      <c r="D116" s="27">
        <v>24</v>
      </c>
      <c r="E116" s="28">
        <f t="shared" si="72"/>
        <v>9.1666666666666661</v>
      </c>
      <c r="F116" s="3"/>
      <c r="G116" s="31">
        <v>96</v>
      </c>
      <c r="H116" s="27">
        <f t="shared" si="73"/>
        <v>153</v>
      </c>
      <c r="I116" s="27">
        <f t="shared" si="74"/>
        <v>67</v>
      </c>
      <c r="J116" s="28">
        <f t="shared" si="69"/>
        <v>1.0250999999999999</v>
      </c>
      <c r="K116" s="32"/>
      <c r="L116" s="33">
        <f t="shared" ref="L116:M116" si="105">H116-5</f>
        <v>148</v>
      </c>
      <c r="M116" s="33">
        <f t="shared" si="105"/>
        <v>62</v>
      </c>
      <c r="N116" s="28">
        <f t="shared" si="67"/>
        <v>0.91759999999999997</v>
      </c>
    </row>
    <row r="117" spans="1:15" ht="14.25" customHeight="1" x14ac:dyDescent="0.2">
      <c r="A117" s="3"/>
      <c r="B117" s="26">
        <v>97</v>
      </c>
      <c r="C117" s="27">
        <v>60</v>
      </c>
      <c r="D117" s="27">
        <v>24</v>
      </c>
      <c r="E117" s="28">
        <f t="shared" si="72"/>
        <v>10</v>
      </c>
      <c r="F117" s="3"/>
      <c r="G117" s="26">
        <v>97</v>
      </c>
      <c r="H117" s="27">
        <f t="shared" si="73"/>
        <v>166</v>
      </c>
      <c r="I117" s="27">
        <f t="shared" si="74"/>
        <v>67</v>
      </c>
      <c r="J117" s="28">
        <f t="shared" si="69"/>
        <v>1.1122000000000001</v>
      </c>
      <c r="K117" s="32"/>
      <c r="L117" s="33">
        <f t="shared" ref="L117:M117" si="106">H117-5</f>
        <v>161</v>
      </c>
      <c r="M117" s="33">
        <f t="shared" si="106"/>
        <v>62</v>
      </c>
      <c r="N117" s="28">
        <f t="shared" si="67"/>
        <v>0.99819999999999998</v>
      </c>
    </row>
    <row r="118" spans="1:15" ht="14.25" customHeight="1" x14ac:dyDescent="0.2">
      <c r="A118" s="3"/>
      <c r="B118" s="31">
        <v>98</v>
      </c>
      <c r="C118" s="27">
        <v>40</v>
      </c>
      <c r="D118" s="27">
        <v>24</v>
      </c>
      <c r="E118" s="28">
        <f t="shared" si="72"/>
        <v>6.666666666666667</v>
      </c>
      <c r="F118" s="3"/>
      <c r="G118" s="31">
        <v>98</v>
      </c>
      <c r="H118" s="27">
        <f t="shared" si="73"/>
        <v>115</v>
      </c>
      <c r="I118" s="27">
        <f t="shared" si="74"/>
        <v>67</v>
      </c>
      <c r="J118" s="28">
        <f t="shared" si="69"/>
        <v>0.77049999999999996</v>
      </c>
      <c r="K118" s="32"/>
      <c r="L118" s="33">
        <f t="shared" ref="L118:M118" si="107">H118-5</f>
        <v>110</v>
      </c>
      <c r="M118" s="33">
        <f t="shared" si="107"/>
        <v>62</v>
      </c>
      <c r="N118" s="28">
        <f t="shared" si="67"/>
        <v>0.68200000000000005</v>
      </c>
      <c r="O118" s="47"/>
    </row>
    <row r="119" spans="1:15" ht="14.25" customHeight="1" x14ac:dyDescent="0.2">
      <c r="A119" s="3"/>
      <c r="B119" s="26">
        <v>99</v>
      </c>
      <c r="C119" s="27">
        <v>58</v>
      </c>
      <c r="D119" s="27">
        <v>24</v>
      </c>
      <c r="E119" s="28">
        <f t="shared" si="72"/>
        <v>9.6666666666666661</v>
      </c>
      <c r="F119" s="3"/>
      <c r="G119" s="26">
        <v>99</v>
      </c>
      <c r="H119" s="27">
        <f t="shared" si="73"/>
        <v>161</v>
      </c>
      <c r="I119" s="27">
        <f t="shared" si="74"/>
        <v>67</v>
      </c>
      <c r="J119" s="28">
        <f t="shared" si="69"/>
        <v>1.0787</v>
      </c>
      <c r="K119" s="32"/>
      <c r="L119" s="33">
        <f t="shared" ref="L119:M119" si="108">H119-5</f>
        <v>156</v>
      </c>
      <c r="M119" s="33">
        <f t="shared" si="108"/>
        <v>62</v>
      </c>
      <c r="N119" s="28">
        <f t="shared" si="67"/>
        <v>0.96719999999999995</v>
      </c>
    </row>
    <row r="120" spans="1:15" ht="14.25" customHeight="1" x14ac:dyDescent="0.2">
      <c r="A120" s="3"/>
      <c r="B120" s="31">
        <v>100</v>
      </c>
      <c r="C120" s="27">
        <v>40</v>
      </c>
      <c r="D120" s="27">
        <v>24</v>
      </c>
      <c r="E120" s="28">
        <f t="shared" si="72"/>
        <v>6.666666666666667</v>
      </c>
      <c r="F120" s="3"/>
      <c r="G120" s="31">
        <v>100</v>
      </c>
      <c r="H120" s="27">
        <f t="shared" si="73"/>
        <v>115</v>
      </c>
      <c r="I120" s="27">
        <f t="shared" si="74"/>
        <v>67</v>
      </c>
      <c r="J120" s="28">
        <f t="shared" si="69"/>
        <v>0.77049999999999996</v>
      </c>
      <c r="K120" s="32"/>
      <c r="L120" s="33">
        <f t="shared" ref="L120:M120" si="109">H120-5</f>
        <v>110</v>
      </c>
      <c r="M120" s="33">
        <f t="shared" si="109"/>
        <v>62</v>
      </c>
      <c r="N120" s="28">
        <f t="shared" si="67"/>
        <v>0.68200000000000005</v>
      </c>
    </row>
    <row r="121" spans="1:15" ht="14.25" customHeight="1" x14ac:dyDescent="0.2">
      <c r="A121" s="3"/>
      <c r="B121" s="26">
        <v>101</v>
      </c>
      <c r="C121" s="27">
        <v>48</v>
      </c>
      <c r="D121" s="27">
        <v>27</v>
      </c>
      <c r="E121" s="28">
        <f t="shared" si="72"/>
        <v>9</v>
      </c>
      <c r="F121" s="3"/>
      <c r="G121" s="26">
        <v>101</v>
      </c>
      <c r="H121" s="27">
        <f t="shared" si="73"/>
        <v>135</v>
      </c>
      <c r="I121" s="27">
        <f t="shared" si="74"/>
        <v>74</v>
      </c>
      <c r="J121" s="28">
        <f t="shared" si="69"/>
        <v>0.999</v>
      </c>
      <c r="K121" s="32"/>
      <c r="L121" s="33">
        <f t="shared" ref="L121:M121" si="110">H121-5</f>
        <v>130</v>
      </c>
      <c r="M121" s="33">
        <f t="shared" si="110"/>
        <v>69</v>
      </c>
      <c r="N121" s="28">
        <f t="shared" si="67"/>
        <v>0.89700000000000002</v>
      </c>
    </row>
    <row r="122" spans="1:15" ht="14.25" customHeight="1" x14ac:dyDescent="0.2">
      <c r="A122" s="3"/>
      <c r="B122" s="31">
        <v>102</v>
      </c>
      <c r="C122" s="27">
        <v>40</v>
      </c>
      <c r="D122" s="27">
        <v>26</v>
      </c>
      <c r="E122" s="28">
        <f t="shared" si="72"/>
        <v>7.2222222222222223</v>
      </c>
      <c r="F122" s="3"/>
      <c r="G122" s="31">
        <v>102</v>
      </c>
      <c r="H122" s="27">
        <f t="shared" si="73"/>
        <v>115</v>
      </c>
      <c r="I122" s="27">
        <f t="shared" si="74"/>
        <v>72</v>
      </c>
      <c r="J122" s="28">
        <f t="shared" si="69"/>
        <v>0.82799999999999996</v>
      </c>
      <c r="K122" s="32"/>
      <c r="L122" s="33">
        <f t="shared" ref="L122:M122" si="111">H122-5</f>
        <v>110</v>
      </c>
      <c r="M122" s="33">
        <f t="shared" si="111"/>
        <v>67</v>
      </c>
      <c r="N122" s="28">
        <f t="shared" si="67"/>
        <v>0.73699999999999999</v>
      </c>
    </row>
    <row r="123" spans="1:15" ht="14.25" customHeight="1" x14ac:dyDescent="0.2">
      <c r="A123" s="3"/>
      <c r="B123" s="26">
        <v>103</v>
      </c>
      <c r="C123" s="27">
        <v>43</v>
      </c>
      <c r="D123" s="27">
        <v>26</v>
      </c>
      <c r="E123" s="28">
        <f t="shared" si="72"/>
        <v>7.7638888888888893</v>
      </c>
      <c r="F123" s="3"/>
      <c r="G123" s="26">
        <v>103</v>
      </c>
      <c r="H123" s="27">
        <f t="shared" si="73"/>
        <v>122</v>
      </c>
      <c r="I123" s="27">
        <f t="shared" si="74"/>
        <v>72</v>
      </c>
      <c r="J123" s="28">
        <f t="shared" si="69"/>
        <v>0.87839999999999996</v>
      </c>
      <c r="K123" s="32"/>
      <c r="L123" s="33">
        <f t="shared" ref="L123:M123" si="112">H123-5</f>
        <v>117</v>
      </c>
      <c r="M123" s="33">
        <f t="shared" si="112"/>
        <v>67</v>
      </c>
      <c r="N123" s="28">
        <f t="shared" si="67"/>
        <v>0.78390000000000004</v>
      </c>
    </row>
    <row r="124" spans="1:15" ht="14.25" customHeight="1" x14ac:dyDescent="0.2">
      <c r="A124" s="3"/>
      <c r="B124" s="31">
        <v>104</v>
      </c>
      <c r="C124" s="27">
        <v>45</v>
      </c>
      <c r="D124" s="27">
        <v>26</v>
      </c>
      <c r="E124" s="28">
        <f t="shared" si="72"/>
        <v>8.125</v>
      </c>
      <c r="F124" s="3"/>
      <c r="G124" s="31">
        <v>104</v>
      </c>
      <c r="H124" s="27">
        <f t="shared" si="73"/>
        <v>127</v>
      </c>
      <c r="I124" s="27">
        <f t="shared" si="74"/>
        <v>72</v>
      </c>
      <c r="J124" s="28">
        <f t="shared" si="69"/>
        <v>0.91439999999999999</v>
      </c>
      <c r="K124" s="32"/>
      <c r="L124" s="33">
        <f t="shared" ref="L124:M124" si="113">H124-5</f>
        <v>122</v>
      </c>
      <c r="M124" s="33">
        <f t="shared" si="113"/>
        <v>67</v>
      </c>
      <c r="N124" s="28">
        <f t="shared" si="67"/>
        <v>0.81740000000000002</v>
      </c>
    </row>
    <row r="125" spans="1:15" ht="14.25" customHeight="1" x14ac:dyDescent="0.2">
      <c r="A125" s="3"/>
      <c r="B125" s="26">
        <v>105</v>
      </c>
      <c r="C125" s="27">
        <v>41</v>
      </c>
      <c r="D125" s="27">
        <v>27</v>
      </c>
      <c r="E125" s="28">
        <f t="shared" si="72"/>
        <v>7.6875</v>
      </c>
      <c r="F125" s="3"/>
      <c r="G125" s="26">
        <v>105</v>
      </c>
      <c r="H125" s="27">
        <f t="shared" si="73"/>
        <v>117</v>
      </c>
      <c r="I125" s="27">
        <f t="shared" si="74"/>
        <v>74</v>
      </c>
      <c r="J125" s="28">
        <f t="shared" si="69"/>
        <v>0.86580000000000001</v>
      </c>
      <c r="K125" s="32"/>
      <c r="L125" s="33">
        <f t="shared" ref="L125:M125" si="114">H125-5</f>
        <v>112</v>
      </c>
      <c r="M125" s="33">
        <f t="shared" si="114"/>
        <v>69</v>
      </c>
      <c r="N125" s="28">
        <f t="shared" si="67"/>
        <v>0.77280000000000004</v>
      </c>
    </row>
    <row r="126" spans="1:15" ht="14.25" customHeight="1" x14ac:dyDescent="0.2">
      <c r="A126" s="3"/>
      <c r="B126" s="31">
        <v>106</v>
      </c>
      <c r="C126" s="27">
        <v>43</v>
      </c>
      <c r="D126" s="27">
        <v>27</v>
      </c>
      <c r="E126" s="28">
        <f t="shared" si="72"/>
        <v>8.0625</v>
      </c>
      <c r="F126" s="3"/>
      <c r="G126" s="31">
        <v>106</v>
      </c>
      <c r="H126" s="27">
        <f t="shared" si="73"/>
        <v>122</v>
      </c>
      <c r="I126" s="27">
        <f t="shared" si="74"/>
        <v>74</v>
      </c>
      <c r="J126" s="28">
        <f t="shared" si="69"/>
        <v>0.90280000000000005</v>
      </c>
      <c r="K126" s="32"/>
      <c r="L126" s="33">
        <f t="shared" ref="L126:M126" si="115">H126-5</f>
        <v>117</v>
      </c>
      <c r="M126" s="33">
        <f t="shared" si="115"/>
        <v>69</v>
      </c>
      <c r="N126" s="28">
        <f t="shared" si="67"/>
        <v>0.80730000000000002</v>
      </c>
    </row>
    <row r="127" spans="1:15" ht="14.25" customHeight="1" x14ac:dyDescent="0.2">
      <c r="A127" s="3"/>
      <c r="B127" s="26">
        <v>107</v>
      </c>
      <c r="C127" s="27">
        <v>47</v>
      </c>
      <c r="D127" s="27">
        <v>27</v>
      </c>
      <c r="E127" s="28">
        <f t="shared" si="72"/>
        <v>8.8125</v>
      </c>
      <c r="F127" s="3"/>
      <c r="G127" s="26">
        <v>107</v>
      </c>
      <c r="H127" s="27">
        <f t="shared" si="73"/>
        <v>133</v>
      </c>
      <c r="I127" s="27">
        <f t="shared" si="74"/>
        <v>74</v>
      </c>
      <c r="J127" s="28">
        <f t="shared" si="69"/>
        <v>0.98419999999999996</v>
      </c>
      <c r="K127" s="32"/>
      <c r="L127" s="33">
        <f t="shared" ref="L127:M127" si="116">H127-5</f>
        <v>128</v>
      </c>
      <c r="M127" s="33">
        <f t="shared" si="116"/>
        <v>69</v>
      </c>
      <c r="N127" s="28">
        <f t="shared" si="67"/>
        <v>0.88319999999999999</v>
      </c>
    </row>
    <row r="128" spans="1:15" ht="14.25" customHeight="1" x14ac:dyDescent="0.2">
      <c r="A128" s="3"/>
      <c r="B128" s="31">
        <v>108</v>
      </c>
      <c r="C128" s="27">
        <v>49</v>
      </c>
      <c r="D128" s="27">
        <v>27</v>
      </c>
      <c r="E128" s="28">
        <f t="shared" si="72"/>
        <v>9.1875</v>
      </c>
      <c r="F128" s="3"/>
      <c r="G128" s="31">
        <v>108</v>
      </c>
      <c r="H128" s="27">
        <f t="shared" si="73"/>
        <v>138</v>
      </c>
      <c r="I128" s="27">
        <f t="shared" si="74"/>
        <v>74</v>
      </c>
      <c r="J128" s="28">
        <f t="shared" si="69"/>
        <v>1.0212000000000001</v>
      </c>
      <c r="K128" s="32"/>
      <c r="L128" s="33">
        <f t="shared" ref="L128:M128" si="117">H128-5</f>
        <v>133</v>
      </c>
      <c r="M128" s="33">
        <f t="shared" si="117"/>
        <v>69</v>
      </c>
      <c r="N128" s="28">
        <f t="shared" si="67"/>
        <v>0.91769999999999996</v>
      </c>
    </row>
    <row r="129" spans="1:15" ht="14.25" customHeight="1" x14ac:dyDescent="0.2">
      <c r="A129" s="3"/>
      <c r="B129" s="26">
        <v>109</v>
      </c>
      <c r="C129" s="27">
        <v>36</v>
      </c>
      <c r="D129" s="27">
        <v>24</v>
      </c>
      <c r="E129" s="28">
        <f t="shared" si="72"/>
        <v>6</v>
      </c>
      <c r="F129" s="3"/>
      <c r="G129" s="26">
        <v>109</v>
      </c>
      <c r="H129" s="27">
        <f t="shared" si="73"/>
        <v>105</v>
      </c>
      <c r="I129" s="27">
        <f t="shared" si="74"/>
        <v>67</v>
      </c>
      <c r="J129" s="28">
        <f t="shared" si="69"/>
        <v>0.70350000000000001</v>
      </c>
      <c r="K129" s="32"/>
      <c r="L129" s="33">
        <f t="shared" ref="L129:M129" si="118">H129-5</f>
        <v>100</v>
      </c>
      <c r="M129" s="33">
        <f t="shared" si="118"/>
        <v>62</v>
      </c>
      <c r="N129" s="28">
        <f t="shared" si="67"/>
        <v>0.62</v>
      </c>
    </row>
    <row r="130" spans="1:15" ht="14.25" customHeight="1" x14ac:dyDescent="0.2">
      <c r="A130" s="3"/>
      <c r="B130" s="31">
        <v>110</v>
      </c>
      <c r="C130" s="27">
        <v>31</v>
      </c>
      <c r="D130" s="27">
        <v>24</v>
      </c>
      <c r="E130" s="28">
        <f t="shared" si="72"/>
        <v>5.166666666666667</v>
      </c>
      <c r="F130" s="3"/>
      <c r="G130" s="31">
        <v>110</v>
      </c>
      <c r="H130" s="27">
        <f t="shared" si="73"/>
        <v>92</v>
      </c>
      <c r="I130" s="27">
        <f t="shared" si="74"/>
        <v>67</v>
      </c>
      <c r="J130" s="28">
        <f t="shared" si="69"/>
        <v>0.61639999999999995</v>
      </c>
      <c r="K130" s="32"/>
      <c r="L130" s="33">
        <f t="shared" ref="L130:M130" si="119">H130-5</f>
        <v>87</v>
      </c>
      <c r="M130" s="33">
        <f t="shared" si="119"/>
        <v>62</v>
      </c>
      <c r="N130" s="28">
        <f t="shared" si="67"/>
        <v>0.53939999999999999</v>
      </c>
    </row>
    <row r="131" spans="1:15" ht="14.25" customHeight="1" x14ac:dyDescent="0.2">
      <c r="A131" s="3"/>
      <c r="B131" s="26">
        <v>111</v>
      </c>
      <c r="C131" s="27">
        <v>33</v>
      </c>
      <c r="D131" s="27">
        <v>24</v>
      </c>
      <c r="E131" s="28">
        <f t="shared" si="72"/>
        <v>5.5</v>
      </c>
      <c r="F131" s="3"/>
      <c r="G131" s="26">
        <v>111</v>
      </c>
      <c r="H131" s="27">
        <f t="shared" si="73"/>
        <v>97</v>
      </c>
      <c r="I131" s="27">
        <f t="shared" si="74"/>
        <v>67</v>
      </c>
      <c r="J131" s="28">
        <f t="shared" si="69"/>
        <v>0.64990000000000003</v>
      </c>
      <c r="K131" s="32"/>
      <c r="L131" s="33">
        <f t="shared" ref="L131:M131" si="120">H131-5</f>
        <v>92</v>
      </c>
      <c r="M131" s="33">
        <f t="shared" si="120"/>
        <v>62</v>
      </c>
      <c r="N131" s="28">
        <f t="shared" si="67"/>
        <v>0.57040000000000002</v>
      </c>
    </row>
    <row r="132" spans="1:15" ht="14.25" customHeight="1" x14ac:dyDescent="0.2">
      <c r="A132" s="3"/>
      <c r="B132" s="31">
        <v>112</v>
      </c>
      <c r="C132" s="27">
        <v>31</v>
      </c>
      <c r="D132" s="27">
        <v>24</v>
      </c>
      <c r="E132" s="28">
        <f t="shared" si="72"/>
        <v>5.166666666666667</v>
      </c>
      <c r="F132" s="3"/>
      <c r="G132" s="31">
        <v>112</v>
      </c>
      <c r="H132" s="27">
        <f t="shared" si="73"/>
        <v>92</v>
      </c>
      <c r="I132" s="27">
        <f t="shared" si="74"/>
        <v>67</v>
      </c>
      <c r="J132" s="28">
        <f t="shared" si="69"/>
        <v>0.61639999999999995</v>
      </c>
      <c r="K132" s="32"/>
      <c r="L132" s="33">
        <f t="shared" ref="L132:M132" si="121">H132-5</f>
        <v>87</v>
      </c>
      <c r="M132" s="33">
        <f t="shared" si="121"/>
        <v>62</v>
      </c>
      <c r="N132" s="28">
        <f t="shared" si="67"/>
        <v>0.53939999999999999</v>
      </c>
      <c r="O132" s="47"/>
    </row>
    <row r="133" spans="1:15" ht="14.25" customHeight="1" x14ac:dyDescent="0.2">
      <c r="A133" s="3"/>
      <c r="B133" s="26">
        <v>113</v>
      </c>
      <c r="C133" s="27">
        <v>34</v>
      </c>
      <c r="D133" s="27">
        <v>24</v>
      </c>
      <c r="E133" s="28">
        <f t="shared" si="72"/>
        <v>5.666666666666667</v>
      </c>
      <c r="F133" s="3"/>
      <c r="G133" s="26">
        <v>113</v>
      </c>
      <c r="H133" s="27">
        <f t="shared" si="73"/>
        <v>100</v>
      </c>
      <c r="I133" s="27">
        <f t="shared" si="74"/>
        <v>67</v>
      </c>
      <c r="J133" s="28">
        <f t="shared" si="69"/>
        <v>0.67</v>
      </c>
      <c r="K133" s="32"/>
      <c r="L133" s="33">
        <f t="shared" ref="L133:M133" si="122">H133-5</f>
        <v>95</v>
      </c>
      <c r="M133" s="33">
        <f t="shared" si="122"/>
        <v>62</v>
      </c>
      <c r="N133" s="28">
        <f t="shared" si="67"/>
        <v>0.58899999999999997</v>
      </c>
      <c r="O133" s="47"/>
    </row>
    <row r="134" spans="1:15" ht="14.25" customHeight="1" x14ac:dyDescent="0.2">
      <c r="A134" s="3"/>
      <c r="B134" s="31">
        <v>114</v>
      </c>
      <c r="C134" s="27">
        <v>34</v>
      </c>
      <c r="D134" s="27">
        <v>24</v>
      </c>
      <c r="E134" s="28">
        <f t="shared" si="72"/>
        <v>5.666666666666667</v>
      </c>
      <c r="F134" s="3"/>
      <c r="G134" s="31">
        <v>114</v>
      </c>
      <c r="H134" s="27">
        <f t="shared" si="73"/>
        <v>100</v>
      </c>
      <c r="I134" s="27">
        <f t="shared" si="74"/>
        <v>67</v>
      </c>
      <c r="J134" s="28">
        <f t="shared" si="69"/>
        <v>0.67</v>
      </c>
      <c r="K134" s="32"/>
      <c r="L134" s="33">
        <f t="shared" ref="L134:M134" si="123">H134-5</f>
        <v>95</v>
      </c>
      <c r="M134" s="33">
        <f t="shared" si="123"/>
        <v>62</v>
      </c>
      <c r="N134" s="28">
        <f t="shared" si="67"/>
        <v>0.58899999999999997</v>
      </c>
    </row>
    <row r="135" spans="1:15" ht="14.25" customHeight="1" x14ac:dyDescent="0.2">
      <c r="A135" s="3"/>
      <c r="B135" s="26">
        <v>115</v>
      </c>
      <c r="C135" s="27">
        <v>36</v>
      </c>
      <c r="D135" s="27">
        <v>24</v>
      </c>
      <c r="E135" s="28">
        <f t="shared" si="72"/>
        <v>6</v>
      </c>
      <c r="F135" s="3"/>
      <c r="G135" s="26">
        <v>115</v>
      </c>
      <c r="H135" s="27">
        <f t="shared" si="73"/>
        <v>105</v>
      </c>
      <c r="I135" s="27">
        <f t="shared" si="74"/>
        <v>67</v>
      </c>
      <c r="J135" s="28">
        <f t="shared" si="69"/>
        <v>0.70350000000000001</v>
      </c>
      <c r="K135" s="32"/>
      <c r="L135" s="33">
        <f t="shared" ref="L135:M135" si="124">H135-5</f>
        <v>100</v>
      </c>
      <c r="M135" s="33">
        <f t="shared" si="124"/>
        <v>62</v>
      </c>
      <c r="N135" s="28">
        <f t="shared" si="67"/>
        <v>0.62</v>
      </c>
    </row>
    <row r="136" spans="1:15" ht="14.25" customHeight="1" x14ac:dyDescent="0.2">
      <c r="A136" s="3"/>
      <c r="B136" s="31">
        <v>116</v>
      </c>
      <c r="C136" s="27">
        <v>36</v>
      </c>
      <c r="D136" s="27">
        <v>24</v>
      </c>
      <c r="E136" s="28">
        <f t="shared" si="72"/>
        <v>6</v>
      </c>
      <c r="F136" s="3"/>
      <c r="G136" s="31">
        <v>116</v>
      </c>
      <c r="H136" s="27">
        <f t="shared" si="73"/>
        <v>105</v>
      </c>
      <c r="I136" s="27">
        <f t="shared" si="74"/>
        <v>67</v>
      </c>
      <c r="J136" s="28">
        <f t="shared" si="69"/>
        <v>0.70350000000000001</v>
      </c>
      <c r="K136" s="32"/>
      <c r="L136" s="33">
        <f t="shared" ref="L136:M136" si="125">H136-5</f>
        <v>100</v>
      </c>
      <c r="M136" s="33">
        <f t="shared" si="125"/>
        <v>62</v>
      </c>
      <c r="N136" s="28">
        <f t="shared" si="67"/>
        <v>0.62</v>
      </c>
    </row>
    <row r="137" spans="1:15" ht="14.25" customHeight="1" x14ac:dyDescent="0.2">
      <c r="A137" s="3"/>
      <c r="B137" s="26">
        <v>117</v>
      </c>
      <c r="C137" s="27">
        <v>42</v>
      </c>
      <c r="D137" s="27">
        <v>24</v>
      </c>
      <c r="E137" s="28">
        <f t="shared" si="72"/>
        <v>7</v>
      </c>
      <c r="F137" s="3"/>
      <c r="G137" s="26">
        <v>117</v>
      </c>
      <c r="H137" s="27">
        <f t="shared" si="73"/>
        <v>120</v>
      </c>
      <c r="I137" s="27">
        <f t="shared" si="74"/>
        <v>67</v>
      </c>
      <c r="J137" s="28">
        <f t="shared" si="69"/>
        <v>0.80400000000000005</v>
      </c>
      <c r="K137" s="32"/>
      <c r="L137" s="33">
        <f t="shared" ref="L137:M137" si="126">H137-5</f>
        <v>115</v>
      </c>
      <c r="M137" s="33">
        <f t="shared" si="126"/>
        <v>62</v>
      </c>
      <c r="N137" s="28">
        <f t="shared" si="67"/>
        <v>0.71299999999999997</v>
      </c>
    </row>
    <row r="138" spans="1:15" ht="14.25" customHeight="1" x14ac:dyDescent="0.2">
      <c r="A138" s="3"/>
      <c r="B138" s="31">
        <v>118</v>
      </c>
      <c r="C138" s="27">
        <v>32</v>
      </c>
      <c r="D138" s="27">
        <v>24</v>
      </c>
      <c r="E138" s="28">
        <f t="shared" si="72"/>
        <v>5.333333333333333</v>
      </c>
      <c r="F138" s="3"/>
      <c r="G138" s="31">
        <v>118</v>
      </c>
      <c r="H138" s="27">
        <f t="shared" si="73"/>
        <v>94</v>
      </c>
      <c r="I138" s="27">
        <f t="shared" si="74"/>
        <v>67</v>
      </c>
      <c r="J138" s="28">
        <f t="shared" si="69"/>
        <v>0.62980000000000003</v>
      </c>
      <c r="K138" s="32"/>
      <c r="L138" s="33">
        <f t="shared" ref="L138:M138" si="127">H138-5</f>
        <v>89</v>
      </c>
      <c r="M138" s="33">
        <f t="shared" si="127"/>
        <v>62</v>
      </c>
      <c r="N138" s="28">
        <f t="shared" si="67"/>
        <v>0.55179999999999996</v>
      </c>
    </row>
    <row r="139" spans="1:15" ht="14.25" customHeight="1" x14ac:dyDescent="0.2">
      <c r="A139" s="3"/>
      <c r="B139" s="26">
        <v>119</v>
      </c>
      <c r="C139" s="27">
        <v>32</v>
      </c>
      <c r="D139" s="27">
        <v>24</v>
      </c>
      <c r="E139" s="28">
        <f t="shared" si="72"/>
        <v>5.333333333333333</v>
      </c>
      <c r="F139" s="3"/>
      <c r="G139" s="26">
        <v>119</v>
      </c>
      <c r="H139" s="27">
        <f t="shared" si="73"/>
        <v>94</v>
      </c>
      <c r="I139" s="27">
        <f t="shared" si="74"/>
        <v>67</v>
      </c>
      <c r="J139" s="28">
        <f t="shared" si="69"/>
        <v>0.62980000000000003</v>
      </c>
      <c r="K139" s="32"/>
      <c r="L139" s="33">
        <f t="shared" ref="L139:M139" si="128">H139-5</f>
        <v>89</v>
      </c>
      <c r="M139" s="33">
        <f t="shared" si="128"/>
        <v>62</v>
      </c>
      <c r="N139" s="28">
        <f t="shared" si="67"/>
        <v>0.55179999999999996</v>
      </c>
    </row>
    <row r="140" spans="1:15" ht="14.25" customHeight="1" x14ac:dyDescent="0.2">
      <c r="A140" s="3"/>
      <c r="B140" s="31">
        <v>120</v>
      </c>
      <c r="C140" s="27">
        <v>34</v>
      </c>
      <c r="D140" s="27">
        <v>24</v>
      </c>
      <c r="E140" s="28">
        <f t="shared" si="72"/>
        <v>5.666666666666667</v>
      </c>
      <c r="F140" s="3"/>
      <c r="G140" s="31">
        <v>120</v>
      </c>
      <c r="H140" s="27">
        <f t="shared" si="73"/>
        <v>100</v>
      </c>
      <c r="I140" s="27">
        <f t="shared" si="74"/>
        <v>67</v>
      </c>
      <c r="J140" s="28">
        <f t="shared" si="69"/>
        <v>0.67</v>
      </c>
      <c r="K140" s="32"/>
      <c r="L140" s="33">
        <f t="shared" ref="L140:M140" si="129">H140-5</f>
        <v>95</v>
      </c>
      <c r="M140" s="33">
        <f t="shared" si="129"/>
        <v>62</v>
      </c>
      <c r="N140" s="28">
        <f t="shared" si="67"/>
        <v>0.58899999999999997</v>
      </c>
    </row>
    <row r="141" spans="1:15" ht="14.25" customHeight="1" x14ac:dyDescent="0.2">
      <c r="A141" s="3"/>
      <c r="B141" s="26">
        <v>121</v>
      </c>
      <c r="C141" s="27">
        <v>36</v>
      </c>
      <c r="D141" s="27">
        <v>23</v>
      </c>
      <c r="E141" s="28">
        <f t="shared" si="72"/>
        <v>5.75</v>
      </c>
      <c r="F141" s="3"/>
      <c r="G141" s="26">
        <v>121</v>
      </c>
      <c r="H141" s="27">
        <f t="shared" si="73"/>
        <v>105</v>
      </c>
      <c r="I141" s="27">
        <f t="shared" si="74"/>
        <v>64</v>
      </c>
      <c r="J141" s="28">
        <f t="shared" si="69"/>
        <v>0.67200000000000004</v>
      </c>
      <c r="K141" s="32"/>
      <c r="L141" s="33">
        <f t="shared" ref="L141:M141" si="130">H141-5</f>
        <v>100</v>
      </c>
      <c r="M141" s="33">
        <f t="shared" si="130"/>
        <v>59</v>
      </c>
      <c r="N141" s="28">
        <f t="shared" si="67"/>
        <v>0.59</v>
      </c>
    </row>
    <row r="142" spans="1:15" ht="14.25" customHeight="1" x14ac:dyDescent="0.2">
      <c r="A142" s="3"/>
      <c r="B142" s="31">
        <v>122</v>
      </c>
      <c r="C142" s="27">
        <v>43</v>
      </c>
      <c r="D142" s="27">
        <v>20</v>
      </c>
      <c r="E142" s="28">
        <f t="shared" si="72"/>
        <v>5.9722222222222223</v>
      </c>
      <c r="F142" s="3"/>
      <c r="G142" s="31">
        <v>122</v>
      </c>
      <c r="H142" s="27">
        <f t="shared" si="73"/>
        <v>122</v>
      </c>
      <c r="I142" s="27">
        <f t="shared" si="74"/>
        <v>56</v>
      </c>
      <c r="J142" s="28">
        <f t="shared" si="69"/>
        <v>0.68320000000000003</v>
      </c>
      <c r="K142" s="32"/>
      <c r="L142" s="33">
        <f t="shared" ref="L142:M142" si="131">H142-5</f>
        <v>117</v>
      </c>
      <c r="M142" s="33">
        <f t="shared" si="131"/>
        <v>51</v>
      </c>
      <c r="N142" s="28">
        <f t="shared" si="67"/>
        <v>0.59670000000000001</v>
      </c>
    </row>
    <row r="143" spans="1:15" ht="14.25" customHeight="1" x14ac:dyDescent="0.2">
      <c r="A143" s="3"/>
      <c r="B143" s="26">
        <v>123</v>
      </c>
      <c r="C143" s="27">
        <v>45</v>
      </c>
      <c r="D143" s="27">
        <v>21</v>
      </c>
      <c r="E143" s="28">
        <f t="shared" si="72"/>
        <v>6.5625</v>
      </c>
      <c r="F143" s="3"/>
      <c r="G143" s="26">
        <v>123</v>
      </c>
      <c r="H143" s="27">
        <f t="shared" si="73"/>
        <v>127</v>
      </c>
      <c r="I143" s="27">
        <f t="shared" si="74"/>
        <v>59</v>
      </c>
      <c r="J143" s="28">
        <f t="shared" si="69"/>
        <v>0.74929999999999997</v>
      </c>
      <c r="K143" s="32"/>
      <c r="L143" s="33">
        <f t="shared" ref="L143:M143" si="132">H143-5</f>
        <v>122</v>
      </c>
      <c r="M143" s="33">
        <f t="shared" si="132"/>
        <v>54</v>
      </c>
      <c r="N143" s="28">
        <f t="shared" si="67"/>
        <v>0.65880000000000005</v>
      </c>
    </row>
    <row r="144" spans="1:15" ht="14.25" customHeight="1" x14ac:dyDescent="0.2">
      <c r="A144" s="3"/>
      <c r="B144" s="31">
        <v>124</v>
      </c>
      <c r="C144" s="27">
        <v>48</v>
      </c>
      <c r="D144" s="27">
        <v>25</v>
      </c>
      <c r="E144" s="28">
        <f t="shared" si="72"/>
        <v>8.3333333333333339</v>
      </c>
      <c r="F144" s="3"/>
      <c r="G144" s="31">
        <v>124</v>
      </c>
      <c r="H144" s="27">
        <f t="shared" si="73"/>
        <v>135</v>
      </c>
      <c r="I144" s="27">
        <f t="shared" si="74"/>
        <v>69</v>
      </c>
      <c r="J144" s="28">
        <f t="shared" si="69"/>
        <v>0.93149999999999999</v>
      </c>
      <c r="K144" s="32"/>
      <c r="L144" s="33">
        <f t="shared" ref="L144" si="133">H144-5</f>
        <v>130</v>
      </c>
      <c r="M144" s="33">
        <f>I144-5</f>
        <v>64</v>
      </c>
      <c r="N144" s="28">
        <f t="shared" si="67"/>
        <v>0.83199999999999996</v>
      </c>
      <c r="O144" s="47"/>
    </row>
    <row r="145" spans="1:15" ht="14.25" customHeight="1" x14ac:dyDescent="0.2">
      <c r="A145" s="3"/>
      <c r="B145" s="26">
        <v>125</v>
      </c>
      <c r="C145" s="27">
        <v>52</v>
      </c>
      <c r="D145" s="27">
        <v>25</v>
      </c>
      <c r="E145" s="28">
        <f t="shared" si="72"/>
        <v>9.0277777777777786</v>
      </c>
      <c r="F145" s="3"/>
      <c r="G145" s="26">
        <v>125</v>
      </c>
      <c r="H145" s="27">
        <f t="shared" si="73"/>
        <v>145</v>
      </c>
      <c r="I145" s="27">
        <f t="shared" si="74"/>
        <v>69</v>
      </c>
      <c r="J145" s="28">
        <f t="shared" si="69"/>
        <v>1.0004999999999999</v>
      </c>
      <c r="K145" s="32"/>
      <c r="L145" s="33">
        <f t="shared" ref="L145:M145" si="134">H145-5</f>
        <v>140</v>
      </c>
      <c r="M145" s="33">
        <f t="shared" si="134"/>
        <v>64</v>
      </c>
      <c r="N145" s="28">
        <f t="shared" si="67"/>
        <v>0.89600000000000002</v>
      </c>
    </row>
    <row r="146" spans="1:15" ht="14.25" customHeight="1" x14ac:dyDescent="0.2">
      <c r="A146" s="3"/>
      <c r="B146" s="31">
        <v>126</v>
      </c>
      <c r="C146" s="27">
        <v>52</v>
      </c>
      <c r="D146" s="27">
        <v>27</v>
      </c>
      <c r="E146" s="28">
        <f t="shared" si="72"/>
        <v>9.75</v>
      </c>
      <c r="F146" s="3"/>
      <c r="G146" s="31">
        <v>126</v>
      </c>
      <c r="H146" s="27">
        <f t="shared" si="73"/>
        <v>145</v>
      </c>
      <c r="I146" s="27">
        <f t="shared" si="74"/>
        <v>74</v>
      </c>
      <c r="J146" s="28">
        <f t="shared" si="69"/>
        <v>1.073</v>
      </c>
      <c r="K146" s="32"/>
      <c r="L146" s="33">
        <f t="shared" ref="L146:M146" si="135">H146-5</f>
        <v>140</v>
      </c>
      <c r="M146" s="33">
        <f t="shared" si="135"/>
        <v>69</v>
      </c>
      <c r="N146" s="28">
        <f t="shared" ref="N146:N209" si="136">L146*M146/10000</f>
        <v>0.96599999999999997</v>
      </c>
      <c r="O146" s="47"/>
    </row>
    <row r="147" spans="1:15" ht="14.25" customHeight="1" x14ac:dyDescent="0.2">
      <c r="A147" s="3"/>
      <c r="B147" s="26">
        <v>127</v>
      </c>
      <c r="C147" s="27">
        <v>52</v>
      </c>
      <c r="D147" s="27">
        <v>27</v>
      </c>
      <c r="E147" s="28">
        <f t="shared" si="72"/>
        <v>9.75</v>
      </c>
      <c r="F147" s="3"/>
      <c r="G147" s="26">
        <v>127</v>
      </c>
      <c r="H147" s="27">
        <f t="shared" si="73"/>
        <v>145</v>
      </c>
      <c r="I147" s="27">
        <f t="shared" si="74"/>
        <v>74</v>
      </c>
      <c r="J147" s="28">
        <f t="shared" si="69"/>
        <v>1.073</v>
      </c>
      <c r="K147" s="32"/>
      <c r="L147" s="33">
        <f t="shared" ref="L147:M147" si="137">H147-5</f>
        <v>140</v>
      </c>
      <c r="M147" s="33">
        <f t="shared" si="137"/>
        <v>69</v>
      </c>
      <c r="N147" s="28">
        <f t="shared" si="136"/>
        <v>0.96599999999999997</v>
      </c>
      <c r="O147" s="47"/>
    </row>
    <row r="148" spans="1:15" ht="14.25" customHeight="1" x14ac:dyDescent="0.2">
      <c r="A148" s="3"/>
      <c r="B148" s="31">
        <v>128</v>
      </c>
      <c r="C148" s="27">
        <v>57</v>
      </c>
      <c r="D148" s="27">
        <v>27</v>
      </c>
      <c r="E148" s="28">
        <f t="shared" si="72"/>
        <v>10.6875</v>
      </c>
      <c r="F148" s="3"/>
      <c r="G148" s="31">
        <v>128</v>
      </c>
      <c r="H148" s="27">
        <f t="shared" si="73"/>
        <v>158</v>
      </c>
      <c r="I148" s="27">
        <f t="shared" si="74"/>
        <v>74</v>
      </c>
      <c r="J148" s="28">
        <f t="shared" ref="J148:J211" si="138">H148*I148/10000</f>
        <v>1.1692</v>
      </c>
      <c r="K148" s="32"/>
      <c r="L148" s="33">
        <f t="shared" ref="L148" si="139">H148-5</f>
        <v>153</v>
      </c>
      <c r="M148" s="33">
        <f>I148-5</f>
        <v>69</v>
      </c>
      <c r="N148" s="28">
        <f t="shared" si="136"/>
        <v>1.0557000000000001</v>
      </c>
    </row>
    <row r="149" spans="1:15" ht="14.25" customHeight="1" x14ac:dyDescent="0.2">
      <c r="A149" s="3"/>
      <c r="B149" s="26">
        <v>129</v>
      </c>
      <c r="C149" s="27">
        <v>55</v>
      </c>
      <c r="D149" s="27">
        <v>27</v>
      </c>
      <c r="E149" s="28">
        <f t="shared" si="72"/>
        <v>10.3125</v>
      </c>
      <c r="F149" s="3"/>
      <c r="G149" s="26">
        <v>129</v>
      </c>
      <c r="H149" s="27">
        <f t="shared" si="73"/>
        <v>153</v>
      </c>
      <c r="I149" s="27">
        <f t="shared" si="74"/>
        <v>74</v>
      </c>
      <c r="J149" s="28">
        <f t="shared" si="138"/>
        <v>1.1322000000000001</v>
      </c>
      <c r="K149" s="32"/>
      <c r="L149" s="33">
        <f t="shared" ref="L149:M149" si="140">H149-5</f>
        <v>148</v>
      </c>
      <c r="M149" s="33">
        <f t="shared" si="140"/>
        <v>69</v>
      </c>
      <c r="N149" s="28">
        <f t="shared" si="136"/>
        <v>1.0212000000000001</v>
      </c>
    </row>
    <row r="150" spans="1:15" ht="14.25" customHeight="1" x14ac:dyDescent="0.2">
      <c r="A150" s="3"/>
      <c r="B150" s="31">
        <v>130</v>
      </c>
      <c r="C150" s="27">
        <v>52</v>
      </c>
      <c r="D150" s="27">
        <v>27</v>
      </c>
      <c r="E150" s="28">
        <f t="shared" ref="E150:E213" si="141">C150*D150/144</f>
        <v>9.75</v>
      </c>
      <c r="F150" s="3"/>
      <c r="G150" s="31">
        <v>130</v>
      </c>
      <c r="H150" s="27">
        <f t="shared" ref="H150:H213" si="142">ROUNDUP((C150+5)*2.54,0)</f>
        <v>145</v>
      </c>
      <c r="I150" s="27">
        <f t="shared" ref="I150:I213" si="143">ROUNDUP((D150+2)*2.54,0)</f>
        <v>74</v>
      </c>
      <c r="J150" s="28">
        <f t="shared" si="138"/>
        <v>1.073</v>
      </c>
      <c r="K150" s="32"/>
      <c r="L150" s="33">
        <f t="shared" ref="L150:M150" si="144">H150-5</f>
        <v>140</v>
      </c>
      <c r="M150" s="33">
        <f t="shared" si="144"/>
        <v>69</v>
      </c>
      <c r="N150" s="28">
        <f t="shared" si="136"/>
        <v>0.96599999999999997</v>
      </c>
    </row>
    <row r="151" spans="1:15" ht="14.25" customHeight="1" x14ac:dyDescent="0.2">
      <c r="A151" s="3"/>
      <c r="B151" s="26">
        <v>131</v>
      </c>
      <c r="C151" s="27">
        <v>50</v>
      </c>
      <c r="D151" s="27">
        <v>27</v>
      </c>
      <c r="E151" s="28">
        <f t="shared" si="141"/>
        <v>9.375</v>
      </c>
      <c r="F151" s="3"/>
      <c r="G151" s="26">
        <v>131</v>
      </c>
      <c r="H151" s="27">
        <f t="shared" si="142"/>
        <v>140</v>
      </c>
      <c r="I151" s="27">
        <f t="shared" si="143"/>
        <v>74</v>
      </c>
      <c r="J151" s="28">
        <f t="shared" si="138"/>
        <v>1.036</v>
      </c>
      <c r="K151" s="32"/>
      <c r="L151" s="33">
        <f t="shared" ref="L151:M151" si="145">H151-5</f>
        <v>135</v>
      </c>
      <c r="M151" s="33">
        <f t="shared" si="145"/>
        <v>69</v>
      </c>
      <c r="N151" s="28">
        <f t="shared" si="136"/>
        <v>0.93149999999999999</v>
      </c>
    </row>
    <row r="152" spans="1:15" ht="14.25" customHeight="1" x14ac:dyDescent="0.2">
      <c r="A152" s="3"/>
      <c r="B152" s="31">
        <v>132</v>
      </c>
      <c r="C152" s="27">
        <v>47</v>
      </c>
      <c r="D152" s="27">
        <v>27</v>
      </c>
      <c r="E152" s="28">
        <f t="shared" si="141"/>
        <v>8.8125</v>
      </c>
      <c r="F152" s="3"/>
      <c r="G152" s="31">
        <v>132</v>
      </c>
      <c r="H152" s="27">
        <f t="shared" si="142"/>
        <v>133</v>
      </c>
      <c r="I152" s="27">
        <f t="shared" si="143"/>
        <v>74</v>
      </c>
      <c r="J152" s="28">
        <f t="shared" si="138"/>
        <v>0.98419999999999996</v>
      </c>
      <c r="K152" s="32"/>
      <c r="L152" s="33">
        <f t="shared" ref="L152:M152" si="146">H152-5</f>
        <v>128</v>
      </c>
      <c r="M152" s="33">
        <f t="shared" si="146"/>
        <v>69</v>
      </c>
      <c r="N152" s="28">
        <f t="shared" si="136"/>
        <v>0.88319999999999999</v>
      </c>
    </row>
    <row r="153" spans="1:15" ht="14.25" customHeight="1" x14ac:dyDescent="0.2">
      <c r="A153" s="3"/>
      <c r="B153" s="26">
        <v>133</v>
      </c>
      <c r="C153" s="27">
        <v>46</v>
      </c>
      <c r="D153" s="27">
        <v>27</v>
      </c>
      <c r="E153" s="28">
        <f t="shared" si="141"/>
        <v>8.625</v>
      </c>
      <c r="F153" s="3"/>
      <c r="G153" s="26">
        <v>133</v>
      </c>
      <c r="H153" s="27">
        <f t="shared" si="142"/>
        <v>130</v>
      </c>
      <c r="I153" s="27">
        <f t="shared" si="143"/>
        <v>74</v>
      </c>
      <c r="J153" s="28">
        <f t="shared" si="138"/>
        <v>0.96199999999999997</v>
      </c>
      <c r="K153" s="32"/>
      <c r="L153" s="33">
        <f t="shared" ref="L153:M153" si="147">H153-5</f>
        <v>125</v>
      </c>
      <c r="M153" s="33">
        <f t="shared" si="147"/>
        <v>69</v>
      </c>
      <c r="N153" s="28">
        <f t="shared" si="136"/>
        <v>0.86250000000000004</v>
      </c>
    </row>
    <row r="154" spans="1:15" ht="14.25" customHeight="1" x14ac:dyDescent="0.2">
      <c r="A154" s="3"/>
      <c r="B154" s="31">
        <v>134</v>
      </c>
      <c r="C154" s="27">
        <v>45</v>
      </c>
      <c r="D154" s="27">
        <v>27</v>
      </c>
      <c r="E154" s="28">
        <f t="shared" si="141"/>
        <v>8.4375</v>
      </c>
      <c r="F154" s="3"/>
      <c r="G154" s="31">
        <v>134</v>
      </c>
      <c r="H154" s="27">
        <f t="shared" si="142"/>
        <v>127</v>
      </c>
      <c r="I154" s="27">
        <f t="shared" si="143"/>
        <v>74</v>
      </c>
      <c r="J154" s="28">
        <f t="shared" si="138"/>
        <v>0.93979999999999997</v>
      </c>
      <c r="K154" s="32"/>
      <c r="L154" s="33">
        <f t="shared" ref="L154:M154" si="148">H154-5</f>
        <v>122</v>
      </c>
      <c r="M154" s="33">
        <f t="shared" si="148"/>
        <v>69</v>
      </c>
      <c r="N154" s="28">
        <f t="shared" si="136"/>
        <v>0.84179999999999999</v>
      </c>
    </row>
    <row r="155" spans="1:15" ht="14.25" customHeight="1" x14ac:dyDescent="0.2">
      <c r="A155" s="3"/>
      <c r="B155" s="26">
        <v>135</v>
      </c>
      <c r="C155" s="27">
        <v>40</v>
      </c>
      <c r="D155" s="27">
        <v>27</v>
      </c>
      <c r="E155" s="28">
        <f t="shared" si="141"/>
        <v>7.5</v>
      </c>
      <c r="F155" s="3"/>
      <c r="G155" s="26">
        <v>135</v>
      </c>
      <c r="H155" s="27">
        <f t="shared" si="142"/>
        <v>115</v>
      </c>
      <c r="I155" s="27">
        <f t="shared" si="143"/>
        <v>74</v>
      </c>
      <c r="J155" s="28">
        <f t="shared" si="138"/>
        <v>0.85099999999999998</v>
      </c>
      <c r="K155" s="32"/>
      <c r="L155" s="33">
        <f t="shared" ref="L155:M155" si="149">H155-5</f>
        <v>110</v>
      </c>
      <c r="M155" s="33">
        <f t="shared" si="149"/>
        <v>69</v>
      </c>
      <c r="N155" s="28">
        <f t="shared" si="136"/>
        <v>0.75900000000000001</v>
      </c>
    </row>
    <row r="156" spans="1:15" ht="14.25" customHeight="1" x14ac:dyDescent="0.2">
      <c r="A156" s="3"/>
      <c r="B156" s="31">
        <v>136</v>
      </c>
      <c r="C156" s="27">
        <v>39</v>
      </c>
      <c r="D156" s="27">
        <v>27</v>
      </c>
      <c r="E156" s="28">
        <f t="shared" si="141"/>
        <v>7.3125</v>
      </c>
      <c r="F156" s="3"/>
      <c r="G156" s="31">
        <v>136</v>
      </c>
      <c r="H156" s="27">
        <f t="shared" si="142"/>
        <v>112</v>
      </c>
      <c r="I156" s="27">
        <f t="shared" si="143"/>
        <v>74</v>
      </c>
      <c r="J156" s="28">
        <f t="shared" si="138"/>
        <v>0.82879999999999998</v>
      </c>
      <c r="K156" s="32"/>
      <c r="L156" s="33">
        <f t="shared" ref="L156:M156" si="150">H156-5</f>
        <v>107</v>
      </c>
      <c r="M156" s="33">
        <f t="shared" si="150"/>
        <v>69</v>
      </c>
      <c r="N156" s="28">
        <f t="shared" si="136"/>
        <v>0.73829999999999996</v>
      </c>
    </row>
    <row r="157" spans="1:15" ht="14.25" customHeight="1" x14ac:dyDescent="0.2">
      <c r="A157" s="3"/>
      <c r="B157" s="26">
        <v>137</v>
      </c>
      <c r="C157" s="27">
        <v>53</v>
      </c>
      <c r="D157" s="27">
        <v>37</v>
      </c>
      <c r="E157" s="28">
        <f t="shared" si="141"/>
        <v>13.618055555555555</v>
      </c>
      <c r="F157" s="3"/>
      <c r="G157" s="26">
        <v>137</v>
      </c>
      <c r="H157" s="27">
        <f t="shared" si="142"/>
        <v>148</v>
      </c>
      <c r="I157" s="27">
        <f t="shared" si="143"/>
        <v>100</v>
      </c>
      <c r="J157" s="28">
        <f t="shared" si="138"/>
        <v>1.48</v>
      </c>
      <c r="K157" s="32"/>
      <c r="L157" s="33">
        <f t="shared" ref="L157:M157" si="151">H157-5</f>
        <v>143</v>
      </c>
      <c r="M157" s="33">
        <f t="shared" si="151"/>
        <v>95</v>
      </c>
      <c r="N157" s="28">
        <f t="shared" si="136"/>
        <v>1.3585</v>
      </c>
    </row>
    <row r="158" spans="1:15" ht="14.25" customHeight="1" x14ac:dyDescent="0.2">
      <c r="A158" s="3"/>
      <c r="B158" s="31">
        <v>138</v>
      </c>
      <c r="C158" s="27">
        <v>33</v>
      </c>
      <c r="D158" s="27">
        <v>38</v>
      </c>
      <c r="E158" s="28">
        <f t="shared" si="141"/>
        <v>8.7083333333333339</v>
      </c>
      <c r="F158" s="3"/>
      <c r="G158" s="31">
        <v>138</v>
      </c>
      <c r="H158" s="27">
        <f t="shared" si="142"/>
        <v>97</v>
      </c>
      <c r="I158" s="27">
        <f t="shared" si="143"/>
        <v>102</v>
      </c>
      <c r="J158" s="28">
        <f t="shared" si="138"/>
        <v>0.98939999999999995</v>
      </c>
      <c r="K158" s="32"/>
      <c r="L158" s="33">
        <f t="shared" ref="L158:M158" si="152">H158-5</f>
        <v>92</v>
      </c>
      <c r="M158" s="33">
        <f t="shared" si="152"/>
        <v>97</v>
      </c>
      <c r="N158" s="28">
        <f t="shared" si="136"/>
        <v>0.89239999999999997</v>
      </c>
      <c r="O158" s="47"/>
    </row>
    <row r="159" spans="1:15" ht="14.25" customHeight="1" x14ac:dyDescent="0.2">
      <c r="A159" s="3"/>
      <c r="B159" s="26">
        <v>139</v>
      </c>
      <c r="C159" s="27">
        <v>37</v>
      </c>
      <c r="D159" s="27">
        <v>35</v>
      </c>
      <c r="E159" s="28">
        <f t="shared" si="141"/>
        <v>8.9930555555555554</v>
      </c>
      <c r="F159" s="3"/>
      <c r="G159" s="26">
        <v>139</v>
      </c>
      <c r="H159" s="27">
        <f t="shared" si="142"/>
        <v>107</v>
      </c>
      <c r="I159" s="27">
        <f t="shared" si="143"/>
        <v>94</v>
      </c>
      <c r="J159" s="28">
        <f t="shared" si="138"/>
        <v>1.0058</v>
      </c>
      <c r="K159" s="32"/>
      <c r="L159" s="33">
        <f t="shared" ref="L159:M159" si="153">H159-5</f>
        <v>102</v>
      </c>
      <c r="M159" s="33">
        <f t="shared" si="153"/>
        <v>89</v>
      </c>
      <c r="N159" s="28">
        <f t="shared" si="136"/>
        <v>0.90780000000000005</v>
      </c>
    </row>
    <row r="160" spans="1:15" ht="14.25" customHeight="1" x14ac:dyDescent="0.2">
      <c r="A160" s="3"/>
      <c r="B160" s="31">
        <v>140</v>
      </c>
      <c r="C160" s="27">
        <v>39</v>
      </c>
      <c r="D160" s="27">
        <v>24</v>
      </c>
      <c r="E160" s="28">
        <f t="shared" si="141"/>
        <v>6.5</v>
      </c>
      <c r="F160" s="3"/>
      <c r="G160" s="31">
        <v>140</v>
      </c>
      <c r="H160" s="27">
        <f t="shared" si="142"/>
        <v>112</v>
      </c>
      <c r="I160" s="27">
        <f t="shared" si="143"/>
        <v>67</v>
      </c>
      <c r="J160" s="28">
        <f t="shared" si="138"/>
        <v>0.75039999999999996</v>
      </c>
      <c r="K160" s="32"/>
      <c r="L160" s="33">
        <f t="shared" ref="L160:M160" si="154">H160-5</f>
        <v>107</v>
      </c>
      <c r="M160" s="33">
        <f t="shared" si="154"/>
        <v>62</v>
      </c>
      <c r="N160" s="28">
        <f t="shared" si="136"/>
        <v>0.66339999999999999</v>
      </c>
    </row>
    <row r="161" spans="1:15" ht="14.25" customHeight="1" x14ac:dyDescent="0.2">
      <c r="A161" s="3"/>
      <c r="B161" s="26">
        <v>141</v>
      </c>
      <c r="C161" s="27">
        <v>37</v>
      </c>
      <c r="D161" s="27">
        <v>33</v>
      </c>
      <c r="E161" s="28">
        <f t="shared" si="141"/>
        <v>8.4791666666666661</v>
      </c>
      <c r="F161" s="3"/>
      <c r="G161" s="26">
        <v>141</v>
      </c>
      <c r="H161" s="27">
        <f t="shared" si="142"/>
        <v>107</v>
      </c>
      <c r="I161" s="27">
        <f t="shared" si="143"/>
        <v>89</v>
      </c>
      <c r="J161" s="28">
        <f t="shared" si="138"/>
        <v>0.95230000000000004</v>
      </c>
      <c r="K161" s="32"/>
      <c r="L161" s="33">
        <f t="shared" ref="L161:M161" si="155">H161-5</f>
        <v>102</v>
      </c>
      <c r="M161" s="33">
        <f t="shared" si="155"/>
        <v>84</v>
      </c>
      <c r="N161" s="28">
        <f t="shared" si="136"/>
        <v>0.85680000000000001</v>
      </c>
    </row>
    <row r="162" spans="1:15" ht="14.25" customHeight="1" x14ac:dyDescent="0.2">
      <c r="A162" s="3"/>
      <c r="B162" s="31">
        <v>142</v>
      </c>
      <c r="C162" s="27">
        <v>65</v>
      </c>
      <c r="D162" s="27">
        <v>22</v>
      </c>
      <c r="E162" s="28">
        <f t="shared" si="141"/>
        <v>9.9305555555555554</v>
      </c>
      <c r="F162" s="3"/>
      <c r="G162" s="31">
        <v>142</v>
      </c>
      <c r="H162" s="27">
        <f t="shared" si="142"/>
        <v>178</v>
      </c>
      <c r="I162" s="27">
        <f t="shared" si="143"/>
        <v>61</v>
      </c>
      <c r="J162" s="28">
        <f t="shared" si="138"/>
        <v>1.0858000000000001</v>
      </c>
      <c r="K162" s="32"/>
      <c r="L162" s="33">
        <f t="shared" ref="L162:M162" si="156">H162-5</f>
        <v>173</v>
      </c>
      <c r="M162" s="33">
        <f t="shared" si="156"/>
        <v>56</v>
      </c>
      <c r="N162" s="28">
        <f t="shared" si="136"/>
        <v>0.96879999999999999</v>
      </c>
    </row>
    <row r="163" spans="1:15" ht="14.25" customHeight="1" x14ac:dyDescent="0.2">
      <c r="A163" s="3"/>
      <c r="B163" s="26">
        <v>143</v>
      </c>
      <c r="C163" s="27">
        <v>65</v>
      </c>
      <c r="D163" s="27">
        <v>26</v>
      </c>
      <c r="E163" s="28">
        <f t="shared" si="141"/>
        <v>11.736111111111111</v>
      </c>
      <c r="F163" s="3"/>
      <c r="G163" s="26">
        <v>143</v>
      </c>
      <c r="H163" s="27">
        <f t="shared" si="142"/>
        <v>178</v>
      </c>
      <c r="I163" s="27">
        <f t="shared" si="143"/>
        <v>72</v>
      </c>
      <c r="J163" s="28">
        <f t="shared" si="138"/>
        <v>1.2816000000000001</v>
      </c>
      <c r="K163" s="32"/>
      <c r="L163" s="33">
        <f t="shared" ref="L163:M163" si="157">H163-5</f>
        <v>173</v>
      </c>
      <c r="M163" s="33">
        <f t="shared" si="157"/>
        <v>67</v>
      </c>
      <c r="N163" s="28">
        <f t="shared" si="136"/>
        <v>1.1591</v>
      </c>
    </row>
    <row r="164" spans="1:15" ht="14.25" customHeight="1" x14ac:dyDescent="0.2">
      <c r="A164" s="3"/>
      <c r="B164" s="31">
        <v>144</v>
      </c>
      <c r="C164" s="27">
        <v>66</v>
      </c>
      <c r="D164" s="27">
        <v>25</v>
      </c>
      <c r="E164" s="28">
        <f t="shared" si="141"/>
        <v>11.458333333333334</v>
      </c>
      <c r="F164" s="3"/>
      <c r="G164" s="31">
        <v>144</v>
      </c>
      <c r="H164" s="27">
        <f t="shared" si="142"/>
        <v>181</v>
      </c>
      <c r="I164" s="27">
        <f t="shared" si="143"/>
        <v>69</v>
      </c>
      <c r="J164" s="28">
        <f t="shared" si="138"/>
        <v>1.2488999999999999</v>
      </c>
      <c r="K164" s="32"/>
      <c r="L164" s="33">
        <f t="shared" ref="L164:M164" si="158">H164-5</f>
        <v>176</v>
      </c>
      <c r="M164" s="33">
        <f t="shared" si="158"/>
        <v>64</v>
      </c>
      <c r="N164" s="28">
        <f t="shared" si="136"/>
        <v>1.1264000000000001</v>
      </c>
    </row>
    <row r="165" spans="1:15" ht="14.25" customHeight="1" x14ac:dyDescent="0.2">
      <c r="A165" s="3"/>
      <c r="B165" s="26">
        <v>145</v>
      </c>
      <c r="C165" s="27">
        <v>66</v>
      </c>
      <c r="D165" s="27">
        <v>23</v>
      </c>
      <c r="E165" s="28">
        <f t="shared" si="141"/>
        <v>10.541666666666666</v>
      </c>
      <c r="F165" s="3"/>
      <c r="G165" s="26">
        <v>145</v>
      </c>
      <c r="H165" s="27">
        <f t="shared" si="142"/>
        <v>181</v>
      </c>
      <c r="I165" s="27">
        <f t="shared" si="143"/>
        <v>64</v>
      </c>
      <c r="J165" s="28">
        <f t="shared" si="138"/>
        <v>1.1584000000000001</v>
      </c>
      <c r="K165" s="32"/>
      <c r="L165" s="33">
        <f t="shared" ref="L165:M165" si="159">H165-5</f>
        <v>176</v>
      </c>
      <c r="M165" s="33">
        <f t="shared" si="159"/>
        <v>59</v>
      </c>
      <c r="N165" s="28">
        <f t="shared" si="136"/>
        <v>1.0384</v>
      </c>
      <c r="O165" s="47"/>
    </row>
    <row r="166" spans="1:15" ht="14.25" customHeight="1" x14ac:dyDescent="0.2">
      <c r="A166" s="3"/>
      <c r="B166" s="31">
        <v>146</v>
      </c>
      <c r="C166" s="27">
        <v>66</v>
      </c>
      <c r="D166" s="27">
        <v>28</v>
      </c>
      <c r="E166" s="28">
        <f t="shared" si="141"/>
        <v>12.833333333333334</v>
      </c>
      <c r="F166" s="3"/>
      <c r="G166" s="31">
        <v>146</v>
      </c>
      <c r="H166" s="27">
        <f t="shared" si="142"/>
        <v>181</v>
      </c>
      <c r="I166" s="27">
        <f t="shared" si="143"/>
        <v>77</v>
      </c>
      <c r="J166" s="28">
        <f t="shared" si="138"/>
        <v>1.3936999999999999</v>
      </c>
      <c r="K166" s="32"/>
      <c r="L166" s="33">
        <f t="shared" ref="L166:M166" si="160">H166-5</f>
        <v>176</v>
      </c>
      <c r="M166" s="33">
        <f t="shared" si="160"/>
        <v>72</v>
      </c>
      <c r="N166" s="28">
        <f t="shared" si="136"/>
        <v>1.2672000000000001</v>
      </c>
      <c r="O166" s="47"/>
    </row>
    <row r="167" spans="1:15" ht="14.25" customHeight="1" x14ac:dyDescent="0.2">
      <c r="A167" s="3"/>
      <c r="B167" s="26">
        <v>147</v>
      </c>
      <c r="C167" s="27">
        <v>66</v>
      </c>
      <c r="D167" s="27">
        <v>30</v>
      </c>
      <c r="E167" s="28">
        <f t="shared" si="141"/>
        <v>13.75</v>
      </c>
      <c r="F167" s="3"/>
      <c r="G167" s="26">
        <v>147</v>
      </c>
      <c r="H167" s="27">
        <f t="shared" si="142"/>
        <v>181</v>
      </c>
      <c r="I167" s="27">
        <f t="shared" si="143"/>
        <v>82</v>
      </c>
      <c r="J167" s="28">
        <f t="shared" si="138"/>
        <v>1.4842</v>
      </c>
      <c r="K167" s="32"/>
      <c r="L167" s="33">
        <f t="shared" ref="L167:M167" si="161">H167-5</f>
        <v>176</v>
      </c>
      <c r="M167" s="33">
        <f t="shared" si="161"/>
        <v>77</v>
      </c>
      <c r="N167" s="28">
        <f t="shared" si="136"/>
        <v>1.3552</v>
      </c>
      <c r="O167" s="47"/>
    </row>
    <row r="168" spans="1:15" ht="14.25" customHeight="1" x14ac:dyDescent="0.2">
      <c r="A168" s="3"/>
      <c r="B168" s="31">
        <v>148</v>
      </c>
      <c r="C168" s="27">
        <v>66</v>
      </c>
      <c r="D168" s="27">
        <v>31</v>
      </c>
      <c r="E168" s="28">
        <f t="shared" si="141"/>
        <v>14.208333333333334</v>
      </c>
      <c r="F168" s="3"/>
      <c r="G168" s="31">
        <v>148</v>
      </c>
      <c r="H168" s="27">
        <f t="shared" si="142"/>
        <v>181</v>
      </c>
      <c r="I168" s="27">
        <f t="shared" si="143"/>
        <v>84</v>
      </c>
      <c r="J168" s="28">
        <f t="shared" si="138"/>
        <v>1.5204</v>
      </c>
      <c r="K168" s="32"/>
      <c r="L168" s="33">
        <f t="shared" ref="L168:M168" si="162">H168-5</f>
        <v>176</v>
      </c>
      <c r="M168" s="33">
        <f t="shared" si="162"/>
        <v>79</v>
      </c>
      <c r="N168" s="28">
        <f t="shared" si="136"/>
        <v>1.3904000000000001</v>
      </c>
      <c r="O168" s="47"/>
    </row>
    <row r="169" spans="1:15" ht="14.25" customHeight="1" x14ac:dyDescent="0.2">
      <c r="A169" s="3"/>
      <c r="B169" s="26">
        <v>149</v>
      </c>
      <c r="C169" s="27">
        <v>47</v>
      </c>
      <c r="D169" s="27">
        <v>29</v>
      </c>
      <c r="E169" s="28">
        <f t="shared" si="141"/>
        <v>9.4652777777777786</v>
      </c>
      <c r="F169" s="3"/>
      <c r="G169" s="26">
        <v>149</v>
      </c>
      <c r="H169" s="27">
        <f t="shared" si="142"/>
        <v>133</v>
      </c>
      <c r="I169" s="27">
        <f t="shared" si="143"/>
        <v>79</v>
      </c>
      <c r="J169" s="28">
        <f t="shared" si="138"/>
        <v>1.0507</v>
      </c>
      <c r="K169" s="32"/>
      <c r="L169" s="33">
        <f t="shared" ref="L169:M169" si="163">H169-5</f>
        <v>128</v>
      </c>
      <c r="M169" s="33">
        <f t="shared" si="163"/>
        <v>74</v>
      </c>
      <c r="N169" s="28">
        <f t="shared" si="136"/>
        <v>0.94720000000000004</v>
      </c>
      <c r="O169" s="47"/>
    </row>
    <row r="170" spans="1:15" ht="14.25" customHeight="1" x14ac:dyDescent="0.2">
      <c r="A170" s="3"/>
      <c r="B170" s="31">
        <v>150</v>
      </c>
      <c r="C170" s="27">
        <v>65</v>
      </c>
      <c r="D170" s="27">
        <v>34</v>
      </c>
      <c r="E170" s="28">
        <f t="shared" si="141"/>
        <v>15.347222222222221</v>
      </c>
      <c r="F170" s="3"/>
      <c r="G170" s="31">
        <v>150</v>
      </c>
      <c r="H170" s="27">
        <f t="shared" si="142"/>
        <v>178</v>
      </c>
      <c r="I170" s="27">
        <f t="shared" si="143"/>
        <v>92</v>
      </c>
      <c r="J170" s="28">
        <f t="shared" si="138"/>
        <v>1.6375999999999999</v>
      </c>
      <c r="K170" s="32"/>
      <c r="L170" s="33">
        <f t="shared" ref="L170:M170" si="164">H170-5</f>
        <v>173</v>
      </c>
      <c r="M170" s="33">
        <f t="shared" si="164"/>
        <v>87</v>
      </c>
      <c r="N170" s="28">
        <f t="shared" si="136"/>
        <v>1.5051000000000001</v>
      </c>
      <c r="O170" s="47"/>
    </row>
    <row r="171" spans="1:15" ht="14.25" customHeight="1" x14ac:dyDescent="0.2">
      <c r="A171" s="3"/>
      <c r="B171" s="26">
        <v>151</v>
      </c>
      <c r="C171" s="27">
        <v>66</v>
      </c>
      <c r="D171" s="27">
        <v>33</v>
      </c>
      <c r="E171" s="28">
        <f t="shared" si="141"/>
        <v>15.125</v>
      </c>
      <c r="F171" s="3"/>
      <c r="G171" s="26">
        <v>151</v>
      </c>
      <c r="H171" s="27">
        <f t="shared" si="142"/>
        <v>181</v>
      </c>
      <c r="I171" s="27">
        <f t="shared" si="143"/>
        <v>89</v>
      </c>
      <c r="J171" s="28">
        <f t="shared" si="138"/>
        <v>1.6109</v>
      </c>
      <c r="K171" s="32"/>
      <c r="L171" s="33">
        <f t="shared" ref="L171:M171" si="165">H171-5</f>
        <v>176</v>
      </c>
      <c r="M171" s="33">
        <f t="shared" si="165"/>
        <v>84</v>
      </c>
      <c r="N171" s="28">
        <f t="shared" si="136"/>
        <v>1.4783999999999999</v>
      </c>
    </row>
    <row r="172" spans="1:15" ht="14.25" customHeight="1" x14ac:dyDescent="0.2">
      <c r="A172" s="3"/>
      <c r="B172" s="31">
        <v>152</v>
      </c>
      <c r="C172" s="27">
        <v>60</v>
      </c>
      <c r="D172" s="27">
        <v>23</v>
      </c>
      <c r="E172" s="28">
        <f t="shared" si="141"/>
        <v>9.5833333333333339</v>
      </c>
      <c r="F172" s="3"/>
      <c r="G172" s="31">
        <v>152</v>
      </c>
      <c r="H172" s="27">
        <f t="shared" si="142"/>
        <v>166</v>
      </c>
      <c r="I172" s="27">
        <f t="shared" si="143"/>
        <v>64</v>
      </c>
      <c r="J172" s="28">
        <f t="shared" si="138"/>
        <v>1.0624</v>
      </c>
      <c r="K172" s="32"/>
      <c r="L172" s="33">
        <f t="shared" ref="L172:M172" si="166">H172-5</f>
        <v>161</v>
      </c>
      <c r="M172" s="33">
        <f t="shared" si="166"/>
        <v>59</v>
      </c>
      <c r="N172" s="28">
        <f t="shared" si="136"/>
        <v>0.94989999999999997</v>
      </c>
      <c r="O172" s="47"/>
    </row>
    <row r="173" spans="1:15" ht="14.25" customHeight="1" x14ac:dyDescent="0.2">
      <c r="A173" s="3"/>
      <c r="B173" s="26">
        <v>153</v>
      </c>
      <c r="C173" s="27">
        <v>52</v>
      </c>
      <c r="D173" s="27">
        <v>29</v>
      </c>
      <c r="E173" s="28">
        <f t="shared" si="141"/>
        <v>10.472222222222221</v>
      </c>
      <c r="F173" s="3"/>
      <c r="G173" s="26">
        <v>153</v>
      </c>
      <c r="H173" s="27">
        <f t="shared" si="142"/>
        <v>145</v>
      </c>
      <c r="I173" s="27">
        <f t="shared" si="143"/>
        <v>79</v>
      </c>
      <c r="J173" s="28">
        <f t="shared" si="138"/>
        <v>1.1455</v>
      </c>
      <c r="K173" s="32"/>
      <c r="L173" s="33">
        <f t="shared" ref="L173:M173" si="167">H173-5</f>
        <v>140</v>
      </c>
      <c r="M173" s="33">
        <f t="shared" si="167"/>
        <v>74</v>
      </c>
      <c r="N173" s="28">
        <f t="shared" si="136"/>
        <v>1.036</v>
      </c>
    </row>
    <row r="174" spans="1:15" ht="14.25" customHeight="1" x14ac:dyDescent="0.2">
      <c r="A174" s="3"/>
      <c r="B174" s="31">
        <v>154</v>
      </c>
      <c r="C174" s="27">
        <v>49</v>
      </c>
      <c r="D174" s="27">
        <v>29</v>
      </c>
      <c r="E174" s="28">
        <f t="shared" si="141"/>
        <v>9.8680555555555554</v>
      </c>
      <c r="F174" s="3"/>
      <c r="G174" s="31">
        <v>154</v>
      </c>
      <c r="H174" s="27">
        <f t="shared" si="142"/>
        <v>138</v>
      </c>
      <c r="I174" s="27">
        <f t="shared" si="143"/>
        <v>79</v>
      </c>
      <c r="J174" s="28">
        <f t="shared" si="138"/>
        <v>1.0902000000000001</v>
      </c>
      <c r="K174" s="32"/>
      <c r="L174" s="33">
        <f t="shared" ref="L174:M174" si="168">H174-5</f>
        <v>133</v>
      </c>
      <c r="M174" s="33">
        <f t="shared" si="168"/>
        <v>74</v>
      </c>
      <c r="N174" s="28">
        <f t="shared" si="136"/>
        <v>0.98419999999999996</v>
      </c>
      <c r="O174" s="47"/>
    </row>
    <row r="175" spans="1:15" ht="14.25" customHeight="1" x14ac:dyDescent="0.2">
      <c r="A175" s="3"/>
      <c r="B175" s="26">
        <v>155</v>
      </c>
      <c r="C175" s="27">
        <v>65</v>
      </c>
      <c r="D175" s="27">
        <v>29</v>
      </c>
      <c r="E175" s="28">
        <f t="shared" si="141"/>
        <v>13.090277777777779</v>
      </c>
      <c r="F175" s="3"/>
      <c r="G175" s="26">
        <v>155</v>
      </c>
      <c r="H175" s="27">
        <f t="shared" si="142"/>
        <v>178</v>
      </c>
      <c r="I175" s="27">
        <f t="shared" si="143"/>
        <v>79</v>
      </c>
      <c r="J175" s="28">
        <f t="shared" si="138"/>
        <v>1.4061999999999999</v>
      </c>
      <c r="K175" s="32"/>
      <c r="L175" s="33">
        <f t="shared" ref="L175:M175" si="169">H175-5</f>
        <v>173</v>
      </c>
      <c r="M175" s="33">
        <f t="shared" si="169"/>
        <v>74</v>
      </c>
      <c r="N175" s="28">
        <f t="shared" si="136"/>
        <v>1.2802</v>
      </c>
      <c r="O175" s="47"/>
    </row>
    <row r="176" spans="1:15" ht="14.25" customHeight="1" x14ac:dyDescent="0.2">
      <c r="A176" s="3"/>
      <c r="B176" s="31">
        <v>156</v>
      </c>
      <c r="C176" s="27">
        <v>61</v>
      </c>
      <c r="D176" s="27">
        <v>29</v>
      </c>
      <c r="E176" s="28">
        <f t="shared" si="141"/>
        <v>12.284722222222221</v>
      </c>
      <c r="F176" s="3"/>
      <c r="G176" s="31">
        <v>156</v>
      </c>
      <c r="H176" s="27">
        <f t="shared" si="142"/>
        <v>168</v>
      </c>
      <c r="I176" s="27">
        <f t="shared" si="143"/>
        <v>79</v>
      </c>
      <c r="J176" s="28">
        <f t="shared" si="138"/>
        <v>1.3271999999999999</v>
      </c>
      <c r="K176" s="32"/>
      <c r="L176" s="33">
        <f t="shared" ref="L176:M176" si="170">H176-5</f>
        <v>163</v>
      </c>
      <c r="M176" s="33">
        <f t="shared" si="170"/>
        <v>74</v>
      </c>
      <c r="N176" s="28">
        <f t="shared" si="136"/>
        <v>1.2061999999999999</v>
      </c>
    </row>
    <row r="177" spans="1:15" ht="14.25" customHeight="1" x14ac:dyDescent="0.2">
      <c r="A177" s="3"/>
      <c r="B177" s="26">
        <v>157</v>
      </c>
      <c r="C177" s="27">
        <v>63</v>
      </c>
      <c r="D177" s="27">
        <v>29</v>
      </c>
      <c r="E177" s="28">
        <f t="shared" si="141"/>
        <v>12.6875</v>
      </c>
      <c r="F177" s="3"/>
      <c r="G177" s="26">
        <v>157</v>
      </c>
      <c r="H177" s="27">
        <f t="shared" si="142"/>
        <v>173</v>
      </c>
      <c r="I177" s="27">
        <f t="shared" si="143"/>
        <v>79</v>
      </c>
      <c r="J177" s="28">
        <f t="shared" si="138"/>
        <v>1.3667</v>
      </c>
      <c r="K177" s="32"/>
      <c r="L177" s="33">
        <f t="shared" ref="L177:M177" si="171">H177-5</f>
        <v>168</v>
      </c>
      <c r="M177" s="33">
        <f t="shared" si="171"/>
        <v>74</v>
      </c>
      <c r="N177" s="28">
        <f t="shared" si="136"/>
        <v>1.2432000000000001</v>
      </c>
      <c r="O177" s="47"/>
    </row>
    <row r="178" spans="1:15" ht="14.25" customHeight="1" x14ac:dyDescent="0.2">
      <c r="A178" s="3"/>
      <c r="B178" s="31">
        <v>158</v>
      </c>
      <c r="C178" s="27">
        <v>65</v>
      </c>
      <c r="D178" s="27">
        <v>29</v>
      </c>
      <c r="E178" s="28">
        <f t="shared" si="141"/>
        <v>13.090277777777779</v>
      </c>
      <c r="F178" s="3"/>
      <c r="G178" s="31">
        <v>158</v>
      </c>
      <c r="H178" s="27">
        <f t="shared" si="142"/>
        <v>178</v>
      </c>
      <c r="I178" s="27">
        <f t="shared" si="143"/>
        <v>79</v>
      </c>
      <c r="J178" s="28">
        <f t="shared" si="138"/>
        <v>1.4061999999999999</v>
      </c>
      <c r="K178" s="32"/>
      <c r="L178" s="33">
        <f t="shared" ref="L178:M178" si="172">H178-5</f>
        <v>173</v>
      </c>
      <c r="M178" s="33">
        <f t="shared" si="172"/>
        <v>74</v>
      </c>
      <c r="N178" s="28">
        <f t="shared" si="136"/>
        <v>1.2802</v>
      </c>
    </row>
    <row r="179" spans="1:15" ht="14.25" customHeight="1" x14ac:dyDescent="0.2">
      <c r="A179" s="3"/>
      <c r="B179" s="26">
        <v>159</v>
      </c>
      <c r="C179" s="27">
        <v>59</v>
      </c>
      <c r="D179" s="27">
        <v>29</v>
      </c>
      <c r="E179" s="28">
        <f t="shared" si="141"/>
        <v>11.881944444444445</v>
      </c>
      <c r="F179" s="3"/>
      <c r="G179" s="26">
        <v>159</v>
      </c>
      <c r="H179" s="27">
        <f t="shared" si="142"/>
        <v>163</v>
      </c>
      <c r="I179" s="27">
        <f t="shared" si="143"/>
        <v>79</v>
      </c>
      <c r="J179" s="28">
        <f t="shared" si="138"/>
        <v>1.2877000000000001</v>
      </c>
      <c r="K179" s="32"/>
      <c r="L179" s="33">
        <f t="shared" ref="L179:M179" si="173">H179-5</f>
        <v>158</v>
      </c>
      <c r="M179" s="33">
        <f t="shared" si="173"/>
        <v>74</v>
      </c>
      <c r="N179" s="28">
        <f t="shared" si="136"/>
        <v>1.1692</v>
      </c>
    </row>
    <row r="180" spans="1:15" ht="14.25" customHeight="1" x14ac:dyDescent="0.2">
      <c r="A180" s="3"/>
      <c r="B180" s="31">
        <v>160</v>
      </c>
      <c r="C180" s="27">
        <v>47</v>
      </c>
      <c r="D180" s="27">
        <v>29</v>
      </c>
      <c r="E180" s="28">
        <f t="shared" si="141"/>
        <v>9.4652777777777786</v>
      </c>
      <c r="F180" s="3"/>
      <c r="G180" s="31">
        <v>160</v>
      </c>
      <c r="H180" s="27">
        <f t="shared" si="142"/>
        <v>133</v>
      </c>
      <c r="I180" s="27">
        <f t="shared" si="143"/>
        <v>79</v>
      </c>
      <c r="J180" s="28">
        <f t="shared" si="138"/>
        <v>1.0507</v>
      </c>
      <c r="K180" s="32"/>
      <c r="L180" s="33">
        <f t="shared" ref="L180:M180" si="174">H180-5</f>
        <v>128</v>
      </c>
      <c r="M180" s="33">
        <f t="shared" si="174"/>
        <v>74</v>
      </c>
      <c r="N180" s="28">
        <f t="shared" si="136"/>
        <v>0.94720000000000004</v>
      </c>
    </row>
    <row r="181" spans="1:15" ht="14.25" customHeight="1" x14ac:dyDescent="0.2">
      <c r="A181" s="3"/>
      <c r="B181" s="26">
        <v>161</v>
      </c>
      <c r="C181" s="27">
        <v>67</v>
      </c>
      <c r="D181" s="27">
        <v>29</v>
      </c>
      <c r="E181" s="28">
        <f t="shared" si="141"/>
        <v>13.493055555555555</v>
      </c>
      <c r="F181" s="3"/>
      <c r="G181" s="26">
        <v>161</v>
      </c>
      <c r="H181" s="27">
        <f t="shared" si="142"/>
        <v>183</v>
      </c>
      <c r="I181" s="27">
        <f t="shared" si="143"/>
        <v>79</v>
      </c>
      <c r="J181" s="28">
        <f t="shared" si="138"/>
        <v>1.4457</v>
      </c>
      <c r="K181" s="32"/>
      <c r="L181" s="33">
        <f t="shared" ref="L181:M181" si="175">H181-5</f>
        <v>178</v>
      </c>
      <c r="M181" s="33">
        <f t="shared" si="175"/>
        <v>74</v>
      </c>
      <c r="N181" s="28">
        <f t="shared" si="136"/>
        <v>1.3171999999999999</v>
      </c>
    </row>
    <row r="182" spans="1:15" ht="14.25" customHeight="1" x14ac:dyDescent="0.2">
      <c r="A182" s="3"/>
      <c r="B182" s="31">
        <v>162</v>
      </c>
      <c r="C182" s="27">
        <v>68</v>
      </c>
      <c r="D182" s="27">
        <v>30</v>
      </c>
      <c r="E182" s="28">
        <f t="shared" si="141"/>
        <v>14.166666666666666</v>
      </c>
      <c r="F182" s="3"/>
      <c r="G182" s="31">
        <v>162</v>
      </c>
      <c r="H182" s="27">
        <f t="shared" si="142"/>
        <v>186</v>
      </c>
      <c r="I182" s="27">
        <f t="shared" si="143"/>
        <v>82</v>
      </c>
      <c r="J182" s="28">
        <f t="shared" si="138"/>
        <v>1.5251999999999999</v>
      </c>
      <c r="K182" s="32"/>
      <c r="L182" s="33">
        <f t="shared" ref="L182:M182" si="176">H182-5</f>
        <v>181</v>
      </c>
      <c r="M182" s="33">
        <f t="shared" si="176"/>
        <v>77</v>
      </c>
      <c r="N182" s="28">
        <f t="shared" si="136"/>
        <v>1.3936999999999999</v>
      </c>
    </row>
    <row r="183" spans="1:15" ht="14.25" customHeight="1" x14ac:dyDescent="0.2">
      <c r="A183" s="3"/>
      <c r="B183" s="26">
        <v>163</v>
      </c>
      <c r="C183" s="27">
        <v>62</v>
      </c>
      <c r="D183" s="27">
        <v>30</v>
      </c>
      <c r="E183" s="28">
        <f t="shared" si="141"/>
        <v>12.916666666666666</v>
      </c>
      <c r="F183" s="3"/>
      <c r="G183" s="26">
        <v>163</v>
      </c>
      <c r="H183" s="27">
        <f t="shared" si="142"/>
        <v>171</v>
      </c>
      <c r="I183" s="27">
        <f t="shared" si="143"/>
        <v>82</v>
      </c>
      <c r="J183" s="28">
        <f t="shared" si="138"/>
        <v>1.4021999999999999</v>
      </c>
      <c r="K183" s="32"/>
      <c r="L183" s="33">
        <f t="shared" ref="L183:M183" si="177">H183-5</f>
        <v>166</v>
      </c>
      <c r="M183" s="33">
        <f t="shared" si="177"/>
        <v>77</v>
      </c>
      <c r="N183" s="28">
        <f t="shared" si="136"/>
        <v>1.2782</v>
      </c>
    </row>
    <row r="184" spans="1:15" ht="14.25" customHeight="1" x14ac:dyDescent="0.2">
      <c r="A184" s="3"/>
      <c r="B184" s="31">
        <v>164</v>
      </c>
      <c r="C184" s="27">
        <v>68</v>
      </c>
      <c r="D184" s="27">
        <v>30</v>
      </c>
      <c r="E184" s="28">
        <f t="shared" si="141"/>
        <v>14.166666666666666</v>
      </c>
      <c r="F184" s="3"/>
      <c r="G184" s="31">
        <v>164</v>
      </c>
      <c r="H184" s="27">
        <f t="shared" si="142"/>
        <v>186</v>
      </c>
      <c r="I184" s="27">
        <f t="shared" si="143"/>
        <v>82</v>
      </c>
      <c r="J184" s="28">
        <f t="shared" si="138"/>
        <v>1.5251999999999999</v>
      </c>
      <c r="K184" s="32"/>
      <c r="L184" s="33">
        <f t="shared" ref="L184:M184" si="178">H184-5</f>
        <v>181</v>
      </c>
      <c r="M184" s="33">
        <f t="shared" si="178"/>
        <v>77</v>
      </c>
      <c r="N184" s="28">
        <f t="shared" si="136"/>
        <v>1.3936999999999999</v>
      </c>
    </row>
    <row r="185" spans="1:15" ht="14.25" customHeight="1" x14ac:dyDescent="0.2">
      <c r="A185" s="3"/>
      <c r="B185" s="26">
        <v>165</v>
      </c>
      <c r="C185" s="27">
        <v>69</v>
      </c>
      <c r="D185" s="27">
        <v>30</v>
      </c>
      <c r="E185" s="28">
        <f t="shared" si="141"/>
        <v>14.375</v>
      </c>
      <c r="F185" s="3"/>
      <c r="G185" s="26">
        <v>165</v>
      </c>
      <c r="H185" s="27">
        <f t="shared" si="142"/>
        <v>188</v>
      </c>
      <c r="I185" s="27">
        <f t="shared" si="143"/>
        <v>82</v>
      </c>
      <c r="J185" s="28">
        <f t="shared" si="138"/>
        <v>1.5416000000000001</v>
      </c>
      <c r="K185" s="32"/>
      <c r="L185" s="33">
        <f t="shared" ref="L185:M185" si="179">H185-5</f>
        <v>183</v>
      </c>
      <c r="M185" s="33">
        <f t="shared" si="179"/>
        <v>77</v>
      </c>
      <c r="N185" s="28">
        <f t="shared" si="136"/>
        <v>1.4091</v>
      </c>
      <c r="O185" s="47"/>
    </row>
    <row r="186" spans="1:15" ht="14.25" customHeight="1" x14ac:dyDescent="0.2">
      <c r="A186" s="3"/>
      <c r="B186" s="31">
        <v>166</v>
      </c>
      <c r="C186" s="27">
        <v>55</v>
      </c>
      <c r="D186" s="27">
        <v>23</v>
      </c>
      <c r="E186" s="28">
        <f t="shared" si="141"/>
        <v>8.7847222222222214</v>
      </c>
      <c r="F186" s="3"/>
      <c r="G186" s="31">
        <v>166</v>
      </c>
      <c r="H186" s="27">
        <f t="shared" si="142"/>
        <v>153</v>
      </c>
      <c r="I186" s="27">
        <f t="shared" si="143"/>
        <v>64</v>
      </c>
      <c r="J186" s="28">
        <f t="shared" si="138"/>
        <v>0.97919999999999996</v>
      </c>
      <c r="K186" s="32"/>
      <c r="L186" s="33">
        <f t="shared" ref="L186:M186" si="180">H186-5</f>
        <v>148</v>
      </c>
      <c r="M186" s="33">
        <f t="shared" si="180"/>
        <v>59</v>
      </c>
      <c r="N186" s="28">
        <f t="shared" si="136"/>
        <v>0.87319999999999998</v>
      </c>
      <c r="O186" s="47"/>
    </row>
    <row r="187" spans="1:15" ht="14.25" customHeight="1" x14ac:dyDescent="0.2">
      <c r="A187" s="3"/>
      <c r="B187" s="26">
        <v>167</v>
      </c>
      <c r="C187" s="27">
        <v>36</v>
      </c>
      <c r="D187" s="27">
        <v>23</v>
      </c>
      <c r="E187" s="28">
        <f t="shared" si="141"/>
        <v>5.75</v>
      </c>
      <c r="F187" s="3"/>
      <c r="G187" s="26">
        <v>167</v>
      </c>
      <c r="H187" s="27">
        <f t="shared" si="142"/>
        <v>105</v>
      </c>
      <c r="I187" s="27">
        <f t="shared" si="143"/>
        <v>64</v>
      </c>
      <c r="J187" s="28">
        <f t="shared" si="138"/>
        <v>0.67200000000000004</v>
      </c>
      <c r="K187" s="32"/>
      <c r="L187" s="33">
        <f t="shared" ref="L187:M187" si="181">H187-5</f>
        <v>100</v>
      </c>
      <c r="M187" s="33">
        <f t="shared" si="181"/>
        <v>59</v>
      </c>
      <c r="N187" s="28">
        <f t="shared" si="136"/>
        <v>0.59</v>
      </c>
    </row>
    <row r="188" spans="1:15" ht="14.25" customHeight="1" x14ac:dyDescent="0.2">
      <c r="A188" s="3"/>
      <c r="B188" s="31">
        <v>168</v>
      </c>
      <c r="C188" s="27">
        <v>64</v>
      </c>
      <c r="D188" s="27">
        <v>24</v>
      </c>
      <c r="E188" s="28">
        <f t="shared" si="141"/>
        <v>10.666666666666666</v>
      </c>
      <c r="F188" s="3"/>
      <c r="G188" s="31">
        <v>168</v>
      </c>
      <c r="H188" s="27">
        <f t="shared" si="142"/>
        <v>176</v>
      </c>
      <c r="I188" s="27">
        <f t="shared" si="143"/>
        <v>67</v>
      </c>
      <c r="J188" s="28">
        <f t="shared" si="138"/>
        <v>1.1792</v>
      </c>
      <c r="K188" s="32"/>
      <c r="L188" s="33">
        <f t="shared" ref="L188:M188" si="182">H188-5</f>
        <v>171</v>
      </c>
      <c r="M188" s="33">
        <f t="shared" si="182"/>
        <v>62</v>
      </c>
      <c r="N188" s="28">
        <f t="shared" si="136"/>
        <v>1.0602</v>
      </c>
      <c r="O188" s="47"/>
    </row>
    <row r="189" spans="1:15" ht="14.25" customHeight="1" x14ac:dyDescent="0.2">
      <c r="A189" s="3"/>
      <c r="B189" s="26">
        <v>169</v>
      </c>
      <c r="C189" s="27">
        <v>68</v>
      </c>
      <c r="D189" s="27">
        <v>30</v>
      </c>
      <c r="E189" s="28">
        <f t="shared" si="141"/>
        <v>14.166666666666666</v>
      </c>
      <c r="F189" s="3"/>
      <c r="G189" s="26">
        <v>169</v>
      </c>
      <c r="H189" s="27">
        <f t="shared" si="142"/>
        <v>186</v>
      </c>
      <c r="I189" s="27">
        <f t="shared" si="143"/>
        <v>82</v>
      </c>
      <c r="J189" s="28">
        <f t="shared" si="138"/>
        <v>1.5251999999999999</v>
      </c>
      <c r="K189" s="32"/>
      <c r="L189" s="33">
        <f t="shared" ref="L189:M189" si="183">H189-5</f>
        <v>181</v>
      </c>
      <c r="M189" s="33">
        <f t="shared" si="183"/>
        <v>77</v>
      </c>
      <c r="N189" s="28">
        <f t="shared" si="136"/>
        <v>1.3936999999999999</v>
      </c>
      <c r="O189" s="47"/>
    </row>
    <row r="190" spans="1:15" ht="14.25" customHeight="1" x14ac:dyDescent="0.2">
      <c r="A190" s="3"/>
      <c r="B190" s="31">
        <v>170</v>
      </c>
      <c r="C190" s="27">
        <v>68</v>
      </c>
      <c r="D190" s="27">
        <v>30</v>
      </c>
      <c r="E190" s="28">
        <f t="shared" si="141"/>
        <v>14.166666666666666</v>
      </c>
      <c r="F190" s="3"/>
      <c r="G190" s="31">
        <v>170</v>
      </c>
      <c r="H190" s="27">
        <f t="shared" si="142"/>
        <v>186</v>
      </c>
      <c r="I190" s="27">
        <f t="shared" si="143"/>
        <v>82</v>
      </c>
      <c r="J190" s="28">
        <f t="shared" si="138"/>
        <v>1.5251999999999999</v>
      </c>
      <c r="K190" s="32"/>
      <c r="L190" s="33">
        <f t="shared" ref="L190:M190" si="184">H190-5</f>
        <v>181</v>
      </c>
      <c r="M190" s="33">
        <f t="shared" si="184"/>
        <v>77</v>
      </c>
      <c r="N190" s="28">
        <f t="shared" si="136"/>
        <v>1.3936999999999999</v>
      </c>
      <c r="O190" s="47"/>
    </row>
    <row r="191" spans="1:15" ht="14.25" customHeight="1" x14ac:dyDescent="0.2">
      <c r="A191" s="3"/>
      <c r="B191" s="26">
        <v>171</v>
      </c>
      <c r="C191" s="27">
        <v>68</v>
      </c>
      <c r="D191" s="27">
        <v>30</v>
      </c>
      <c r="E191" s="28">
        <f t="shared" si="141"/>
        <v>14.166666666666666</v>
      </c>
      <c r="F191" s="3"/>
      <c r="G191" s="26">
        <v>171</v>
      </c>
      <c r="H191" s="27">
        <f t="shared" si="142"/>
        <v>186</v>
      </c>
      <c r="I191" s="27">
        <f t="shared" si="143"/>
        <v>82</v>
      </c>
      <c r="J191" s="28">
        <f t="shared" si="138"/>
        <v>1.5251999999999999</v>
      </c>
      <c r="K191" s="32"/>
      <c r="L191" s="33">
        <f t="shared" ref="L191:M191" si="185">H191-5</f>
        <v>181</v>
      </c>
      <c r="M191" s="33">
        <f t="shared" si="185"/>
        <v>77</v>
      </c>
      <c r="N191" s="28">
        <f t="shared" si="136"/>
        <v>1.3936999999999999</v>
      </c>
      <c r="O191" s="47"/>
    </row>
    <row r="192" spans="1:15" ht="14.25" customHeight="1" x14ac:dyDescent="0.2">
      <c r="B192" s="31">
        <v>172</v>
      </c>
      <c r="C192" s="27">
        <v>54</v>
      </c>
      <c r="D192" s="27">
        <v>27</v>
      </c>
      <c r="E192" s="28">
        <f t="shared" si="141"/>
        <v>10.125</v>
      </c>
      <c r="G192" s="31">
        <v>172</v>
      </c>
      <c r="H192" s="27">
        <f t="shared" si="142"/>
        <v>150</v>
      </c>
      <c r="I192" s="27">
        <f t="shared" si="143"/>
        <v>74</v>
      </c>
      <c r="J192" s="28">
        <f t="shared" si="138"/>
        <v>1.1100000000000001</v>
      </c>
      <c r="K192" s="32"/>
      <c r="L192" s="33">
        <f t="shared" ref="L192:M192" si="186">H192-5</f>
        <v>145</v>
      </c>
      <c r="M192" s="33">
        <f t="shared" si="186"/>
        <v>69</v>
      </c>
      <c r="N192" s="28">
        <f t="shared" si="136"/>
        <v>1.0004999999999999</v>
      </c>
    </row>
    <row r="193" spans="2:15" ht="14.25" customHeight="1" x14ac:dyDescent="0.2">
      <c r="B193" s="26">
        <v>173</v>
      </c>
      <c r="C193" s="27">
        <v>63</v>
      </c>
      <c r="D193" s="27">
        <v>27</v>
      </c>
      <c r="E193" s="28">
        <f t="shared" si="141"/>
        <v>11.8125</v>
      </c>
      <c r="G193" s="26">
        <v>173</v>
      </c>
      <c r="H193" s="27">
        <f t="shared" si="142"/>
        <v>173</v>
      </c>
      <c r="I193" s="27">
        <f t="shared" si="143"/>
        <v>74</v>
      </c>
      <c r="J193" s="28">
        <f t="shared" si="138"/>
        <v>1.2802</v>
      </c>
      <c r="K193" s="32"/>
      <c r="L193" s="33">
        <f t="shared" ref="L193:M193" si="187">H193-5</f>
        <v>168</v>
      </c>
      <c r="M193" s="33">
        <f t="shared" si="187"/>
        <v>69</v>
      </c>
      <c r="N193" s="28">
        <f t="shared" si="136"/>
        <v>1.1592</v>
      </c>
      <c r="O193" s="47" t="s">
        <v>24</v>
      </c>
    </row>
    <row r="194" spans="2:15" ht="14.25" customHeight="1" x14ac:dyDescent="0.2">
      <c r="B194" s="31">
        <v>174</v>
      </c>
      <c r="C194" s="27">
        <v>54</v>
      </c>
      <c r="D194" s="27">
        <v>27</v>
      </c>
      <c r="E194" s="28">
        <f t="shared" si="141"/>
        <v>10.125</v>
      </c>
      <c r="G194" s="31">
        <v>174</v>
      </c>
      <c r="H194" s="27">
        <f t="shared" si="142"/>
        <v>150</v>
      </c>
      <c r="I194" s="27">
        <f t="shared" si="143"/>
        <v>74</v>
      </c>
      <c r="J194" s="28">
        <f t="shared" si="138"/>
        <v>1.1100000000000001</v>
      </c>
      <c r="K194" s="32"/>
      <c r="L194" s="33">
        <f t="shared" ref="L194:M194" si="188">H194-5</f>
        <v>145</v>
      </c>
      <c r="M194" s="33">
        <f t="shared" si="188"/>
        <v>69</v>
      </c>
      <c r="N194" s="28">
        <f t="shared" si="136"/>
        <v>1.0004999999999999</v>
      </c>
      <c r="O194" s="47" t="s">
        <v>24</v>
      </c>
    </row>
    <row r="195" spans="2:15" ht="14.25" customHeight="1" x14ac:dyDescent="0.2">
      <c r="B195" s="26">
        <v>175</v>
      </c>
      <c r="C195" s="27">
        <v>57</v>
      </c>
      <c r="D195" s="27">
        <v>27</v>
      </c>
      <c r="E195" s="28">
        <f t="shared" si="141"/>
        <v>10.6875</v>
      </c>
      <c r="G195" s="26">
        <v>175</v>
      </c>
      <c r="H195" s="27">
        <f t="shared" si="142"/>
        <v>158</v>
      </c>
      <c r="I195" s="27">
        <f t="shared" si="143"/>
        <v>74</v>
      </c>
      <c r="J195" s="28">
        <f t="shared" si="138"/>
        <v>1.1692</v>
      </c>
      <c r="K195" s="32"/>
      <c r="L195" s="33">
        <f t="shared" ref="L195:M195" si="189">H195-5</f>
        <v>153</v>
      </c>
      <c r="M195" s="33">
        <f t="shared" si="189"/>
        <v>69</v>
      </c>
      <c r="N195" s="28">
        <f t="shared" si="136"/>
        <v>1.0557000000000001</v>
      </c>
      <c r="O195" s="47" t="s">
        <v>24</v>
      </c>
    </row>
    <row r="196" spans="2:15" ht="14.25" customHeight="1" x14ac:dyDescent="0.2">
      <c r="B196" s="31">
        <v>176</v>
      </c>
      <c r="C196" s="27">
        <v>65</v>
      </c>
      <c r="D196" s="27">
        <v>27</v>
      </c>
      <c r="E196" s="28">
        <f t="shared" si="141"/>
        <v>12.1875</v>
      </c>
      <c r="G196" s="31">
        <v>176</v>
      </c>
      <c r="H196" s="27">
        <f t="shared" si="142"/>
        <v>178</v>
      </c>
      <c r="I196" s="27">
        <f t="shared" si="143"/>
        <v>74</v>
      </c>
      <c r="J196" s="28">
        <f t="shared" si="138"/>
        <v>1.3171999999999999</v>
      </c>
      <c r="K196" s="32"/>
      <c r="L196" s="33">
        <f t="shared" ref="L196:M196" si="190">H196-5</f>
        <v>173</v>
      </c>
      <c r="M196" s="33">
        <f t="shared" si="190"/>
        <v>69</v>
      </c>
      <c r="N196" s="28">
        <f t="shared" si="136"/>
        <v>1.1937</v>
      </c>
      <c r="O196" s="47" t="s">
        <v>24</v>
      </c>
    </row>
    <row r="197" spans="2:15" ht="14.25" customHeight="1" x14ac:dyDescent="0.2">
      <c r="B197" s="26">
        <v>177</v>
      </c>
      <c r="C197" s="27">
        <v>67</v>
      </c>
      <c r="D197" s="27">
        <v>27</v>
      </c>
      <c r="E197" s="28">
        <f t="shared" si="141"/>
        <v>12.5625</v>
      </c>
      <c r="G197" s="26">
        <v>177</v>
      </c>
      <c r="H197" s="27">
        <f t="shared" si="142"/>
        <v>183</v>
      </c>
      <c r="I197" s="27">
        <f t="shared" si="143"/>
        <v>74</v>
      </c>
      <c r="J197" s="28">
        <f t="shared" si="138"/>
        <v>1.3542000000000001</v>
      </c>
      <c r="K197" s="32"/>
      <c r="L197" s="33">
        <f t="shared" ref="L197:M197" si="191">H197-5</f>
        <v>178</v>
      </c>
      <c r="M197" s="33">
        <f t="shared" si="191"/>
        <v>69</v>
      </c>
      <c r="N197" s="28">
        <f t="shared" si="136"/>
        <v>1.2282</v>
      </c>
      <c r="O197" s="47" t="s">
        <v>24</v>
      </c>
    </row>
    <row r="198" spans="2:15" ht="14.25" customHeight="1" x14ac:dyDescent="0.2">
      <c r="B198" s="31">
        <v>178</v>
      </c>
      <c r="C198" s="27">
        <v>67</v>
      </c>
      <c r="D198" s="27">
        <v>27</v>
      </c>
      <c r="E198" s="28">
        <f t="shared" si="141"/>
        <v>12.5625</v>
      </c>
      <c r="G198" s="31">
        <v>178</v>
      </c>
      <c r="H198" s="27">
        <f t="shared" si="142"/>
        <v>183</v>
      </c>
      <c r="I198" s="27">
        <f t="shared" si="143"/>
        <v>74</v>
      </c>
      <c r="J198" s="28">
        <f t="shared" si="138"/>
        <v>1.3542000000000001</v>
      </c>
      <c r="K198" s="32"/>
      <c r="L198" s="33">
        <f t="shared" ref="L198:M198" si="192">H198-5</f>
        <v>178</v>
      </c>
      <c r="M198" s="33">
        <f t="shared" si="192"/>
        <v>69</v>
      </c>
      <c r="N198" s="28">
        <f t="shared" si="136"/>
        <v>1.2282</v>
      </c>
      <c r="O198" s="47" t="s">
        <v>24</v>
      </c>
    </row>
    <row r="199" spans="2:15" ht="14.25" customHeight="1" x14ac:dyDescent="0.2">
      <c r="B199" s="26">
        <v>179</v>
      </c>
      <c r="C199" s="27">
        <v>65</v>
      </c>
      <c r="D199" s="27">
        <v>27</v>
      </c>
      <c r="E199" s="28">
        <f t="shared" si="141"/>
        <v>12.1875</v>
      </c>
      <c r="G199" s="26">
        <v>179</v>
      </c>
      <c r="H199" s="27">
        <f t="shared" si="142"/>
        <v>178</v>
      </c>
      <c r="I199" s="27">
        <f t="shared" si="143"/>
        <v>74</v>
      </c>
      <c r="J199" s="28">
        <f t="shared" si="138"/>
        <v>1.3171999999999999</v>
      </c>
      <c r="K199" s="32"/>
      <c r="L199" s="33">
        <f t="shared" ref="L199:M199" si="193">H199-5</f>
        <v>173</v>
      </c>
      <c r="M199" s="33">
        <f t="shared" si="193"/>
        <v>69</v>
      </c>
      <c r="N199" s="28">
        <f t="shared" si="136"/>
        <v>1.1937</v>
      </c>
      <c r="O199" s="47" t="s">
        <v>24</v>
      </c>
    </row>
    <row r="200" spans="2:15" ht="14.25" customHeight="1" x14ac:dyDescent="0.2">
      <c r="B200" s="31">
        <v>180</v>
      </c>
      <c r="C200" s="27">
        <v>65</v>
      </c>
      <c r="D200" s="27">
        <v>27</v>
      </c>
      <c r="E200" s="28">
        <f t="shared" si="141"/>
        <v>12.1875</v>
      </c>
      <c r="G200" s="31">
        <v>180</v>
      </c>
      <c r="H200" s="27">
        <f t="shared" si="142"/>
        <v>178</v>
      </c>
      <c r="I200" s="27">
        <f t="shared" si="143"/>
        <v>74</v>
      </c>
      <c r="J200" s="28">
        <f t="shared" si="138"/>
        <v>1.3171999999999999</v>
      </c>
      <c r="K200" s="32"/>
      <c r="L200" s="33">
        <f t="shared" ref="L200:M200" si="194">H200-5</f>
        <v>173</v>
      </c>
      <c r="M200" s="33">
        <f t="shared" si="194"/>
        <v>69</v>
      </c>
      <c r="N200" s="28">
        <f t="shared" si="136"/>
        <v>1.1937</v>
      </c>
      <c r="O200" s="47" t="s">
        <v>24</v>
      </c>
    </row>
    <row r="201" spans="2:15" ht="14.25" customHeight="1" x14ac:dyDescent="0.2">
      <c r="B201" s="26">
        <v>181</v>
      </c>
      <c r="C201" s="27">
        <v>66</v>
      </c>
      <c r="D201" s="27">
        <v>27</v>
      </c>
      <c r="E201" s="28">
        <f t="shared" si="141"/>
        <v>12.375</v>
      </c>
      <c r="G201" s="26">
        <v>181</v>
      </c>
      <c r="H201" s="27">
        <f t="shared" si="142"/>
        <v>181</v>
      </c>
      <c r="I201" s="27">
        <f t="shared" si="143"/>
        <v>74</v>
      </c>
      <c r="J201" s="28">
        <f t="shared" si="138"/>
        <v>1.3393999999999999</v>
      </c>
      <c r="K201" s="32"/>
      <c r="L201" s="33">
        <f t="shared" ref="L201:M201" si="195">H201-5</f>
        <v>176</v>
      </c>
      <c r="M201" s="33">
        <f t="shared" si="195"/>
        <v>69</v>
      </c>
      <c r="N201" s="28">
        <f t="shared" si="136"/>
        <v>1.2143999999999999</v>
      </c>
      <c r="O201" s="47" t="s">
        <v>24</v>
      </c>
    </row>
    <row r="202" spans="2:15" ht="14.25" customHeight="1" x14ac:dyDescent="0.2">
      <c r="B202" s="31">
        <v>182</v>
      </c>
      <c r="C202" s="27">
        <v>66</v>
      </c>
      <c r="D202" s="27">
        <v>27</v>
      </c>
      <c r="E202" s="28">
        <f t="shared" si="141"/>
        <v>12.375</v>
      </c>
      <c r="G202" s="31">
        <v>182</v>
      </c>
      <c r="H202" s="27">
        <f t="shared" si="142"/>
        <v>181</v>
      </c>
      <c r="I202" s="27">
        <f t="shared" si="143"/>
        <v>74</v>
      </c>
      <c r="J202" s="28">
        <f t="shared" si="138"/>
        <v>1.3393999999999999</v>
      </c>
      <c r="K202" s="32"/>
      <c r="L202" s="33">
        <f t="shared" ref="L202:M202" si="196">H202-5</f>
        <v>176</v>
      </c>
      <c r="M202" s="33">
        <f t="shared" si="196"/>
        <v>69</v>
      </c>
      <c r="N202" s="28">
        <f t="shared" si="136"/>
        <v>1.2143999999999999</v>
      </c>
      <c r="O202" s="47" t="s">
        <v>24</v>
      </c>
    </row>
    <row r="203" spans="2:15" ht="14.25" customHeight="1" x14ac:dyDescent="0.2">
      <c r="B203" s="26">
        <v>183</v>
      </c>
      <c r="C203" s="27">
        <v>67</v>
      </c>
      <c r="D203" s="27">
        <v>27</v>
      </c>
      <c r="E203" s="28">
        <f t="shared" si="141"/>
        <v>12.5625</v>
      </c>
      <c r="G203" s="26">
        <v>183</v>
      </c>
      <c r="H203" s="27">
        <f t="shared" si="142"/>
        <v>183</v>
      </c>
      <c r="I203" s="27">
        <f t="shared" si="143"/>
        <v>74</v>
      </c>
      <c r="J203" s="28">
        <f t="shared" si="138"/>
        <v>1.3542000000000001</v>
      </c>
      <c r="K203" s="32"/>
      <c r="L203" s="33">
        <f t="shared" ref="L203:M203" si="197">H203-5</f>
        <v>178</v>
      </c>
      <c r="M203" s="33">
        <f t="shared" si="197"/>
        <v>69</v>
      </c>
      <c r="N203" s="28">
        <f t="shared" si="136"/>
        <v>1.2282</v>
      </c>
      <c r="O203" s="47" t="s">
        <v>24</v>
      </c>
    </row>
    <row r="204" spans="2:15" ht="14.25" customHeight="1" x14ac:dyDescent="0.2">
      <c r="B204" s="31">
        <v>184</v>
      </c>
      <c r="C204" s="27">
        <v>68</v>
      </c>
      <c r="D204" s="27">
        <v>24</v>
      </c>
      <c r="E204" s="28">
        <f t="shared" si="141"/>
        <v>11.333333333333334</v>
      </c>
      <c r="G204" s="31">
        <v>184</v>
      </c>
      <c r="H204" s="27">
        <f t="shared" si="142"/>
        <v>186</v>
      </c>
      <c r="I204" s="27">
        <f t="shared" si="143"/>
        <v>67</v>
      </c>
      <c r="J204" s="28">
        <f t="shared" si="138"/>
        <v>1.2462</v>
      </c>
      <c r="K204" s="32"/>
      <c r="L204" s="33">
        <f t="shared" ref="L204:M204" si="198">H204-5</f>
        <v>181</v>
      </c>
      <c r="M204" s="33">
        <f t="shared" si="198"/>
        <v>62</v>
      </c>
      <c r="N204" s="28">
        <f t="shared" si="136"/>
        <v>1.1222000000000001</v>
      </c>
      <c r="O204" s="47"/>
    </row>
    <row r="205" spans="2:15" ht="14.25" customHeight="1" x14ac:dyDescent="0.2">
      <c r="B205" s="26">
        <v>185</v>
      </c>
      <c r="C205" s="27">
        <v>51</v>
      </c>
      <c r="D205" s="27">
        <v>24</v>
      </c>
      <c r="E205" s="28">
        <f t="shared" si="141"/>
        <v>8.5</v>
      </c>
      <c r="G205" s="26">
        <v>185</v>
      </c>
      <c r="H205" s="27">
        <f t="shared" si="142"/>
        <v>143</v>
      </c>
      <c r="I205" s="27">
        <f t="shared" si="143"/>
        <v>67</v>
      </c>
      <c r="J205" s="28">
        <f t="shared" si="138"/>
        <v>0.95809999999999995</v>
      </c>
      <c r="K205" s="32"/>
      <c r="L205" s="33">
        <f t="shared" ref="L205:M205" si="199">H205-5</f>
        <v>138</v>
      </c>
      <c r="M205" s="33">
        <f t="shared" si="199"/>
        <v>62</v>
      </c>
      <c r="N205" s="28">
        <f t="shared" si="136"/>
        <v>0.85560000000000003</v>
      </c>
    </row>
    <row r="206" spans="2:15" ht="14.25" customHeight="1" x14ac:dyDescent="0.2">
      <c r="B206" s="31">
        <v>186</v>
      </c>
      <c r="C206" s="27">
        <v>45</v>
      </c>
      <c r="D206" s="27">
        <v>24</v>
      </c>
      <c r="E206" s="28">
        <f t="shared" si="141"/>
        <v>7.5</v>
      </c>
      <c r="G206" s="31">
        <v>186</v>
      </c>
      <c r="H206" s="27">
        <f t="shared" si="142"/>
        <v>127</v>
      </c>
      <c r="I206" s="27">
        <f t="shared" si="143"/>
        <v>67</v>
      </c>
      <c r="J206" s="28">
        <f t="shared" si="138"/>
        <v>0.85089999999999999</v>
      </c>
      <c r="K206" s="32"/>
      <c r="L206" s="33">
        <f t="shared" ref="L206:M206" si="200">H206-5</f>
        <v>122</v>
      </c>
      <c r="M206" s="33">
        <f t="shared" si="200"/>
        <v>62</v>
      </c>
      <c r="N206" s="28">
        <f t="shared" si="136"/>
        <v>0.75639999999999996</v>
      </c>
      <c r="O206" s="47"/>
    </row>
    <row r="207" spans="2:15" ht="14.25" customHeight="1" x14ac:dyDescent="0.2">
      <c r="B207" s="26">
        <v>187</v>
      </c>
      <c r="C207" s="27">
        <v>36</v>
      </c>
      <c r="D207" s="27">
        <v>24</v>
      </c>
      <c r="E207" s="28">
        <f t="shared" si="141"/>
        <v>6</v>
      </c>
      <c r="G207" s="26">
        <v>187</v>
      </c>
      <c r="H207" s="27">
        <f t="shared" si="142"/>
        <v>105</v>
      </c>
      <c r="I207" s="27">
        <f t="shared" si="143"/>
        <v>67</v>
      </c>
      <c r="J207" s="28">
        <f t="shared" si="138"/>
        <v>0.70350000000000001</v>
      </c>
      <c r="K207" s="32"/>
      <c r="L207" s="33">
        <f t="shared" ref="L207:M207" si="201">H207-5</f>
        <v>100</v>
      </c>
      <c r="M207" s="33">
        <f t="shared" si="201"/>
        <v>62</v>
      </c>
      <c r="N207" s="28">
        <f t="shared" si="136"/>
        <v>0.62</v>
      </c>
      <c r="O207" s="47"/>
    </row>
    <row r="208" spans="2:15" ht="14.25" customHeight="1" x14ac:dyDescent="0.2">
      <c r="B208" s="31">
        <v>188</v>
      </c>
      <c r="C208" s="27">
        <v>33</v>
      </c>
      <c r="D208" s="27">
        <v>24</v>
      </c>
      <c r="E208" s="28">
        <f t="shared" si="141"/>
        <v>5.5</v>
      </c>
      <c r="G208" s="31">
        <v>188</v>
      </c>
      <c r="H208" s="27">
        <f t="shared" si="142"/>
        <v>97</v>
      </c>
      <c r="I208" s="27">
        <f t="shared" si="143"/>
        <v>67</v>
      </c>
      <c r="J208" s="28">
        <f t="shared" si="138"/>
        <v>0.64990000000000003</v>
      </c>
      <c r="K208" s="32"/>
      <c r="L208" s="33">
        <f t="shared" ref="L208:M208" si="202">H208-5</f>
        <v>92</v>
      </c>
      <c r="M208" s="33">
        <f t="shared" si="202"/>
        <v>62</v>
      </c>
      <c r="N208" s="28">
        <f t="shared" si="136"/>
        <v>0.57040000000000002</v>
      </c>
      <c r="O208" s="47"/>
    </row>
    <row r="209" spans="2:15" ht="14.25" customHeight="1" x14ac:dyDescent="0.2">
      <c r="B209" s="26">
        <v>189</v>
      </c>
      <c r="C209" s="27">
        <v>33</v>
      </c>
      <c r="D209" s="27">
        <v>24</v>
      </c>
      <c r="E209" s="28">
        <f t="shared" si="141"/>
        <v>5.5</v>
      </c>
      <c r="G209" s="26">
        <v>189</v>
      </c>
      <c r="H209" s="27">
        <f t="shared" si="142"/>
        <v>97</v>
      </c>
      <c r="I209" s="27">
        <f t="shared" si="143"/>
        <v>67</v>
      </c>
      <c r="J209" s="28">
        <f t="shared" si="138"/>
        <v>0.64990000000000003</v>
      </c>
      <c r="K209" s="32"/>
      <c r="L209" s="33">
        <f t="shared" ref="L209:M209" si="203">H209-5</f>
        <v>92</v>
      </c>
      <c r="M209" s="33">
        <f t="shared" si="203"/>
        <v>62</v>
      </c>
      <c r="N209" s="28">
        <f t="shared" si="136"/>
        <v>0.57040000000000002</v>
      </c>
      <c r="O209" s="47"/>
    </row>
    <row r="210" spans="2:15" ht="14.25" customHeight="1" x14ac:dyDescent="0.2">
      <c r="B210" s="31">
        <v>190</v>
      </c>
      <c r="C210" s="27">
        <v>36</v>
      </c>
      <c r="D210" s="27">
        <v>24</v>
      </c>
      <c r="E210" s="28">
        <f t="shared" si="141"/>
        <v>6</v>
      </c>
      <c r="G210" s="31">
        <v>190</v>
      </c>
      <c r="H210" s="27">
        <f t="shared" si="142"/>
        <v>105</v>
      </c>
      <c r="I210" s="27">
        <f t="shared" si="143"/>
        <v>67</v>
      </c>
      <c r="J210" s="28">
        <f t="shared" si="138"/>
        <v>0.70350000000000001</v>
      </c>
      <c r="K210" s="32"/>
      <c r="L210" s="33">
        <f t="shared" ref="L210:M210" si="204">H210-5</f>
        <v>100</v>
      </c>
      <c r="M210" s="33">
        <f t="shared" si="204"/>
        <v>62</v>
      </c>
      <c r="N210" s="28">
        <f t="shared" ref="N210:N273" si="205">L210*M210/10000</f>
        <v>0.62</v>
      </c>
      <c r="O210" s="47"/>
    </row>
    <row r="211" spans="2:15" ht="14.25" customHeight="1" x14ac:dyDescent="0.2">
      <c r="B211" s="26">
        <v>191</v>
      </c>
      <c r="C211" s="27">
        <v>38</v>
      </c>
      <c r="D211" s="27">
        <v>25</v>
      </c>
      <c r="E211" s="28">
        <f t="shared" si="141"/>
        <v>6.5972222222222223</v>
      </c>
      <c r="G211" s="26">
        <v>191</v>
      </c>
      <c r="H211" s="27">
        <f t="shared" si="142"/>
        <v>110</v>
      </c>
      <c r="I211" s="27">
        <f t="shared" si="143"/>
        <v>69</v>
      </c>
      <c r="J211" s="28">
        <f t="shared" si="138"/>
        <v>0.75900000000000001</v>
      </c>
      <c r="K211" s="32"/>
      <c r="L211" s="33">
        <f t="shared" ref="L211:M211" si="206">H211-5</f>
        <v>105</v>
      </c>
      <c r="M211" s="33">
        <f t="shared" si="206"/>
        <v>64</v>
      </c>
      <c r="N211" s="28">
        <f t="shared" si="205"/>
        <v>0.67200000000000004</v>
      </c>
      <c r="O211" s="47"/>
    </row>
    <row r="212" spans="2:15" ht="14.25" customHeight="1" x14ac:dyDescent="0.2">
      <c r="B212" s="31">
        <v>192</v>
      </c>
      <c r="C212" s="27">
        <v>60</v>
      </c>
      <c r="D212" s="27">
        <v>24</v>
      </c>
      <c r="E212" s="28">
        <f t="shared" si="141"/>
        <v>10</v>
      </c>
      <c r="G212" s="31">
        <v>192</v>
      </c>
      <c r="H212" s="27">
        <f t="shared" si="142"/>
        <v>166</v>
      </c>
      <c r="I212" s="27">
        <f t="shared" si="143"/>
        <v>67</v>
      </c>
      <c r="J212" s="28">
        <f t="shared" ref="J212:J275" si="207">H212*I212/10000</f>
        <v>1.1122000000000001</v>
      </c>
      <c r="K212" s="32"/>
      <c r="L212" s="33">
        <f t="shared" ref="L212:M212" si="208">H212-5</f>
        <v>161</v>
      </c>
      <c r="M212" s="33">
        <f t="shared" si="208"/>
        <v>62</v>
      </c>
      <c r="N212" s="28">
        <f t="shared" si="205"/>
        <v>0.99819999999999998</v>
      </c>
      <c r="O212" s="47"/>
    </row>
    <row r="213" spans="2:15" ht="14.25" customHeight="1" x14ac:dyDescent="0.2">
      <c r="B213" s="26">
        <v>193</v>
      </c>
      <c r="C213" s="27">
        <v>41</v>
      </c>
      <c r="D213" s="27">
        <v>33</v>
      </c>
      <c r="E213" s="28">
        <f t="shared" si="141"/>
        <v>9.3958333333333339</v>
      </c>
      <c r="G213" s="26">
        <v>193</v>
      </c>
      <c r="H213" s="27">
        <f t="shared" si="142"/>
        <v>117</v>
      </c>
      <c r="I213" s="27">
        <f t="shared" si="143"/>
        <v>89</v>
      </c>
      <c r="J213" s="28">
        <f t="shared" si="207"/>
        <v>1.0412999999999999</v>
      </c>
      <c r="K213" s="32"/>
      <c r="L213" s="33">
        <f t="shared" ref="L213:M213" si="209">H213-5</f>
        <v>112</v>
      </c>
      <c r="M213" s="33">
        <f t="shared" si="209"/>
        <v>84</v>
      </c>
      <c r="N213" s="28">
        <f t="shared" si="205"/>
        <v>0.94079999999999997</v>
      </c>
      <c r="O213" s="47"/>
    </row>
    <row r="214" spans="2:15" ht="14.25" customHeight="1" x14ac:dyDescent="0.2">
      <c r="B214" s="31">
        <v>194</v>
      </c>
      <c r="C214" s="27">
        <v>43</v>
      </c>
      <c r="D214" s="27">
        <v>34</v>
      </c>
      <c r="E214" s="28">
        <f t="shared" ref="E214:E237" si="210">C214*D214/144</f>
        <v>10.152777777777779</v>
      </c>
      <c r="G214" s="31">
        <v>194</v>
      </c>
      <c r="H214" s="27">
        <f t="shared" ref="H214:H277" si="211">ROUNDUP((C214+5)*2.54,0)</f>
        <v>122</v>
      </c>
      <c r="I214" s="27">
        <f t="shared" ref="I214:I277" si="212">ROUNDUP((D214+2)*2.54,0)</f>
        <v>92</v>
      </c>
      <c r="J214" s="28">
        <f t="shared" si="207"/>
        <v>1.1224000000000001</v>
      </c>
      <c r="K214" s="32"/>
      <c r="L214" s="33">
        <f t="shared" ref="L214:M214" si="213">H214-5</f>
        <v>117</v>
      </c>
      <c r="M214" s="33">
        <f t="shared" si="213"/>
        <v>87</v>
      </c>
      <c r="N214" s="28">
        <f t="shared" si="205"/>
        <v>1.0179</v>
      </c>
      <c r="O214" s="47"/>
    </row>
    <row r="215" spans="2:15" ht="14.25" customHeight="1" x14ac:dyDescent="0.2">
      <c r="B215" s="26">
        <v>195</v>
      </c>
      <c r="C215" s="27">
        <v>70</v>
      </c>
      <c r="D215" s="27">
        <v>33</v>
      </c>
      <c r="E215" s="28">
        <f t="shared" si="210"/>
        <v>16.041666666666668</v>
      </c>
      <c r="G215" s="26">
        <v>195</v>
      </c>
      <c r="H215" s="27">
        <f t="shared" si="211"/>
        <v>191</v>
      </c>
      <c r="I215" s="27">
        <f t="shared" si="212"/>
        <v>89</v>
      </c>
      <c r="J215" s="28">
        <f t="shared" si="207"/>
        <v>1.6999</v>
      </c>
      <c r="K215" s="32"/>
      <c r="L215" s="33">
        <f t="shared" ref="L215:M215" si="214">H215-5</f>
        <v>186</v>
      </c>
      <c r="M215" s="33">
        <f t="shared" si="214"/>
        <v>84</v>
      </c>
      <c r="N215" s="28">
        <f t="shared" si="205"/>
        <v>1.5624</v>
      </c>
      <c r="O215" s="47"/>
    </row>
    <row r="216" spans="2:15" s="46" customFormat="1" ht="14.25" customHeight="1" x14ac:dyDescent="0.2">
      <c r="B216" s="26">
        <v>196</v>
      </c>
      <c r="C216" s="27">
        <v>53</v>
      </c>
      <c r="D216" s="27">
        <v>33</v>
      </c>
      <c r="E216" s="28">
        <f t="shared" si="210"/>
        <v>12.145833333333334</v>
      </c>
      <c r="F216" s="49"/>
      <c r="G216" s="26">
        <v>196</v>
      </c>
      <c r="H216" s="27">
        <f t="shared" si="211"/>
        <v>148</v>
      </c>
      <c r="I216" s="27">
        <f t="shared" si="212"/>
        <v>89</v>
      </c>
      <c r="J216" s="28">
        <f t="shared" si="207"/>
        <v>1.3171999999999999</v>
      </c>
      <c r="K216" s="32"/>
      <c r="L216" s="33">
        <f t="shared" ref="L216:L230" si="215">H216-5</f>
        <v>143</v>
      </c>
      <c r="M216" s="33">
        <f t="shared" ref="M216:M230" si="216">I216-5</f>
        <v>84</v>
      </c>
      <c r="N216" s="28">
        <f t="shared" si="205"/>
        <v>1.2012</v>
      </c>
      <c r="O216" s="47"/>
    </row>
    <row r="217" spans="2:15" s="46" customFormat="1" ht="14.25" customHeight="1" x14ac:dyDescent="0.2">
      <c r="B217" s="26">
        <v>197</v>
      </c>
      <c r="C217" s="27">
        <v>39</v>
      </c>
      <c r="D217" s="27">
        <v>32</v>
      </c>
      <c r="E217" s="28">
        <f t="shared" si="210"/>
        <v>8.6666666666666661</v>
      </c>
      <c r="F217" s="49"/>
      <c r="G217" s="26">
        <v>197</v>
      </c>
      <c r="H217" s="27">
        <f t="shared" si="211"/>
        <v>112</v>
      </c>
      <c r="I217" s="27">
        <f t="shared" si="212"/>
        <v>87</v>
      </c>
      <c r="J217" s="28">
        <f t="shared" si="207"/>
        <v>0.97440000000000004</v>
      </c>
      <c r="K217" s="32"/>
      <c r="L217" s="33">
        <f t="shared" si="215"/>
        <v>107</v>
      </c>
      <c r="M217" s="33">
        <f t="shared" si="216"/>
        <v>82</v>
      </c>
      <c r="N217" s="28">
        <f t="shared" si="205"/>
        <v>0.87739999999999996</v>
      </c>
    </row>
    <row r="218" spans="2:15" s="46" customFormat="1" ht="14.25" customHeight="1" x14ac:dyDescent="0.2">
      <c r="B218" s="26">
        <v>198</v>
      </c>
      <c r="C218" s="27">
        <v>45</v>
      </c>
      <c r="D218" s="27">
        <v>32</v>
      </c>
      <c r="E218" s="28">
        <f t="shared" si="210"/>
        <v>10</v>
      </c>
      <c r="F218" s="49"/>
      <c r="G218" s="26">
        <v>198</v>
      </c>
      <c r="H218" s="27">
        <f t="shared" si="211"/>
        <v>127</v>
      </c>
      <c r="I218" s="27">
        <f t="shared" si="212"/>
        <v>87</v>
      </c>
      <c r="J218" s="28">
        <f t="shared" si="207"/>
        <v>1.1049</v>
      </c>
      <c r="K218" s="32"/>
      <c r="L218" s="33">
        <f t="shared" si="215"/>
        <v>122</v>
      </c>
      <c r="M218" s="33">
        <f t="shared" si="216"/>
        <v>82</v>
      </c>
      <c r="N218" s="28">
        <f t="shared" si="205"/>
        <v>1.0004</v>
      </c>
    </row>
    <row r="219" spans="2:15" s="46" customFormat="1" ht="14.25" customHeight="1" x14ac:dyDescent="0.2">
      <c r="B219" s="26">
        <v>199</v>
      </c>
      <c r="C219" s="27">
        <v>68</v>
      </c>
      <c r="D219" s="27">
        <v>28</v>
      </c>
      <c r="E219" s="28">
        <f t="shared" si="210"/>
        <v>13.222222222222221</v>
      </c>
      <c r="F219" s="49"/>
      <c r="G219" s="26">
        <v>199</v>
      </c>
      <c r="H219" s="27">
        <f t="shared" si="211"/>
        <v>186</v>
      </c>
      <c r="I219" s="27">
        <f t="shared" si="212"/>
        <v>77</v>
      </c>
      <c r="J219" s="28">
        <f t="shared" si="207"/>
        <v>1.4321999999999999</v>
      </c>
      <c r="K219" s="32"/>
      <c r="L219" s="33">
        <f t="shared" si="215"/>
        <v>181</v>
      </c>
      <c r="M219" s="33">
        <f t="shared" si="216"/>
        <v>72</v>
      </c>
      <c r="N219" s="28">
        <f t="shared" si="205"/>
        <v>1.3031999999999999</v>
      </c>
    </row>
    <row r="220" spans="2:15" s="46" customFormat="1" ht="14.25" customHeight="1" x14ac:dyDescent="0.2">
      <c r="B220" s="26">
        <v>200</v>
      </c>
      <c r="C220" s="27">
        <v>33</v>
      </c>
      <c r="D220" s="27">
        <v>27</v>
      </c>
      <c r="E220" s="28">
        <f t="shared" si="210"/>
        <v>6.1875</v>
      </c>
      <c r="F220" s="49"/>
      <c r="G220" s="26">
        <v>200</v>
      </c>
      <c r="H220" s="27">
        <f t="shared" si="211"/>
        <v>97</v>
      </c>
      <c r="I220" s="27">
        <f t="shared" si="212"/>
        <v>74</v>
      </c>
      <c r="J220" s="28">
        <f t="shared" si="207"/>
        <v>0.71779999999999999</v>
      </c>
      <c r="K220" s="32"/>
      <c r="L220" s="33">
        <f t="shared" si="215"/>
        <v>92</v>
      </c>
      <c r="M220" s="33">
        <f t="shared" si="216"/>
        <v>69</v>
      </c>
      <c r="N220" s="28">
        <f t="shared" si="205"/>
        <v>0.63480000000000003</v>
      </c>
      <c r="O220" s="47"/>
    </row>
    <row r="221" spans="2:15" s="46" customFormat="1" ht="14.25" customHeight="1" x14ac:dyDescent="0.2">
      <c r="B221" s="26">
        <v>201</v>
      </c>
      <c r="C221" s="27">
        <v>47</v>
      </c>
      <c r="D221" s="27">
        <v>34</v>
      </c>
      <c r="E221" s="28">
        <f t="shared" si="210"/>
        <v>11.097222222222221</v>
      </c>
      <c r="F221" s="49"/>
      <c r="G221" s="26">
        <v>201</v>
      </c>
      <c r="H221" s="27">
        <f t="shared" si="211"/>
        <v>133</v>
      </c>
      <c r="I221" s="27">
        <f t="shared" si="212"/>
        <v>92</v>
      </c>
      <c r="J221" s="28">
        <f t="shared" si="207"/>
        <v>1.2236</v>
      </c>
      <c r="K221" s="32"/>
      <c r="L221" s="33">
        <f t="shared" si="215"/>
        <v>128</v>
      </c>
      <c r="M221" s="33">
        <f t="shared" si="216"/>
        <v>87</v>
      </c>
      <c r="N221" s="28">
        <f t="shared" si="205"/>
        <v>1.1135999999999999</v>
      </c>
    </row>
    <row r="222" spans="2:15" s="46" customFormat="1" ht="14.25" customHeight="1" x14ac:dyDescent="0.2">
      <c r="B222" s="26">
        <v>202</v>
      </c>
      <c r="C222" s="27">
        <v>46</v>
      </c>
      <c r="D222" s="27">
        <v>34</v>
      </c>
      <c r="E222" s="28">
        <f t="shared" si="210"/>
        <v>10.861111111111111</v>
      </c>
      <c r="F222" s="49"/>
      <c r="G222" s="26">
        <v>202</v>
      </c>
      <c r="H222" s="27">
        <f t="shared" si="211"/>
        <v>130</v>
      </c>
      <c r="I222" s="27">
        <f t="shared" si="212"/>
        <v>92</v>
      </c>
      <c r="J222" s="28">
        <f t="shared" si="207"/>
        <v>1.196</v>
      </c>
      <c r="K222" s="32"/>
      <c r="L222" s="33">
        <f t="shared" si="215"/>
        <v>125</v>
      </c>
      <c r="M222" s="33">
        <f t="shared" si="216"/>
        <v>87</v>
      </c>
      <c r="N222" s="28">
        <f t="shared" si="205"/>
        <v>1.0874999999999999</v>
      </c>
    </row>
    <row r="223" spans="2:15" s="46" customFormat="1" ht="14.25" customHeight="1" x14ac:dyDescent="0.2">
      <c r="B223" s="26">
        <v>203</v>
      </c>
      <c r="C223" s="27">
        <v>38</v>
      </c>
      <c r="D223" s="27">
        <v>22</v>
      </c>
      <c r="E223" s="28">
        <f t="shared" si="210"/>
        <v>5.8055555555555554</v>
      </c>
      <c r="F223" s="49"/>
      <c r="G223" s="26">
        <v>203</v>
      </c>
      <c r="H223" s="27">
        <f t="shared" si="211"/>
        <v>110</v>
      </c>
      <c r="I223" s="27">
        <f t="shared" si="212"/>
        <v>61</v>
      </c>
      <c r="J223" s="28">
        <f t="shared" si="207"/>
        <v>0.67100000000000004</v>
      </c>
      <c r="K223" s="32"/>
      <c r="L223" s="33">
        <f t="shared" si="215"/>
        <v>105</v>
      </c>
      <c r="M223" s="33">
        <f t="shared" si="216"/>
        <v>56</v>
      </c>
      <c r="N223" s="28">
        <f t="shared" si="205"/>
        <v>0.58799999999999997</v>
      </c>
    </row>
    <row r="224" spans="2:15" s="46" customFormat="1" ht="14.25" customHeight="1" x14ac:dyDescent="0.2">
      <c r="B224" s="26">
        <v>204</v>
      </c>
      <c r="C224" s="27">
        <v>45</v>
      </c>
      <c r="D224" s="27">
        <v>35</v>
      </c>
      <c r="E224" s="28">
        <f t="shared" si="210"/>
        <v>10.9375</v>
      </c>
      <c r="F224" s="49"/>
      <c r="G224" s="26">
        <v>204</v>
      </c>
      <c r="H224" s="27">
        <f t="shared" si="211"/>
        <v>127</v>
      </c>
      <c r="I224" s="27">
        <f t="shared" si="212"/>
        <v>94</v>
      </c>
      <c r="J224" s="28">
        <f t="shared" si="207"/>
        <v>1.1938</v>
      </c>
      <c r="K224" s="32"/>
      <c r="L224" s="33">
        <f t="shared" si="215"/>
        <v>122</v>
      </c>
      <c r="M224" s="33">
        <f t="shared" si="216"/>
        <v>89</v>
      </c>
      <c r="N224" s="28">
        <f t="shared" si="205"/>
        <v>1.0858000000000001</v>
      </c>
    </row>
    <row r="225" spans="2:15" s="46" customFormat="1" ht="14.25" customHeight="1" x14ac:dyDescent="0.2">
      <c r="B225" s="26">
        <v>205</v>
      </c>
      <c r="C225" s="27">
        <v>45</v>
      </c>
      <c r="D225" s="27">
        <v>35</v>
      </c>
      <c r="E225" s="28">
        <f t="shared" si="210"/>
        <v>10.9375</v>
      </c>
      <c r="F225" s="49"/>
      <c r="G225" s="26">
        <v>205</v>
      </c>
      <c r="H225" s="27">
        <f t="shared" si="211"/>
        <v>127</v>
      </c>
      <c r="I225" s="27">
        <f t="shared" si="212"/>
        <v>94</v>
      </c>
      <c r="J225" s="28">
        <f t="shared" si="207"/>
        <v>1.1938</v>
      </c>
      <c r="K225" s="32"/>
      <c r="L225" s="33">
        <f t="shared" si="215"/>
        <v>122</v>
      </c>
      <c r="M225" s="33">
        <f t="shared" si="216"/>
        <v>89</v>
      </c>
      <c r="N225" s="28">
        <f t="shared" si="205"/>
        <v>1.0858000000000001</v>
      </c>
      <c r="O225" s="47"/>
    </row>
    <row r="226" spans="2:15" s="46" customFormat="1" ht="14.25" customHeight="1" x14ac:dyDescent="0.2">
      <c r="B226" s="26">
        <v>206</v>
      </c>
      <c r="C226" s="27">
        <v>45</v>
      </c>
      <c r="D226" s="27">
        <v>35</v>
      </c>
      <c r="E226" s="28">
        <f t="shared" si="210"/>
        <v>10.9375</v>
      </c>
      <c r="F226" s="49"/>
      <c r="G226" s="26">
        <v>206</v>
      </c>
      <c r="H226" s="27">
        <f t="shared" si="211"/>
        <v>127</v>
      </c>
      <c r="I226" s="27">
        <f t="shared" si="212"/>
        <v>94</v>
      </c>
      <c r="J226" s="28">
        <f t="shared" si="207"/>
        <v>1.1938</v>
      </c>
      <c r="K226" s="32"/>
      <c r="L226" s="33">
        <f t="shared" si="215"/>
        <v>122</v>
      </c>
      <c r="M226" s="33">
        <f t="shared" si="216"/>
        <v>89</v>
      </c>
      <c r="N226" s="28">
        <f t="shared" si="205"/>
        <v>1.0858000000000001</v>
      </c>
    </row>
    <row r="227" spans="2:15" s="46" customFormat="1" ht="14.25" customHeight="1" x14ac:dyDescent="0.2">
      <c r="B227" s="26">
        <v>207</v>
      </c>
      <c r="C227" s="27">
        <v>44</v>
      </c>
      <c r="D227" s="27">
        <v>34</v>
      </c>
      <c r="E227" s="28">
        <f t="shared" si="210"/>
        <v>10.388888888888889</v>
      </c>
      <c r="F227" s="49"/>
      <c r="G227" s="26">
        <v>207</v>
      </c>
      <c r="H227" s="27">
        <f t="shared" si="211"/>
        <v>125</v>
      </c>
      <c r="I227" s="27">
        <f t="shared" si="212"/>
        <v>92</v>
      </c>
      <c r="J227" s="28">
        <f t="shared" si="207"/>
        <v>1.1499999999999999</v>
      </c>
      <c r="K227" s="32"/>
      <c r="L227" s="33">
        <f t="shared" si="215"/>
        <v>120</v>
      </c>
      <c r="M227" s="33">
        <f t="shared" si="216"/>
        <v>87</v>
      </c>
      <c r="N227" s="28">
        <f t="shared" si="205"/>
        <v>1.044</v>
      </c>
      <c r="O227" s="47"/>
    </row>
    <row r="228" spans="2:15" s="46" customFormat="1" ht="14.25" customHeight="1" x14ac:dyDescent="0.2">
      <c r="B228" s="26">
        <v>208</v>
      </c>
      <c r="C228" s="27">
        <v>45</v>
      </c>
      <c r="D228" s="27">
        <v>35</v>
      </c>
      <c r="E228" s="28">
        <f t="shared" si="210"/>
        <v>10.9375</v>
      </c>
      <c r="F228" s="49"/>
      <c r="G228" s="26">
        <v>208</v>
      </c>
      <c r="H228" s="27">
        <f t="shared" si="211"/>
        <v>127</v>
      </c>
      <c r="I228" s="27">
        <f t="shared" si="212"/>
        <v>94</v>
      </c>
      <c r="J228" s="28">
        <f t="shared" si="207"/>
        <v>1.1938</v>
      </c>
      <c r="K228" s="32"/>
      <c r="L228" s="33">
        <f t="shared" si="215"/>
        <v>122</v>
      </c>
      <c r="M228" s="33">
        <f t="shared" si="216"/>
        <v>89</v>
      </c>
      <c r="N228" s="28">
        <f t="shared" si="205"/>
        <v>1.0858000000000001</v>
      </c>
    </row>
    <row r="229" spans="2:15" s="46" customFormat="1" ht="14.25" customHeight="1" x14ac:dyDescent="0.2">
      <c r="B229" s="26">
        <v>209</v>
      </c>
      <c r="C229" s="27">
        <v>45</v>
      </c>
      <c r="D229" s="27">
        <v>34</v>
      </c>
      <c r="E229" s="28">
        <f t="shared" si="210"/>
        <v>10.625</v>
      </c>
      <c r="F229" s="49"/>
      <c r="G229" s="26">
        <v>209</v>
      </c>
      <c r="H229" s="27">
        <f t="shared" si="211"/>
        <v>127</v>
      </c>
      <c r="I229" s="27">
        <f t="shared" si="212"/>
        <v>92</v>
      </c>
      <c r="J229" s="28">
        <f t="shared" si="207"/>
        <v>1.1684000000000001</v>
      </c>
      <c r="K229" s="32"/>
      <c r="L229" s="33">
        <f t="shared" si="215"/>
        <v>122</v>
      </c>
      <c r="M229" s="33">
        <f t="shared" si="216"/>
        <v>87</v>
      </c>
      <c r="N229" s="28">
        <f t="shared" si="205"/>
        <v>1.0613999999999999</v>
      </c>
      <c r="O229" s="47"/>
    </row>
    <row r="230" spans="2:15" s="46" customFormat="1" ht="14.25" customHeight="1" x14ac:dyDescent="0.2">
      <c r="B230" s="26">
        <v>210</v>
      </c>
      <c r="C230" s="27">
        <v>65</v>
      </c>
      <c r="D230" s="27">
        <v>34</v>
      </c>
      <c r="E230" s="28">
        <f t="shared" si="210"/>
        <v>15.347222222222221</v>
      </c>
      <c r="F230" s="49"/>
      <c r="G230" s="26">
        <v>210</v>
      </c>
      <c r="H230" s="27">
        <f t="shared" si="211"/>
        <v>178</v>
      </c>
      <c r="I230" s="27">
        <f t="shared" si="212"/>
        <v>92</v>
      </c>
      <c r="J230" s="28">
        <f t="shared" si="207"/>
        <v>1.6375999999999999</v>
      </c>
      <c r="K230" s="32"/>
      <c r="L230" s="33">
        <f t="shared" si="215"/>
        <v>173</v>
      </c>
      <c r="M230" s="33">
        <f t="shared" si="216"/>
        <v>87</v>
      </c>
      <c r="N230" s="28">
        <f t="shared" si="205"/>
        <v>1.5051000000000001</v>
      </c>
    </row>
    <row r="231" spans="2:15" s="48" customFormat="1" ht="14.25" customHeight="1" x14ac:dyDescent="0.2">
      <c r="B231" s="26">
        <v>211</v>
      </c>
      <c r="C231" s="27">
        <v>45</v>
      </c>
      <c r="D231" s="27">
        <v>34</v>
      </c>
      <c r="E231" s="28">
        <f t="shared" si="210"/>
        <v>10.625</v>
      </c>
      <c r="F231" s="49"/>
      <c r="G231" s="26">
        <v>211</v>
      </c>
      <c r="H231" s="27">
        <f t="shared" si="211"/>
        <v>127</v>
      </c>
      <c r="I231" s="27">
        <f t="shared" si="212"/>
        <v>92</v>
      </c>
      <c r="J231" s="28">
        <f t="shared" si="207"/>
        <v>1.1684000000000001</v>
      </c>
      <c r="K231" s="32"/>
      <c r="L231" s="33">
        <f t="shared" ref="L231:L237" si="217">H231-5</f>
        <v>122</v>
      </c>
      <c r="M231" s="33">
        <f t="shared" ref="M231:M237" si="218">I231-5</f>
        <v>87</v>
      </c>
      <c r="N231" s="28">
        <f t="shared" si="205"/>
        <v>1.0613999999999999</v>
      </c>
    </row>
    <row r="232" spans="2:15" s="48" customFormat="1" ht="14.25" customHeight="1" x14ac:dyDescent="0.2">
      <c r="B232" s="26">
        <v>212</v>
      </c>
      <c r="C232" s="27">
        <v>43</v>
      </c>
      <c r="D232" s="27">
        <v>34</v>
      </c>
      <c r="E232" s="28">
        <f t="shared" si="210"/>
        <v>10.152777777777779</v>
      </c>
      <c r="F232" s="49"/>
      <c r="G232" s="26">
        <v>212</v>
      </c>
      <c r="H232" s="27">
        <f t="shared" si="211"/>
        <v>122</v>
      </c>
      <c r="I232" s="27">
        <f t="shared" si="212"/>
        <v>92</v>
      </c>
      <c r="J232" s="28">
        <f t="shared" si="207"/>
        <v>1.1224000000000001</v>
      </c>
      <c r="K232" s="32"/>
      <c r="L232" s="33">
        <f t="shared" si="217"/>
        <v>117</v>
      </c>
      <c r="M232" s="33">
        <f t="shared" si="218"/>
        <v>87</v>
      </c>
      <c r="N232" s="28">
        <f t="shared" si="205"/>
        <v>1.0179</v>
      </c>
    </row>
    <row r="233" spans="2:15" s="48" customFormat="1" ht="14.25" customHeight="1" x14ac:dyDescent="0.2">
      <c r="B233" s="26">
        <v>213</v>
      </c>
      <c r="C233" s="27">
        <v>42</v>
      </c>
      <c r="D233" s="27">
        <v>34</v>
      </c>
      <c r="E233" s="28">
        <f t="shared" si="210"/>
        <v>9.9166666666666661</v>
      </c>
      <c r="F233" s="49"/>
      <c r="G233" s="26">
        <v>213</v>
      </c>
      <c r="H233" s="27">
        <f t="shared" si="211"/>
        <v>120</v>
      </c>
      <c r="I233" s="27">
        <f t="shared" si="212"/>
        <v>92</v>
      </c>
      <c r="J233" s="28">
        <f t="shared" si="207"/>
        <v>1.1040000000000001</v>
      </c>
      <c r="K233" s="32"/>
      <c r="L233" s="33">
        <f t="shared" si="217"/>
        <v>115</v>
      </c>
      <c r="M233" s="33">
        <f t="shared" si="218"/>
        <v>87</v>
      </c>
      <c r="N233" s="28">
        <f t="shared" si="205"/>
        <v>1.0004999999999999</v>
      </c>
    </row>
    <row r="234" spans="2:15" s="48" customFormat="1" ht="14.25" customHeight="1" x14ac:dyDescent="0.2">
      <c r="B234" s="26">
        <v>214</v>
      </c>
      <c r="C234" s="27">
        <v>44</v>
      </c>
      <c r="D234" s="27">
        <v>30</v>
      </c>
      <c r="E234" s="28">
        <f t="shared" si="210"/>
        <v>9.1666666666666661</v>
      </c>
      <c r="F234" s="49"/>
      <c r="G234" s="26">
        <v>214</v>
      </c>
      <c r="H234" s="27">
        <f t="shared" si="211"/>
        <v>125</v>
      </c>
      <c r="I234" s="27">
        <f t="shared" si="212"/>
        <v>82</v>
      </c>
      <c r="J234" s="28">
        <f t="shared" si="207"/>
        <v>1.0249999999999999</v>
      </c>
      <c r="K234" s="32"/>
      <c r="L234" s="33">
        <f t="shared" si="217"/>
        <v>120</v>
      </c>
      <c r="M234" s="33">
        <f t="shared" si="218"/>
        <v>77</v>
      </c>
      <c r="N234" s="28">
        <f t="shared" si="205"/>
        <v>0.92400000000000004</v>
      </c>
    </row>
    <row r="235" spans="2:15" s="48" customFormat="1" ht="14.25" customHeight="1" x14ac:dyDescent="0.2">
      <c r="B235" s="26">
        <v>215</v>
      </c>
      <c r="C235" s="27">
        <v>45</v>
      </c>
      <c r="D235" s="27">
        <v>34</v>
      </c>
      <c r="E235" s="28">
        <f t="shared" si="210"/>
        <v>10.625</v>
      </c>
      <c r="F235" s="49"/>
      <c r="G235" s="26">
        <v>215</v>
      </c>
      <c r="H235" s="27">
        <f t="shared" si="211"/>
        <v>127</v>
      </c>
      <c r="I235" s="27">
        <f t="shared" si="212"/>
        <v>92</v>
      </c>
      <c r="J235" s="28">
        <f t="shared" si="207"/>
        <v>1.1684000000000001</v>
      </c>
      <c r="K235" s="32"/>
      <c r="L235" s="33">
        <f t="shared" si="217"/>
        <v>122</v>
      </c>
      <c r="M235" s="33">
        <f t="shared" si="218"/>
        <v>87</v>
      </c>
      <c r="N235" s="28">
        <f t="shared" si="205"/>
        <v>1.0613999999999999</v>
      </c>
    </row>
    <row r="236" spans="2:15" s="48" customFormat="1" ht="14.25" customHeight="1" x14ac:dyDescent="0.2">
      <c r="B236" s="26">
        <v>216</v>
      </c>
      <c r="C236" s="27">
        <v>42</v>
      </c>
      <c r="D236" s="27">
        <v>30</v>
      </c>
      <c r="E236" s="28">
        <f t="shared" si="210"/>
        <v>8.75</v>
      </c>
      <c r="F236" s="49"/>
      <c r="G236" s="26">
        <v>216</v>
      </c>
      <c r="H236" s="27">
        <f t="shared" si="211"/>
        <v>120</v>
      </c>
      <c r="I236" s="27">
        <f t="shared" si="212"/>
        <v>82</v>
      </c>
      <c r="J236" s="28">
        <f t="shared" si="207"/>
        <v>0.98399999999999999</v>
      </c>
      <c r="K236" s="32"/>
      <c r="L236" s="33">
        <f t="shared" si="217"/>
        <v>115</v>
      </c>
      <c r="M236" s="33">
        <f t="shared" si="218"/>
        <v>77</v>
      </c>
      <c r="N236" s="28">
        <f t="shared" si="205"/>
        <v>0.88549999999999995</v>
      </c>
    </row>
    <row r="237" spans="2:15" s="48" customFormat="1" ht="14.25" customHeight="1" x14ac:dyDescent="0.2">
      <c r="B237" s="26">
        <v>217</v>
      </c>
      <c r="C237" s="27">
        <v>42</v>
      </c>
      <c r="D237" s="27">
        <v>34</v>
      </c>
      <c r="E237" s="28">
        <f t="shared" si="210"/>
        <v>9.9166666666666661</v>
      </c>
      <c r="F237" s="49"/>
      <c r="G237" s="26">
        <v>217</v>
      </c>
      <c r="H237" s="27">
        <f t="shared" si="211"/>
        <v>120</v>
      </c>
      <c r="I237" s="27">
        <f t="shared" si="212"/>
        <v>92</v>
      </c>
      <c r="J237" s="28">
        <f t="shared" si="207"/>
        <v>1.1040000000000001</v>
      </c>
      <c r="K237" s="32"/>
      <c r="L237" s="33">
        <f t="shared" si="217"/>
        <v>115</v>
      </c>
      <c r="M237" s="33">
        <f t="shared" si="218"/>
        <v>87</v>
      </c>
      <c r="N237" s="28">
        <f t="shared" si="205"/>
        <v>1.0004999999999999</v>
      </c>
    </row>
    <row r="238" spans="2:15" s="52" customFormat="1" ht="14.25" customHeight="1" x14ac:dyDescent="0.2">
      <c r="B238" s="26">
        <v>218</v>
      </c>
      <c r="C238" s="27">
        <v>42</v>
      </c>
      <c r="D238" s="27">
        <v>29</v>
      </c>
      <c r="E238" s="28">
        <f t="shared" ref="E238:E301" si="219">C238*D238/144</f>
        <v>8.4583333333333339</v>
      </c>
      <c r="G238" s="26">
        <v>218</v>
      </c>
      <c r="H238" s="27">
        <f t="shared" si="211"/>
        <v>120</v>
      </c>
      <c r="I238" s="27">
        <f t="shared" si="212"/>
        <v>79</v>
      </c>
      <c r="J238" s="28">
        <f t="shared" si="207"/>
        <v>0.94799999999999995</v>
      </c>
      <c r="K238" s="32"/>
      <c r="L238" s="33">
        <f t="shared" ref="L238:L301" si="220">H238-5</f>
        <v>115</v>
      </c>
      <c r="M238" s="33">
        <f t="shared" ref="M238:M301" si="221">I238-5</f>
        <v>74</v>
      </c>
      <c r="N238" s="28">
        <f t="shared" si="205"/>
        <v>0.85099999999999998</v>
      </c>
    </row>
    <row r="239" spans="2:15" s="52" customFormat="1" ht="14.25" customHeight="1" x14ac:dyDescent="0.2">
      <c r="B239" s="26">
        <v>219</v>
      </c>
      <c r="C239" s="27">
        <v>40</v>
      </c>
      <c r="D239" s="27">
        <v>34</v>
      </c>
      <c r="E239" s="28">
        <f t="shared" si="219"/>
        <v>9.4444444444444446</v>
      </c>
      <c r="G239" s="26">
        <v>219</v>
      </c>
      <c r="H239" s="27">
        <f t="shared" si="211"/>
        <v>115</v>
      </c>
      <c r="I239" s="27">
        <f t="shared" si="212"/>
        <v>92</v>
      </c>
      <c r="J239" s="28">
        <f t="shared" si="207"/>
        <v>1.0580000000000001</v>
      </c>
      <c r="K239" s="32"/>
      <c r="L239" s="33">
        <f t="shared" si="220"/>
        <v>110</v>
      </c>
      <c r="M239" s="33">
        <f t="shared" si="221"/>
        <v>87</v>
      </c>
      <c r="N239" s="28">
        <f t="shared" si="205"/>
        <v>0.95699999999999996</v>
      </c>
    </row>
    <row r="240" spans="2:15" s="52" customFormat="1" ht="14.25" customHeight="1" x14ac:dyDescent="0.2">
      <c r="B240" s="26">
        <v>220</v>
      </c>
      <c r="C240" s="27">
        <v>41</v>
      </c>
      <c r="D240" s="27">
        <v>33</v>
      </c>
      <c r="E240" s="28">
        <f t="shared" si="219"/>
        <v>9.3958333333333339</v>
      </c>
      <c r="G240" s="26">
        <v>220</v>
      </c>
      <c r="H240" s="27">
        <f t="shared" si="211"/>
        <v>117</v>
      </c>
      <c r="I240" s="27">
        <f t="shared" si="212"/>
        <v>89</v>
      </c>
      <c r="J240" s="28">
        <f t="shared" si="207"/>
        <v>1.0412999999999999</v>
      </c>
      <c r="K240" s="32"/>
      <c r="L240" s="33">
        <f t="shared" si="220"/>
        <v>112</v>
      </c>
      <c r="M240" s="33">
        <f t="shared" si="221"/>
        <v>84</v>
      </c>
      <c r="N240" s="28">
        <f t="shared" si="205"/>
        <v>0.94079999999999997</v>
      </c>
    </row>
    <row r="241" spans="2:14" s="52" customFormat="1" ht="14.25" customHeight="1" x14ac:dyDescent="0.2">
      <c r="B241" s="26">
        <v>221</v>
      </c>
      <c r="C241" s="27">
        <v>41</v>
      </c>
      <c r="D241" s="27">
        <v>34</v>
      </c>
      <c r="E241" s="28">
        <f t="shared" si="219"/>
        <v>9.6805555555555554</v>
      </c>
      <c r="G241" s="26">
        <v>221</v>
      </c>
      <c r="H241" s="27">
        <f t="shared" si="211"/>
        <v>117</v>
      </c>
      <c r="I241" s="27">
        <f t="shared" si="212"/>
        <v>92</v>
      </c>
      <c r="J241" s="28">
        <f t="shared" si="207"/>
        <v>1.0764</v>
      </c>
      <c r="K241" s="32"/>
      <c r="L241" s="33">
        <f t="shared" si="220"/>
        <v>112</v>
      </c>
      <c r="M241" s="33">
        <f t="shared" si="221"/>
        <v>87</v>
      </c>
      <c r="N241" s="28">
        <f t="shared" si="205"/>
        <v>0.97440000000000004</v>
      </c>
    </row>
    <row r="242" spans="2:14" s="52" customFormat="1" ht="14.25" customHeight="1" x14ac:dyDescent="0.2">
      <c r="B242" s="26">
        <v>222</v>
      </c>
      <c r="C242" s="27">
        <v>49</v>
      </c>
      <c r="D242" s="27">
        <v>24</v>
      </c>
      <c r="E242" s="28">
        <f t="shared" si="219"/>
        <v>8.1666666666666661</v>
      </c>
      <c r="G242" s="26">
        <v>222</v>
      </c>
      <c r="H242" s="27">
        <f t="shared" si="211"/>
        <v>138</v>
      </c>
      <c r="I242" s="27">
        <f t="shared" si="212"/>
        <v>67</v>
      </c>
      <c r="J242" s="28">
        <f t="shared" si="207"/>
        <v>0.92459999999999998</v>
      </c>
      <c r="K242" s="32"/>
      <c r="L242" s="33">
        <f t="shared" si="220"/>
        <v>133</v>
      </c>
      <c r="M242" s="33">
        <f t="shared" si="221"/>
        <v>62</v>
      </c>
      <c r="N242" s="28">
        <f t="shared" si="205"/>
        <v>0.8246</v>
      </c>
    </row>
    <row r="243" spans="2:14" s="52" customFormat="1" ht="14.25" customHeight="1" x14ac:dyDescent="0.2">
      <c r="B243" s="26">
        <v>223</v>
      </c>
      <c r="C243" s="27">
        <v>50</v>
      </c>
      <c r="D243" s="27">
        <v>24</v>
      </c>
      <c r="E243" s="28">
        <f t="shared" si="219"/>
        <v>8.3333333333333339</v>
      </c>
      <c r="G243" s="26">
        <v>223</v>
      </c>
      <c r="H243" s="27">
        <f t="shared" si="211"/>
        <v>140</v>
      </c>
      <c r="I243" s="27">
        <f t="shared" si="212"/>
        <v>67</v>
      </c>
      <c r="J243" s="28">
        <f t="shared" si="207"/>
        <v>0.93799999999999994</v>
      </c>
      <c r="K243" s="32"/>
      <c r="L243" s="33">
        <f t="shared" si="220"/>
        <v>135</v>
      </c>
      <c r="M243" s="33">
        <f t="shared" si="221"/>
        <v>62</v>
      </c>
      <c r="N243" s="28">
        <f t="shared" si="205"/>
        <v>0.83699999999999997</v>
      </c>
    </row>
    <row r="244" spans="2:14" s="52" customFormat="1" ht="14.25" customHeight="1" x14ac:dyDescent="0.2">
      <c r="B244" s="26">
        <v>224</v>
      </c>
      <c r="C244" s="27">
        <v>49</v>
      </c>
      <c r="D244" s="27">
        <v>24</v>
      </c>
      <c r="E244" s="28">
        <f t="shared" si="219"/>
        <v>8.1666666666666661</v>
      </c>
      <c r="G244" s="26">
        <v>224</v>
      </c>
      <c r="H244" s="27">
        <f t="shared" si="211"/>
        <v>138</v>
      </c>
      <c r="I244" s="27">
        <f t="shared" si="212"/>
        <v>67</v>
      </c>
      <c r="J244" s="28">
        <f t="shared" si="207"/>
        <v>0.92459999999999998</v>
      </c>
      <c r="K244" s="32"/>
      <c r="L244" s="33">
        <f t="shared" si="220"/>
        <v>133</v>
      </c>
      <c r="M244" s="33">
        <f t="shared" si="221"/>
        <v>62</v>
      </c>
      <c r="N244" s="28">
        <f t="shared" si="205"/>
        <v>0.8246</v>
      </c>
    </row>
    <row r="245" spans="2:14" s="52" customFormat="1" ht="14.25" customHeight="1" x14ac:dyDescent="0.2">
      <c r="B245" s="26">
        <v>225</v>
      </c>
      <c r="C245" s="27">
        <v>49</v>
      </c>
      <c r="D245" s="27">
        <v>24</v>
      </c>
      <c r="E245" s="28">
        <f t="shared" si="219"/>
        <v>8.1666666666666661</v>
      </c>
      <c r="G245" s="26">
        <v>225</v>
      </c>
      <c r="H245" s="27">
        <f t="shared" si="211"/>
        <v>138</v>
      </c>
      <c r="I245" s="27">
        <f t="shared" si="212"/>
        <v>67</v>
      </c>
      <c r="J245" s="28">
        <f t="shared" si="207"/>
        <v>0.92459999999999998</v>
      </c>
      <c r="K245" s="32"/>
      <c r="L245" s="33">
        <f t="shared" si="220"/>
        <v>133</v>
      </c>
      <c r="M245" s="33">
        <f t="shared" si="221"/>
        <v>62</v>
      </c>
      <c r="N245" s="28">
        <f t="shared" si="205"/>
        <v>0.8246</v>
      </c>
    </row>
    <row r="246" spans="2:14" s="52" customFormat="1" ht="14.25" customHeight="1" x14ac:dyDescent="0.2">
      <c r="B246" s="26">
        <v>226</v>
      </c>
      <c r="C246" s="27">
        <v>51</v>
      </c>
      <c r="D246" s="27">
        <v>22</v>
      </c>
      <c r="E246" s="28">
        <f t="shared" si="219"/>
        <v>7.791666666666667</v>
      </c>
      <c r="G246" s="26">
        <v>226</v>
      </c>
      <c r="H246" s="27">
        <f t="shared" si="211"/>
        <v>143</v>
      </c>
      <c r="I246" s="27">
        <f t="shared" si="212"/>
        <v>61</v>
      </c>
      <c r="J246" s="28">
        <f t="shared" si="207"/>
        <v>0.87229999999999996</v>
      </c>
      <c r="K246" s="32"/>
      <c r="L246" s="33">
        <f t="shared" si="220"/>
        <v>138</v>
      </c>
      <c r="M246" s="33">
        <f t="shared" si="221"/>
        <v>56</v>
      </c>
      <c r="N246" s="28">
        <f t="shared" si="205"/>
        <v>0.77280000000000004</v>
      </c>
    </row>
    <row r="247" spans="2:14" s="52" customFormat="1" ht="14.25" customHeight="1" x14ac:dyDescent="0.2">
      <c r="B247" s="26">
        <v>227</v>
      </c>
      <c r="C247" s="27">
        <v>49</v>
      </c>
      <c r="D247" s="27">
        <v>24</v>
      </c>
      <c r="E247" s="28">
        <f t="shared" si="219"/>
        <v>8.1666666666666661</v>
      </c>
      <c r="G247" s="26">
        <v>227</v>
      </c>
      <c r="H247" s="27">
        <f t="shared" si="211"/>
        <v>138</v>
      </c>
      <c r="I247" s="27">
        <f t="shared" si="212"/>
        <v>67</v>
      </c>
      <c r="J247" s="28">
        <f t="shared" si="207"/>
        <v>0.92459999999999998</v>
      </c>
      <c r="K247" s="32"/>
      <c r="L247" s="33">
        <f t="shared" si="220"/>
        <v>133</v>
      </c>
      <c r="M247" s="33">
        <f t="shared" si="221"/>
        <v>62</v>
      </c>
      <c r="N247" s="28">
        <f t="shared" si="205"/>
        <v>0.8246</v>
      </c>
    </row>
    <row r="248" spans="2:14" s="52" customFormat="1" ht="14.25" customHeight="1" x14ac:dyDescent="0.2">
      <c r="B248" s="26">
        <v>228</v>
      </c>
      <c r="C248" s="27">
        <v>37</v>
      </c>
      <c r="D248" s="27">
        <v>23</v>
      </c>
      <c r="E248" s="28">
        <f t="shared" si="219"/>
        <v>5.9097222222222223</v>
      </c>
      <c r="G248" s="26">
        <v>228</v>
      </c>
      <c r="H248" s="27">
        <f t="shared" si="211"/>
        <v>107</v>
      </c>
      <c r="I248" s="27">
        <f t="shared" si="212"/>
        <v>64</v>
      </c>
      <c r="J248" s="28">
        <f t="shared" si="207"/>
        <v>0.68479999999999996</v>
      </c>
      <c r="K248" s="32"/>
      <c r="L248" s="33">
        <f t="shared" si="220"/>
        <v>102</v>
      </c>
      <c r="M248" s="33">
        <f t="shared" si="221"/>
        <v>59</v>
      </c>
      <c r="N248" s="28">
        <f t="shared" si="205"/>
        <v>0.6018</v>
      </c>
    </row>
    <row r="249" spans="2:14" s="52" customFormat="1" ht="14.25" customHeight="1" x14ac:dyDescent="0.2">
      <c r="B249" s="26">
        <v>229</v>
      </c>
      <c r="C249" s="27">
        <v>40</v>
      </c>
      <c r="D249" s="27">
        <v>25</v>
      </c>
      <c r="E249" s="28">
        <f t="shared" si="219"/>
        <v>6.9444444444444446</v>
      </c>
      <c r="G249" s="26">
        <v>229</v>
      </c>
      <c r="H249" s="27">
        <f t="shared" si="211"/>
        <v>115</v>
      </c>
      <c r="I249" s="27">
        <f t="shared" si="212"/>
        <v>69</v>
      </c>
      <c r="J249" s="28">
        <f t="shared" si="207"/>
        <v>0.79349999999999998</v>
      </c>
      <c r="K249" s="32"/>
      <c r="L249" s="33">
        <f t="shared" si="220"/>
        <v>110</v>
      </c>
      <c r="M249" s="33">
        <f t="shared" si="221"/>
        <v>64</v>
      </c>
      <c r="N249" s="28">
        <f t="shared" si="205"/>
        <v>0.70399999999999996</v>
      </c>
    </row>
    <row r="250" spans="2:14" s="52" customFormat="1" ht="14.25" customHeight="1" x14ac:dyDescent="0.2">
      <c r="B250" s="26">
        <v>230</v>
      </c>
      <c r="C250" s="27">
        <v>37</v>
      </c>
      <c r="D250" s="27">
        <v>23</v>
      </c>
      <c r="E250" s="28">
        <f t="shared" si="219"/>
        <v>5.9097222222222223</v>
      </c>
      <c r="G250" s="26">
        <v>230</v>
      </c>
      <c r="H250" s="27">
        <f t="shared" si="211"/>
        <v>107</v>
      </c>
      <c r="I250" s="27">
        <f t="shared" si="212"/>
        <v>64</v>
      </c>
      <c r="J250" s="28">
        <f t="shared" si="207"/>
        <v>0.68479999999999996</v>
      </c>
      <c r="K250" s="32"/>
      <c r="L250" s="33">
        <f t="shared" si="220"/>
        <v>102</v>
      </c>
      <c r="M250" s="33">
        <f t="shared" si="221"/>
        <v>59</v>
      </c>
      <c r="N250" s="28">
        <f t="shared" si="205"/>
        <v>0.6018</v>
      </c>
    </row>
    <row r="251" spans="2:14" s="52" customFormat="1" ht="14.25" customHeight="1" x14ac:dyDescent="0.2">
      <c r="B251" s="26">
        <v>231</v>
      </c>
      <c r="C251" s="27">
        <v>61</v>
      </c>
      <c r="D251" s="27">
        <v>24</v>
      </c>
      <c r="E251" s="28">
        <f t="shared" si="219"/>
        <v>10.166666666666666</v>
      </c>
      <c r="G251" s="26">
        <v>231</v>
      </c>
      <c r="H251" s="27">
        <f t="shared" si="211"/>
        <v>168</v>
      </c>
      <c r="I251" s="27">
        <f t="shared" si="212"/>
        <v>67</v>
      </c>
      <c r="J251" s="28">
        <f t="shared" si="207"/>
        <v>1.1255999999999999</v>
      </c>
      <c r="K251" s="32"/>
      <c r="L251" s="33">
        <f t="shared" si="220"/>
        <v>163</v>
      </c>
      <c r="M251" s="33">
        <f t="shared" si="221"/>
        <v>62</v>
      </c>
      <c r="N251" s="28">
        <f t="shared" si="205"/>
        <v>1.0105999999999999</v>
      </c>
    </row>
    <row r="252" spans="2:14" s="52" customFormat="1" ht="14.25" customHeight="1" x14ac:dyDescent="0.2">
      <c r="B252" s="26">
        <v>232</v>
      </c>
      <c r="C252" s="27">
        <v>37</v>
      </c>
      <c r="D252" s="27">
        <v>25</v>
      </c>
      <c r="E252" s="28">
        <f t="shared" si="219"/>
        <v>6.4236111111111107</v>
      </c>
      <c r="G252" s="26">
        <v>232</v>
      </c>
      <c r="H252" s="27">
        <f t="shared" si="211"/>
        <v>107</v>
      </c>
      <c r="I252" s="27">
        <f t="shared" si="212"/>
        <v>69</v>
      </c>
      <c r="J252" s="28">
        <f t="shared" si="207"/>
        <v>0.73829999999999996</v>
      </c>
      <c r="K252" s="32"/>
      <c r="L252" s="33">
        <f t="shared" si="220"/>
        <v>102</v>
      </c>
      <c r="M252" s="33">
        <f t="shared" si="221"/>
        <v>64</v>
      </c>
      <c r="N252" s="28">
        <f t="shared" si="205"/>
        <v>0.65280000000000005</v>
      </c>
    </row>
    <row r="253" spans="2:14" s="52" customFormat="1" ht="14.25" customHeight="1" x14ac:dyDescent="0.2">
      <c r="B253" s="26">
        <v>233</v>
      </c>
      <c r="C253" s="27">
        <v>53</v>
      </c>
      <c r="D253" s="27">
        <v>25</v>
      </c>
      <c r="E253" s="28">
        <f t="shared" si="219"/>
        <v>9.2013888888888893</v>
      </c>
      <c r="G253" s="26">
        <v>233</v>
      </c>
      <c r="H253" s="27">
        <f t="shared" si="211"/>
        <v>148</v>
      </c>
      <c r="I253" s="27">
        <f t="shared" si="212"/>
        <v>69</v>
      </c>
      <c r="J253" s="28">
        <f t="shared" si="207"/>
        <v>1.0212000000000001</v>
      </c>
      <c r="K253" s="32"/>
      <c r="L253" s="33">
        <f t="shared" si="220"/>
        <v>143</v>
      </c>
      <c r="M253" s="33">
        <f t="shared" si="221"/>
        <v>64</v>
      </c>
      <c r="N253" s="28">
        <f t="shared" si="205"/>
        <v>0.91520000000000001</v>
      </c>
    </row>
    <row r="254" spans="2:14" s="52" customFormat="1" ht="14.25" customHeight="1" x14ac:dyDescent="0.2">
      <c r="B254" s="26">
        <v>234</v>
      </c>
      <c r="C254" s="27">
        <v>48</v>
      </c>
      <c r="D254" s="27">
        <v>25</v>
      </c>
      <c r="E254" s="28">
        <f t="shared" si="219"/>
        <v>8.3333333333333339</v>
      </c>
      <c r="G254" s="26">
        <v>234</v>
      </c>
      <c r="H254" s="27">
        <f t="shared" si="211"/>
        <v>135</v>
      </c>
      <c r="I254" s="27">
        <f t="shared" si="212"/>
        <v>69</v>
      </c>
      <c r="J254" s="28">
        <f t="shared" si="207"/>
        <v>0.93149999999999999</v>
      </c>
      <c r="K254" s="32"/>
      <c r="L254" s="33">
        <f t="shared" si="220"/>
        <v>130</v>
      </c>
      <c r="M254" s="33">
        <f t="shared" si="221"/>
        <v>64</v>
      </c>
      <c r="N254" s="28">
        <f t="shared" si="205"/>
        <v>0.83199999999999996</v>
      </c>
    </row>
    <row r="255" spans="2:14" s="52" customFormat="1" ht="14.25" customHeight="1" x14ac:dyDescent="0.2">
      <c r="B255" s="26">
        <v>235</v>
      </c>
      <c r="C255" s="27">
        <v>56</v>
      </c>
      <c r="D255" s="27">
        <v>25</v>
      </c>
      <c r="E255" s="28">
        <f t="shared" si="219"/>
        <v>9.7222222222222214</v>
      </c>
      <c r="G255" s="26">
        <v>235</v>
      </c>
      <c r="H255" s="27">
        <f t="shared" si="211"/>
        <v>155</v>
      </c>
      <c r="I255" s="27">
        <f t="shared" si="212"/>
        <v>69</v>
      </c>
      <c r="J255" s="28">
        <f t="shared" si="207"/>
        <v>1.0694999999999999</v>
      </c>
      <c r="K255" s="32"/>
      <c r="L255" s="33">
        <f t="shared" si="220"/>
        <v>150</v>
      </c>
      <c r="M255" s="33">
        <f t="shared" si="221"/>
        <v>64</v>
      </c>
      <c r="N255" s="28">
        <f t="shared" si="205"/>
        <v>0.96</v>
      </c>
    </row>
    <row r="256" spans="2:14" s="52" customFormat="1" ht="14.25" customHeight="1" x14ac:dyDescent="0.2">
      <c r="B256" s="26">
        <v>236</v>
      </c>
      <c r="C256" s="27">
        <v>51</v>
      </c>
      <c r="D256" s="27">
        <v>25</v>
      </c>
      <c r="E256" s="28">
        <f t="shared" si="219"/>
        <v>8.8541666666666661</v>
      </c>
      <c r="G256" s="26">
        <v>236</v>
      </c>
      <c r="H256" s="27">
        <f t="shared" si="211"/>
        <v>143</v>
      </c>
      <c r="I256" s="27">
        <f t="shared" si="212"/>
        <v>69</v>
      </c>
      <c r="J256" s="28">
        <f t="shared" si="207"/>
        <v>0.98670000000000002</v>
      </c>
      <c r="K256" s="32"/>
      <c r="L256" s="33">
        <f t="shared" si="220"/>
        <v>138</v>
      </c>
      <c r="M256" s="33">
        <f t="shared" si="221"/>
        <v>64</v>
      </c>
      <c r="N256" s="28">
        <f t="shared" si="205"/>
        <v>0.88319999999999999</v>
      </c>
    </row>
    <row r="257" spans="2:14" s="52" customFormat="1" ht="14.25" customHeight="1" x14ac:dyDescent="0.2">
      <c r="B257" s="26">
        <v>237</v>
      </c>
      <c r="C257" s="27">
        <v>33</v>
      </c>
      <c r="D257" s="27">
        <v>25</v>
      </c>
      <c r="E257" s="28">
        <f t="shared" si="219"/>
        <v>5.729166666666667</v>
      </c>
      <c r="G257" s="26">
        <v>237</v>
      </c>
      <c r="H257" s="27">
        <f t="shared" si="211"/>
        <v>97</v>
      </c>
      <c r="I257" s="27">
        <f t="shared" si="212"/>
        <v>69</v>
      </c>
      <c r="J257" s="28">
        <f t="shared" si="207"/>
        <v>0.66930000000000001</v>
      </c>
      <c r="K257" s="32"/>
      <c r="L257" s="33">
        <f t="shared" si="220"/>
        <v>92</v>
      </c>
      <c r="M257" s="33">
        <f t="shared" si="221"/>
        <v>64</v>
      </c>
      <c r="N257" s="28">
        <f t="shared" si="205"/>
        <v>0.58879999999999999</v>
      </c>
    </row>
    <row r="258" spans="2:14" s="52" customFormat="1" ht="14.25" customHeight="1" x14ac:dyDescent="0.2">
      <c r="B258" s="26">
        <v>238</v>
      </c>
      <c r="C258" s="27">
        <v>58</v>
      </c>
      <c r="D258" s="27">
        <v>25</v>
      </c>
      <c r="E258" s="28">
        <f t="shared" si="219"/>
        <v>10.069444444444445</v>
      </c>
      <c r="G258" s="26">
        <v>238</v>
      </c>
      <c r="H258" s="27">
        <f t="shared" si="211"/>
        <v>161</v>
      </c>
      <c r="I258" s="27">
        <f t="shared" si="212"/>
        <v>69</v>
      </c>
      <c r="J258" s="28">
        <f t="shared" si="207"/>
        <v>1.1109</v>
      </c>
      <c r="K258" s="32"/>
      <c r="L258" s="33">
        <f t="shared" si="220"/>
        <v>156</v>
      </c>
      <c r="M258" s="33">
        <f t="shared" si="221"/>
        <v>64</v>
      </c>
      <c r="N258" s="28">
        <f t="shared" si="205"/>
        <v>0.99839999999999995</v>
      </c>
    </row>
    <row r="259" spans="2:14" s="52" customFormat="1" ht="14.25" customHeight="1" x14ac:dyDescent="0.2">
      <c r="B259" s="26">
        <v>239</v>
      </c>
      <c r="C259" s="27">
        <v>34</v>
      </c>
      <c r="D259" s="27">
        <v>25</v>
      </c>
      <c r="E259" s="28">
        <f t="shared" si="219"/>
        <v>5.9027777777777777</v>
      </c>
      <c r="G259" s="26">
        <v>239</v>
      </c>
      <c r="H259" s="27">
        <f t="shared" si="211"/>
        <v>100</v>
      </c>
      <c r="I259" s="27">
        <f t="shared" si="212"/>
        <v>69</v>
      </c>
      <c r="J259" s="28">
        <f t="shared" si="207"/>
        <v>0.69</v>
      </c>
      <c r="K259" s="32"/>
      <c r="L259" s="33">
        <f t="shared" si="220"/>
        <v>95</v>
      </c>
      <c r="M259" s="33">
        <f t="shared" si="221"/>
        <v>64</v>
      </c>
      <c r="N259" s="28">
        <f t="shared" si="205"/>
        <v>0.60799999999999998</v>
      </c>
    </row>
    <row r="260" spans="2:14" s="52" customFormat="1" ht="14.25" customHeight="1" x14ac:dyDescent="0.2">
      <c r="B260" s="26">
        <v>240</v>
      </c>
      <c r="C260" s="27">
        <v>48</v>
      </c>
      <c r="D260" s="27">
        <v>25</v>
      </c>
      <c r="E260" s="28">
        <f t="shared" si="219"/>
        <v>8.3333333333333339</v>
      </c>
      <c r="G260" s="26">
        <v>240</v>
      </c>
      <c r="H260" s="27">
        <f t="shared" si="211"/>
        <v>135</v>
      </c>
      <c r="I260" s="27">
        <f t="shared" si="212"/>
        <v>69</v>
      </c>
      <c r="J260" s="28">
        <f t="shared" si="207"/>
        <v>0.93149999999999999</v>
      </c>
      <c r="K260" s="32"/>
      <c r="L260" s="33">
        <f t="shared" si="220"/>
        <v>130</v>
      </c>
      <c r="M260" s="33">
        <f t="shared" si="221"/>
        <v>64</v>
      </c>
      <c r="N260" s="28">
        <f t="shared" si="205"/>
        <v>0.83199999999999996</v>
      </c>
    </row>
    <row r="261" spans="2:14" s="52" customFormat="1" ht="14.25" customHeight="1" x14ac:dyDescent="0.2">
      <c r="B261" s="26">
        <v>241</v>
      </c>
      <c r="C261" s="27">
        <v>44</v>
      </c>
      <c r="D261" s="27">
        <v>25</v>
      </c>
      <c r="E261" s="28">
        <f t="shared" si="219"/>
        <v>7.6388888888888893</v>
      </c>
      <c r="G261" s="26">
        <v>241</v>
      </c>
      <c r="H261" s="27">
        <f t="shared" si="211"/>
        <v>125</v>
      </c>
      <c r="I261" s="27">
        <f t="shared" si="212"/>
        <v>69</v>
      </c>
      <c r="J261" s="28">
        <f t="shared" si="207"/>
        <v>0.86250000000000004</v>
      </c>
      <c r="K261" s="32"/>
      <c r="L261" s="33">
        <f t="shared" si="220"/>
        <v>120</v>
      </c>
      <c r="M261" s="33">
        <f t="shared" si="221"/>
        <v>64</v>
      </c>
      <c r="N261" s="28">
        <f t="shared" si="205"/>
        <v>0.76800000000000002</v>
      </c>
    </row>
    <row r="262" spans="2:14" s="52" customFormat="1" ht="14.25" customHeight="1" x14ac:dyDescent="0.2">
      <c r="B262" s="26">
        <v>242</v>
      </c>
      <c r="C262" s="27">
        <v>45</v>
      </c>
      <c r="D262" s="27">
        <v>25</v>
      </c>
      <c r="E262" s="28">
        <f t="shared" si="219"/>
        <v>7.8125</v>
      </c>
      <c r="G262" s="26">
        <v>242</v>
      </c>
      <c r="H262" s="27">
        <f t="shared" si="211"/>
        <v>127</v>
      </c>
      <c r="I262" s="27">
        <f t="shared" si="212"/>
        <v>69</v>
      </c>
      <c r="J262" s="28">
        <f t="shared" si="207"/>
        <v>0.87629999999999997</v>
      </c>
      <c r="K262" s="32"/>
      <c r="L262" s="33">
        <f t="shared" si="220"/>
        <v>122</v>
      </c>
      <c r="M262" s="33">
        <f t="shared" si="221"/>
        <v>64</v>
      </c>
      <c r="N262" s="28">
        <f t="shared" si="205"/>
        <v>0.78080000000000005</v>
      </c>
    </row>
    <row r="263" spans="2:14" s="52" customFormat="1" ht="14.25" customHeight="1" x14ac:dyDescent="0.2">
      <c r="B263" s="26">
        <v>243</v>
      </c>
      <c r="C263" s="27">
        <v>58</v>
      </c>
      <c r="D263" s="27">
        <v>22</v>
      </c>
      <c r="E263" s="28">
        <f t="shared" si="219"/>
        <v>8.8611111111111107</v>
      </c>
      <c r="G263" s="26">
        <v>243</v>
      </c>
      <c r="H263" s="27">
        <f t="shared" si="211"/>
        <v>161</v>
      </c>
      <c r="I263" s="27">
        <f t="shared" si="212"/>
        <v>61</v>
      </c>
      <c r="J263" s="28">
        <f t="shared" si="207"/>
        <v>0.98209999999999997</v>
      </c>
      <c r="K263" s="32"/>
      <c r="L263" s="33">
        <f t="shared" si="220"/>
        <v>156</v>
      </c>
      <c r="M263" s="33">
        <f t="shared" si="221"/>
        <v>56</v>
      </c>
      <c r="N263" s="28">
        <f t="shared" si="205"/>
        <v>0.87360000000000004</v>
      </c>
    </row>
    <row r="264" spans="2:14" s="52" customFormat="1" ht="14.25" customHeight="1" x14ac:dyDescent="0.2">
      <c r="B264" s="26">
        <v>244</v>
      </c>
      <c r="C264" s="27">
        <v>33</v>
      </c>
      <c r="D264" s="27">
        <v>22</v>
      </c>
      <c r="E264" s="28">
        <f t="shared" si="219"/>
        <v>5.041666666666667</v>
      </c>
      <c r="G264" s="26">
        <v>244</v>
      </c>
      <c r="H264" s="27">
        <f t="shared" si="211"/>
        <v>97</v>
      </c>
      <c r="I264" s="27">
        <f t="shared" si="212"/>
        <v>61</v>
      </c>
      <c r="J264" s="28">
        <f t="shared" si="207"/>
        <v>0.5917</v>
      </c>
      <c r="K264" s="32"/>
      <c r="L264" s="33">
        <f t="shared" si="220"/>
        <v>92</v>
      </c>
      <c r="M264" s="33">
        <f t="shared" si="221"/>
        <v>56</v>
      </c>
      <c r="N264" s="28">
        <f t="shared" si="205"/>
        <v>0.51519999999999999</v>
      </c>
    </row>
    <row r="265" spans="2:14" s="52" customFormat="1" ht="14.25" customHeight="1" x14ac:dyDescent="0.2">
      <c r="B265" s="26">
        <v>245</v>
      </c>
      <c r="C265" s="27">
        <v>53</v>
      </c>
      <c r="D265" s="27">
        <v>26</v>
      </c>
      <c r="E265" s="28">
        <f t="shared" si="219"/>
        <v>9.5694444444444446</v>
      </c>
      <c r="G265" s="26">
        <v>245</v>
      </c>
      <c r="H265" s="27">
        <f t="shared" si="211"/>
        <v>148</v>
      </c>
      <c r="I265" s="27">
        <f t="shared" si="212"/>
        <v>72</v>
      </c>
      <c r="J265" s="28">
        <f t="shared" si="207"/>
        <v>1.0656000000000001</v>
      </c>
      <c r="K265" s="32"/>
      <c r="L265" s="33">
        <f t="shared" si="220"/>
        <v>143</v>
      </c>
      <c r="M265" s="33">
        <f t="shared" si="221"/>
        <v>67</v>
      </c>
      <c r="N265" s="28">
        <f t="shared" si="205"/>
        <v>0.95809999999999995</v>
      </c>
    </row>
    <row r="266" spans="2:14" s="52" customFormat="1" ht="14.25" customHeight="1" x14ac:dyDescent="0.2">
      <c r="B266" s="26">
        <v>246</v>
      </c>
      <c r="C266" s="27">
        <v>60</v>
      </c>
      <c r="D266" s="27">
        <v>23</v>
      </c>
      <c r="E266" s="28">
        <f t="shared" si="219"/>
        <v>9.5833333333333339</v>
      </c>
      <c r="G266" s="26">
        <v>246</v>
      </c>
      <c r="H266" s="27">
        <f t="shared" si="211"/>
        <v>166</v>
      </c>
      <c r="I266" s="27">
        <f t="shared" si="212"/>
        <v>64</v>
      </c>
      <c r="J266" s="28">
        <f t="shared" si="207"/>
        <v>1.0624</v>
      </c>
      <c r="K266" s="32"/>
      <c r="L266" s="33">
        <f t="shared" si="220"/>
        <v>161</v>
      </c>
      <c r="M266" s="33">
        <f t="shared" si="221"/>
        <v>59</v>
      </c>
      <c r="N266" s="28">
        <f t="shared" si="205"/>
        <v>0.94989999999999997</v>
      </c>
    </row>
    <row r="267" spans="2:14" s="52" customFormat="1" ht="14.25" customHeight="1" x14ac:dyDescent="0.2">
      <c r="B267" s="26">
        <v>247</v>
      </c>
      <c r="C267" s="27">
        <v>46</v>
      </c>
      <c r="D267" s="27">
        <v>24</v>
      </c>
      <c r="E267" s="28">
        <f t="shared" si="219"/>
        <v>7.666666666666667</v>
      </c>
      <c r="G267" s="26">
        <v>247</v>
      </c>
      <c r="H267" s="27">
        <f t="shared" si="211"/>
        <v>130</v>
      </c>
      <c r="I267" s="27">
        <f t="shared" si="212"/>
        <v>67</v>
      </c>
      <c r="J267" s="28">
        <f t="shared" si="207"/>
        <v>0.871</v>
      </c>
      <c r="K267" s="32"/>
      <c r="L267" s="33">
        <f t="shared" si="220"/>
        <v>125</v>
      </c>
      <c r="M267" s="33">
        <f t="shared" si="221"/>
        <v>62</v>
      </c>
      <c r="N267" s="28">
        <f t="shared" si="205"/>
        <v>0.77500000000000002</v>
      </c>
    </row>
    <row r="268" spans="2:14" s="52" customFormat="1" ht="14.25" customHeight="1" x14ac:dyDescent="0.2">
      <c r="B268" s="26">
        <v>248</v>
      </c>
      <c r="C268" s="27">
        <v>59</v>
      </c>
      <c r="D268" s="27">
        <v>24</v>
      </c>
      <c r="E268" s="28">
        <f t="shared" si="219"/>
        <v>9.8333333333333339</v>
      </c>
      <c r="G268" s="26">
        <v>248</v>
      </c>
      <c r="H268" s="27">
        <f t="shared" si="211"/>
        <v>163</v>
      </c>
      <c r="I268" s="27">
        <f t="shared" si="212"/>
        <v>67</v>
      </c>
      <c r="J268" s="28">
        <f t="shared" si="207"/>
        <v>1.0921000000000001</v>
      </c>
      <c r="K268" s="32"/>
      <c r="L268" s="33">
        <f t="shared" si="220"/>
        <v>158</v>
      </c>
      <c r="M268" s="33">
        <f t="shared" si="221"/>
        <v>62</v>
      </c>
      <c r="N268" s="28">
        <f t="shared" si="205"/>
        <v>0.97960000000000003</v>
      </c>
    </row>
    <row r="269" spans="2:14" s="52" customFormat="1" ht="14.25" customHeight="1" x14ac:dyDescent="0.2">
      <c r="B269" s="26">
        <v>249</v>
      </c>
      <c r="C269" s="27">
        <v>61</v>
      </c>
      <c r="D269" s="27">
        <v>23</v>
      </c>
      <c r="E269" s="28">
        <f t="shared" si="219"/>
        <v>9.7430555555555554</v>
      </c>
      <c r="G269" s="26">
        <v>249</v>
      </c>
      <c r="H269" s="27">
        <f t="shared" si="211"/>
        <v>168</v>
      </c>
      <c r="I269" s="27">
        <f t="shared" si="212"/>
        <v>64</v>
      </c>
      <c r="J269" s="28">
        <f t="shared" si="207"/>
        <v>1.0751999999999999</v>
      </c>
      <c r="K269" s="32"/>
      <c r="L269" s="33">
        <f t="shared" si="220"/>
        <v>163</v>
      </c>
      <c r="M269" s="33">
        <f t="shared" si="221"/>
        <v>59</v>
      </c>
      <c r="N269" s="28">
        <f t="shared" si="205"/>
        <v>0.9617</v>
      </c>
    </row>
    <row r="270" spans="2:14" s="52" customFormat="1" ht="14.25" customHeight="1" x14ac:dyDescent="0.2">
      <c r="B270" s="26">
        <v>250</v>
      </c>
      <c r="C270" s="27">
        <v>59</v>
      </c>
      <c r="D270" s="27">
        <v>23</v>
      </c>
      <c r="E270" s="28">
        <f t="shared" si="219"/>
        <v>9.4236111111111107</v>
      </c>
      <c r="G270" s="26">
        <v>250</v>
      </c>
      <c r="H270" s="27">
        <f t="shared" si="211"/>
        <v>163</v>
      </c>
      <c r="I270" s="27">
        <f t="shared" si="212"/>
        <v>64</v>
      </c>
      <c r="J270" s="28">
        <f t="shared" si="207"/>
        <v>1.0431999999999999</v>
      </c>
      <c r="K270" s="32"/>
      <c r="L270" s="33">
        <f t="shared" si="220"/>
        <v>158</v>
      </c>
      <c r="M270" s="33">
        <f t="shared" si="221"/>
        <v>59</v>
      </c>
      <c r="N270" s="28">
        <f t="shared" si="205"/>
        <v>0.93220000000000003</v>
      </c>
    </row>
    <row r="271" spans="2:14" s="52" customFormat="1" ht="14.25" customHeight="1" x14ac:dyDescent="0.2">
      <c r="B271" s="26">
        <v>251</v>
      </c>
      <c r="C271" s="27">
        <v>56</v>
      </c>
      <c r="D271" s="27">
        <v>23</v>
      </c>
      <c r="E271" s="28">
        <f t="shared" si="219"/>
        <v>8.9444444444444446</v>
      </c>
      <c r="G271" s="26">
        <v>251</v>
      </c>
      <c r="H271" s="27">
        <f t="shared" si="211"/>
        <v>155</v>
      </c>
      <c r="I271" s="27">
        <f t="shared" si="212"/>
        <v>64</v>
      </c>
      <c r="J271" s="28">
        <f t="shared" si="207"/>
        <v>0.99199999999999999</v>
      </c>
      <c r="K271" s="32"/>
      <c r="L271" s="33">
        <f t="shared" si="220"/>
        <v>150</v>
      </c>
      <c r="M271" s="33">
        <f t="shared" si="221"/>
        <v>59</v>
      </c>
      <c r="N271" s="28">
        <f t="shared" si="205"/>
        <v>0.88500000000000001</v>
      </c>
    </row>
    <row r="272" spans="2:14" s="52" customFormat="1" ht="14.25" customHeight="1" x14ac:dyDescent="0.2">
      <c r="B272" s="26">
        <v>252</v>
      </c>
      <c r="C272" s="27">
        <v>59</v>
      </c>
      <c r="D272" s="27">
        <v>23</v>
      </c>
      <c r="E272" s="28">
        <f t="shared" si="219"/>
        <v>9.4236111111111107</v>
      </c>
      <c r="G272" s="26">
        <v>252</v>
      </c>
      <c r="H272" s="27">
        <f t="shared" si="211"/>
        <v>163</v>
      </c>
      <c r="I272" s="27">
        <f t="shared" si="212"/>
        <v>64</v>
      </c>
      <c r="J272" s="28">
        <f t="shared" si="207"/>
        <v>1.0431999999999999</v>
      </c>
      <c r="K272" s="32"/>
      <c r="L272" s="33">
        <f t="shared" si="220"/>
        <v>158</v>
      </c>
      <c r="M272" s="33">
        <f t="shared" si="221"/>
        <v>59</v>
      </c>
      <c r="N272" s="28">
        <f t="shared" si="205"/>
        <v>0.93220000000000003</v>
      </c>
    </row>
    <row r="273" spans="2:15" s="52" customFormat="1" ht="14.25" customHeight="1" x14ac:dyDescent="0.2">
      <c r="B273" s="26">
        <v>253</v>
      </c>
      <c r="C273" s="27">
        <v>58</v>
      </c>
      <c r="D273" s="27">
        <v>23</v>
      </c>
      <c r="E273" s="28">
        <f t="shared" si="219"/>
        <v>9.2638888888888893</v>
      </c>
      <c r="G273" s="26">
        <v>253</v>
      </c>
      <c r="H273" s="27">
        <f t="shared" si="211"/>
        <v>161</v>
      </c>
      <c r="I273" s="27">
        <f t="shared" si="212"/>
        <v>64</v>
      </c>
      <c r="J273" s="28">
        <f t="shared" si="207"/>
        <v>1.0304</v>
      </c>
      <c r="K273" s="32"/>
      <c r="L273" s="33">
        <f t="shared" si="220"/>
        <v>156</v>
      </c>
      <c r="M273" s="33">
        <f t="shared" si="221"/>
        <v>59</v>
      </c>
      <c r="N273" s="28">
        <f t="shared" si="205"/>
        <v>0.9204</v>
      </c>
    </row>
    <row r="274" spans="2:15" s="52" customFormat="1" ht="14.25" customHeight="1" x14ac:dyDescent="0.2">
      <c r="B274" s="26">
        <v>254</v>
      </c>
      <c r="C274" s="27">
        <v>56</v>
      </c>
      <c r="D274" s="27">
        <v>23</v>
      </c>
      <c r="E274" s="28">
        <f t="shared" si="219"/>
        <v>8.9444444444444446</v>
      </c>
      <c r="G274" s="26">
        <v>254</v>
      </c>
      <c r="H274" s="27">
        <f t="shared" si="211"/>
        <v>155</v>
      </c>
      <c r="I274" s="27">
        <f t="shared" si="212"/>
        <v>64</v>
      </c>
      <c r="J274" s="28">
        <f t="shared" si="207"/>
        <v>0.99199999999999999</v>
      </c>
      <c r="K274" s="32"/>
      <c r="L274" s="33">
        <f t="shared" si="220"/>
        <v>150</v>
      </c>
      <c r="M274" s="33">
        <f t="shared" si="221"/>
        <v>59</v>
      </c>
      <c r="N274" s="28">
        <f t="shared" ref="N274:N337" si="222">L274*M274/10000</f>
        <v>0.88500000000000001</v>
      </c>
    </row>
    <row r="275" spans="2:15" s="52" customFormat="1" ht="14.25" customHeight="1" x14ac:dyDescent="0.2">
      <c r="B275" s="26">
        <v>255</v>
      </c>
      <c r="C275" s="27">
        <v>56</v>
      </c>
      <c r="D275" s="27">
        <v>23</v>
      </c>
      <c r="E275" s="28">
        <f t="shared" si="219"/>
        <v>8.9444444444444446</v>
      </c>
      <c r="G275" s="26">
        <v>255</v>
      </c>
      <c r="H275" s="27">
        <f t="shared" si="211"/>
        <v>155</v>
      </c>
      <c r="I275" s="27">
        <f t="shared" si="212"/>
        <v>64</v>
      </c>
      <c r="J275" s="28">
        <f t="shared" si="207"/>
        <v>0.99199999999999999</v>
      </c>
      <c r="K275" s="32"/>
      <c r="L275" s="33">
        <f t="shared" si="220"/>
        <v>150</v>
      </c>
      <c r="M275" s="33">
        <f t="shared" si="221"/>
        <v>59</v>
      </c>
      <c r="N275" s="28">
        <f t="shared" si="222"/>
        <v>0.88500000000000001</v>
      </c>
    </row>
    <row r="276" spans="2:15" s="52" customFormat="1" ht="14.25" customHeight="1" x14ac:dyDescent="0.2">
      <c r="B276" s="26">
        <v>256</v>
      </c>
      <c r="C276" s="27">
        <v>57</v>
      </c>
      <c r="D276" s="27">
        <v>23</v>
      </c>
      <c r="E276" s="28">
        <f t="shared" si="219"/>
        <v>9.1041666666666661</v>
      </c>
      <c r="G276" s="26">
        <v>256</v>
      </c>
      <c r="H276" s="27">
        <f t="shared" si="211"/>
        <v>158</v>
      </c>
      <c r="I276" s="27">
        <f t="shared" si="212"/>
        <v>64</v>
      </c>
      <c r="J276" s="28">
        <f t="shared" ref="J276:J339" si="223">H276*I276/10000</f>
        <v>1.0112000000000001</v>
      </c>
      <c r="K276" s="32"/>
      <c r="L276" s="33">
        <f t="shared" si="220"/>
        <v>153</v>
      </c>
      <c r="M276" s="33">
        <f t="shared" si="221"/>
        <v>59</v>
      </c>
      <c r="N276" s="28">
        <f t="shared" si="222"/>
        <v>0.90269999999999995</v>
      </c>
    </row>
    <row r="277" spans="2:15" s="52" customFormat="1" ht="14.25" customHeight="1" x14ac:dyDescent="0.2">
      <c r="B277" s="26">
        <v>257</v>
      </c>
      <c r="C277" s="27">
        <v>57</v>
      </c>
      <c r="D277" s="27">
        <v>23</v>
      </c>
      <c r="E277" s="28">
        <f t="shared" si="219"/>
        <v>9.1041666666666661</v>
      </c>
      <c r="G277" s="26">
        <v>257</v>
      </c>
      <c r="H277" s="27">
        <f t="shared" si="211"/>
        <v>158</v>
      </c>
      <c r="I277" s="27">
        <f t="shared" si="212"/>
        <v>64</v>
      </c>
      <c r="J277" s="28">
        <f t="shared" si="223"/>
        <v>1.0112000000000001</v>
      </c>
      <c r="K277" s="32"/>
      <c r="L277" s="33">
        <f t="shared" si="220"/>
        <v>153</v>
      </c>
      <c r="M277" s="33">
        <f t="shared" si="221"/>
        <v>59</v>
      </c>
      <c r="N277" s="28">
        <f t="shared" si="222"/>
        <v>0.90269999999999995</v>
      </c>
    </row>
    <row r="278" spans="2:15" s="52" customFormat="1" ht="14.25" customHeight="1" x14ac:dyDescent="0.2">
      <c r="B278" s="26">
        <v>258</v>
      </c>
      <c r="C278" s="27">
        <v>56</v>
      </c>
      <c r="D278" s="27">
        <v>23</v>
      </c>
      <c r="E278" s="28">
        <f t="shared" si="219"/>
        <v>8.9444444444444446</v>
      </c>
      <c r="G278" s="26">
        <v>258</v>
      </c>
      <c r="H278" s="27">
        <f t="shared" ref="H278:H341" si="224">ROUNDUP((C278+5)*2.54,0)</f>
        <v>155</v>
      </c>
      <c r="I278" s="27">
        <f t="shared" ref="I278:I341" si="225">ROUNDUP((D278+2)*2.54,0)</f>
        <v>64</v>
      </c>
      <c r="J278" s="28">
        <f t="shared" si="223"/>
        <v>0.99199999999999999</v>
      </c>
      <c r="K278" s="32"/>
      <c r="L278" s="33">
        <f t="shared" si="220"/>
        <v>150</v>
      </c>
      <c r="M278" s="33">
        <f t="shared" si="221"/>
        <v>59</v>
      </c>
      <c r="N278" s="28">
        <f t="shared" si="222"/>
        <v>0.88500000000000001</v>
      </c>
    </row>
    <row r="279" spans="2:15" s="52" customFormat="1" ht="14.25" customHeight="1" x14ac:dyDescent="0.2">
      <c r="B279" s="26">
        <v>259</v>
      </c>
      <c r="C279" s="27">
        <v>53</v>
      </c>
      <c r="D279" s="27">
        <v>23</v>
      </c>
      <c r="E279" s="28">
        <f t="shared" si="219"/>
        <v>8.4652777777777786</v>
      </c>
      <c r="G279" s="26">
        <v>259</v>
      </c>
      <c r="H279" s="27">
        <f t="shared" si="224"/>
        <v>148</v>
      </c>
      <c r="I279" s="27">
        <f t="shared" si="225"/>
        <v>64</v>
      </c>
      <c r="J279" s="28">
        <f t="shared" si="223"/>
        <v>0.94720000000000004</v>
      </c>
      <c r="K279" s="32"/>
      <c r="L279" s="33">
        <f t="shared" si="220"/>
        <v>143</v>
      </c>
      <c r="M279" s="33">
        <f t="shared" si="221"/>
        <v>59</v>
      </c>
      <c r="N279" s="28">
        <f t="shared" si="222"/>
        <v>0.84370000000000001</v>
      </c>
    </row>
    <row r="280" spans="2:15" s="52" customFormat="1" ht="14.25" customHeight="1" x14ac:dyDescent="0.2">
      <c r="B280" s="26">
        <v>260</v>
      </c>
      <c r="C280" s="27">
        <v>50</v>
      </c>
      <c r="D280" s="27">
        <v>23</v>
      </c>
      <c r="E280" s="28">
        <f t="shared" si="219"/>
        <v>7.9861111111111107</v>
      </c>
      <c r="G280" s="26">
        <v>260</v>
      </c>
      <c r="H280" s="27">
        <f t="shared" si="224"/>
        <v>140</v>
      </c>
      <c r="I280" s="27">
        <f t="shared" si="225"/>
        <v>64</v>
      </c>
      <c r="J280" s="28">
        <f t="shared" si="223"/>
        <v>0.89600000000000002</v>
      </c>
      <c r="K280" s="32"/>
      <c r="L280" s="33">
        <f t="shared" si="220"/>
        <v>135</v>
      </c>
      <c r="M280" s="33">
        <f t="shared" si="221"/>
        <v>59</v>
      </c>
      <c r="N280" s="28">
        <f t="shared" si="222"/>
        <v>0.79649999999999999</v>
      </c>
    </row>
    <row r="281" spans="2:15" s="52" customFormat="1" ht="14.25" customHeight="1" x14ac:dyDescent="0.2">
      <c r="B281" s="26">
        <v>261</v>
      </c>
      <c r="C281" s="27">
        <v>41</v>
      </c>
      <c r="D281" s="27">
        <v>22</v>
      </c>
      <c r="E281" s="28">
        <f t="shared" si="219"/>
        <v>6.2638888888888893</v>
      </c>
      <c r="G281" s="26">
        <v>261</v>
      </c>
      <c r="H281" s="27">
        <f t="shared" si="224"/>
        <v>117</v>
      </c>
      <c r="I281" s="27">
        <f t="shared" si="225"/>
        <v>61</v>
      </c>
      <c r="J281" s="28">
        <f t="shared" si="223"/>
        <v>0.7137</v>
      </c>
      <c r="K281" s="32"/>
      <c r="L281" s="33">
        <f t="shared" si="220"/>
        <v>112</v>
      </c>
      <c r="M281" s="33">
        <f t="shared" si="221"/>
        <v>56</v>
      </c>
      <c r="N281" s="28">
        <f t="shared" si="222"/>
        <v>0.62719999999999998</v>
      </c>
    </row>
    <row r="282" spans="2:15" s="52" customFormat="1" ht="14.25" customHeight="1" x14ac:dyDescent="0.2">
      <c r="B282" s="26">
        <v>262</v>
      </c>
      <c r="C282" s="27">
        <v>47</v>
      </c>
      <c r="D282" s="27">
        <v>23</v>
      </c>
      <c r="E282" s="28">
        <f t="shared" si="219"/>
        <v>7.5069444444444446</v>
      </c>
      <c r="G282" s="26">
        <v>262</v>
      </c>
      <c r="H282" s="27">
        <f t="shared" si="224"/>
        <v>133</v>
      </c>
      <c r="I282" s="27">
        <f t="shared" si="225"/>
        <v>64</v>
      </c>
      <c r="J282" s="28">
        <f t="shared" si="223"/>
        <v>0.85119999999999996</v>
      </c>
      <c r="K282" s="32"/>
      <c r="L282" s="33">
        <f t="shared" si="220"/>
        <v>128</v>
      </c>
      <c r="M282" s="33">
        <f t="shared" si="221"/>
        <v>59</v>
      </c>
      <c r="N282" s="28">
        <f t="shared" si="222"/>
        <v>0.75519999999999998</v>
      </c>
    </row>
    <row r="283" spans="2:15" s="52" customFormat="1" ht="14.25" customHeight="1" x14ac:dyDescent="0.2">
      <c r="B283" s="26">
        <v>263</v>
      </c>
      <c r="C283" s="27">
        <v>60</v>
      </c>
      <c r="D283" s="27">
        <v>22</v>
      </c>
      <c r="E283" s="28">
        <f t="shared" si="219"/>
        <v>9.1666666666666661</v>
      </c>
      <c r="G283" s="26">
        <v>263</v>
      </c>
      <c r="H283" s="27">
        <f t="shared" si="224"/>
        <v>166</v>
      </c>
      <c r="I283" s="27">
        <f t="shared" si="225"/>
        <v>61</v>
      </c>
      <c r="J283" s="28">
        <f t="shared" si="223"/>
        <v>1.0125999999999999</v>
      </c>
      <c r="K283" s="32"/>
      <c r="L283" s="33">
        <f t="shared" si="220"/>
        <v>161</v>
      </c>
      <c r="M283" s="33">
        <f t="shared" si="221"/>
        <v>56</v>
      </c>
      <c r="N283" s="28">
        <f t="shared" si="222"/>
        <v>0.90159999999999996</v>
      </c>
    </row>
    <row r="284" spans="2:15" s="52" customFormat="1" ht="14.25" customHeight="1" x14ac:dyDescent="0.2">
      <c r="B284" s="26">
        <v>264</v>
      </c>
      <c r="C284" s="27">
        <v>37</v>
      </c>
      <c r="D284" s="27">
        <v>22</v>
      </c>
      <c r="E284" s="28">
        <f t="shared" si="219"/>
        <v>5.6527777777777777</v>
      </c>
      <c r="G284" s="26">
        <v>264</v>
      </c>
      <c r="H284" s="27">
        <f t="shared" si="224"/>
        <v>107</v>
      </c>
      <c r="I284" s="27">
        <f t="shared" si="225"/>
        <v>61</v>
      </c>
      <c r="J284" s="28">
        <f t="shared" si="223"/>
        <v>0.65269999999999995</v>
      </c>
      <c r="K284" s="32"/>
      <c r="L284" s="33">
        <f t="shared" si="220"/>
        <v>102</v>
      </c>
      <c r="M284" s="33">
        <f t="shared" si="221"/>
        <v>56</v>
      </c>
      <c r="N284" s="28">
        <f t="shared" si="222"/>
        <v>0.57120000000000004</v>
      </c>
    </row>
    <row r="285" spans="2:15" s="52" customFormat="1" ht="14.25" customHeight="1" x14ac:dyDescent="0.2">
      <c r="B285" s="26">
        <v>265</v>
      </c>
      <c r="C285" s="27">
        <v>61</v>
      </c>
      <c r="D285" s="27">
        <v>23</v>
      </c>
      <c r="E285" s="28">
        <f t="shared" si="219"/>
        <v>9.7430555555555554</v>
      </c>
      <c r="G285" s="26">
        <v>265</v>
      </c>
      <c r="H285" s="27">
        <f t="shared" si="224"/>
        <v>168</v>
      </c>
      <c r="I285" s="27">
        <f t="shared" si="225"/>
        <v>64</v>
      </c>
      <c r="J285" s="28">
        <f t="shared" si="223"/>
        <v>1.0751999999999999</v>
      </c>
      <c r="K285" s="32"/>
      <c r="L285" s="33">
        <f t="shared" si="220"/>
        <v>163</v>
      </c>
      <c r="M285" s="33">
        <f t="shared" si="221"/>
        <v>59</v>
      </c>
      <c r="N285" s="28">
        <f t="shared" si="222"/>
        <v>0.9617</v>
      </c>
      <c r="O285" s="52" t="s">
        <v>24</v>
      </c>
    </row>
    <row r="286" spans="2:15" s="52" customFormat="1" ht="14.25" customHeight="1" x14ac:dyDescent="0.2">
      <c r="B286" s="26">
        <v>266</v>
      </c>
      <c r="C286" s="27">
        <v>56</v>
      </c>
      <c r="D286" s="27">
        <v>23</v>
      </c>
      <c r="E286" s="28">
        <f t="shared" si="219"/>
        <v>8.9444444444444446</v>
      </c>
      <c r="G286" s="26">
        <v>266</v>
      </c>
      <c r="H286" s="27">
        <f t="shared" si="224"/>
        <v>155</v>
      </c>
      <c r="I286" s="27">
        <f t="shared" si="225"/>
        <v>64</v>
      </c>
      <c r="J286" s="28">
        <f t="shared" si="223"/>
        <v>0.99199999999999999</v>
      </c>
      <c r="K286" s="32"/>
      <c r="L286" s="33">
        <f t="shared" si="220"/>
        <v>150</v>
      </c>
      <c r="M286" s="33">
        <f t="shared" si="221"/>
        <v>59</v>
      </c>
      <c r="N286" s="28">
        <f t="shared" si="222"/>
        <v>0.88500000000000001</v>
      </c>
    </row>
    <row r="287" spans="2:15" s="52" customFormat="1" ht="14.25" customHeight="1" x14ac:dyDescent="0.2">
      <c r="B287" s="26">
        <v>267</v>
      </c>
      <c r="C287" s="27">
        <v>46</v>
      </c>
      <c r="D287" s="27">
        <v>23</v>
      </c>
      <c r="E287" s="28">
        <f t="shared" si="219"/>
        <v>7.3472222222222223</v>
      </c>
      <c r="G287" s="26">
        <v>267</v>
      </c>
      <c r="H287" s="27">
        <f t="shared" si="224"/>
        <v>130</v>
      </c>
      <c r="I287" s="27">
        <f t="shared" si="225"/>
        <v>64</v>
      </c>
      <c r="J287" s="28">
        <f t="shared" si="223"/>
        <v>0.83199999999999996</v>
      </c>
      <c r="K287" s="32"/>
      <c r="L287" s="33">
        <f t="shared" si="220"/>
        <v>125</v>
      </c>
      <c r="M287" s="33">
        <f t="shared" si="221"/>
        <v>59</v>
      </c>
      <c r="N287" s="28">
        <f t="shared" si="222"/>
        <v>0.73750000000000004</v>
      </c>
    </row>
    <row r="288" spans="2:15" s="52" customFormat="1" ht="14.25" customHeight="1" x14ac:dyDescent="0.2">
      <c r="B288" s="26">
        <v>268</v>
      </c>
      <c r="C288" s="27">
        <v>33</v>
      </c>
      <c r="D288" s="27">
        <v>23</v>
      </c>
      <c r="E288" s="28">
        <f t="shared" si="219"/>
        <v>5.270833333333333</v>
      </c>
      <c r="G288" s="26">
        <v>268</v>
      </c>
      <c r="H288" s="27">
        <f t="shared" si="224"/>
        <v>97</v>
      </c>
      <c r="I288" s="27">
        <f t="shared" si="225"/>
        <v>64</v>
      </c>
      <c r="J288" s="28">
        <f t="shared" si="223"/>
        <v>0.62080000000000002</v>
      </c>
      <c r="K288" s="32"/>
      <c r="L288" s="33">
        <f t="shared" si="220"/>
        <v>92</v>
      </c>
      <c r="M288" s="33">
        <f t="shared" si="221"/>
        <v>59</v>
      </c>
      <c r="N288" s="28">
        <f t="shared" si="222"/>
        <v>0.54279999999999995</v>
      </c>
    </row>
    <row r="289" spans="2:14" s="52" customFormat="1" ht="14.25" customHeight="1" x14ac:dyDescent="0.2">
      <c r="B289" s="26">
        <v>269</v>
      </c>
      <c r="C289" s="27">
        <v>33</v>
      </c>
      <c r="D289" s="27">
        <v>24</v>
      </c>
      <c r="E289" s="28">
        <f t="shared" si="219"/>
        <v>5.5</v>
      </c>
      <c r="G289" s="26">
        <v>269</v>
      </c>
      <c r="H289" s="27">
        <f t="shared" si="224"/>
        <v>97</v>
      </c>
      <c r="I289" s="27">
        <f t="shared" si="225"/>
        <v>67</v>
      </c>
      <c r="J289" s="28">
        <f t="shared" si="223"/>
        <v>0.64990000000000003</v>
      </c>
      <c r="K289" s="32"/>
      <c r="L289" s="33">
        <f t="shared" si="220"/>
        <v>92</v>
      </c>
      <c r="M289" s="33">
        <f t="shared" si="221"/>
        <v>62</v>
      </c>
      <c r="N289" s="28">
        <f t="shared" si="222"/>
        <v>0.57040000000000002</v>
      </c>
    </row>
    <row r="290" spans="2:14" s="52" customFormat="1" ht="14.25" customHeight="1" x14ac:dyDescent="0.2">
      <c r="B290" s="26">
        <v>270</v>
      </c>
      <c r="C290" s="27">
        <v>36</v>
      </c>
      <c r="D290" s="27">
        <v>22</v>
      </c>
      <c r="E290" s="28">
        <f t="shared" si="219"/>
        <v>5.5</v>
      </c>
      <c r="G290" s="26">
        <v>270</v>
      </c>
      <c r="H290" s="27">
        <f t="shared" si="224"/>
        <v>105</v>
      </c>
      <c r="I290" s="27">
        <f t="shared" si="225"/>
        <v>61</v>
      </c>
      <c r="J290" s="28">
        <f t="shared" si="223"/>
        <v>0.64049999999999996</v>
      </c>
      <c r="K290" s="32"/>
      <c r="L290" s="33">
        <f t="shared" si="220"/>
        <v>100</v>
      </c>
      <c r="M290" s="33">
        <f t="shared" si="221"/>
        <v>56</v>
      </c>
      <c r="N290" s="28">
        <f t="shared" si="222"/>
        <v>0.56000000000000005</v>
      </c>
    </row>
    <row r="291" spans="2:14" s="52" customFormat="1" ht="14.25" customHeight="1" x14ac:dyDescent="0.2">
      <c r="B291" s="26">
        <v>271</v>
      </c>
      <c r="C291" s="27">
        <v>39</v>
      </c>
      <c r="D291" s="27">
        <v>28</v>
      </c>
      <c r="E291" s="28">
        <f t="shared" si="219"/>
        <v>7.583333333333333</v>
      </c>
      <c r="G291" s="26">
        <v>271</v>
      </c>
      <c r="H291" s="27">
        <f t="shared" si="224"/>
        <v>112</v>
      </c>
      <c r="I291" s="27">
        <f t="shared" si="225"/>
        <v>77</v>
      </c>
      <c r="J291" s="28">
        <f t="shared" si="223"/>
        <v>0.86240000000000006</v>
      </c>
      <c r="K291" s="32"/>
      <c r="L291" s="33">
        <f t="shared" si="220"/>
        <v>107</v>
      </c>
      <c r="M291" s="33">
        <f t="shared" si="221"/>
        <v>72</v>
      </c>
      <c r="N291" s="28">
        <f t="shared" si="222"/>
        <v>0.77039999999999997</v>
      </c>
    </row>
    <row r="292" spans="2:14" s="52" customFormat="1" ht="14.25" customHeight="1" x14ac:dyDescent="0.2">
      <c r="B292" s="26">
        <v>272</v>
      </c>
      <c r="C292" s="27">
        <v>34</v>
      </c>
      <c r="D292" s="27">
        <v>25</v>
      </c>
      <c r="E292" s="28">
        <f t="shared" si="219"/>
        <v>5.9027777777777777</v>
      </c>
      <c r="G292" s="26">
        <v>272</v>
      </c>
      <c r="H292" s="27">
        <f t="shared" si="224"/>
        <v>100</v>
      </c>
      <c r="I292" s="27">
        <f t="shared" si="225"/>
        <v>69</v>
      </c>
      <c r="J292" s="28">
        <f t="shared" si="223"/>
        <v>0.69</v>
      </c>
      <c r="K292" s="32"/>
      <c r="L292" s="33">
        <f t="shared" si="220"/>
        <v>95</v>
      </c>
      <c r="M292" s="33">
        <f t="shared" si="221"/>
        <v>64</v>
      </c>
      <c r="N292" s="28">
        <f t="shared" si="222"/>
        <v>0.60799999999999998</v>
      </c>
    </row>
    <row r="293" spans="2:14" s="52" customFormat="1" ht="14.25" customHeight="1" x14ac:dyDescent="0.2">
      <c r="B293" s="26">
        <v>273</v>
      </c>
      <c r="C293" s="27">
        <v>65</v>
      </c>
      <c r="D293" s="27">
        <v>28</v>
      </c>
      <c r="E293" s="28">
        <f t="shared" si="219"/>
        <v>12.638888888888889</v>
      </c>
      <c r="G293" s="26">
        <v>273</v>
      </c>
      <c r="H293" s="27">
        <f t="shared" si="224"/>
        <v>178</v>
      </c>
      <c r="I293" s="27">
        <f t="shared" si="225"/>
        <v>77</v>
      </c>
      <c r="J293" s="28">
        <f t="shared" si="223"/>
        <v>1.3706</v>
      </c>
      <c r="K293" s="32"/>
      <c r="L293" s="33">
        <f t="shared" si="220"/>
        <v>173</v>
      </c>
      <c r="M293" s="33">
        <f t="shared" si="221"/>
        <v>72</v>
      </c>
      <c r="N293" s="28">
        <f t="shared" si="222"/>
        <v>1.2456</v>
      </c>
    </row>
    <row r="294" spans="2:14" s="52" customFormat="1" ht="14.25" customHeight="1" x14ac:dyDescent="0.2">
      <c r="B294" s="26">
        <v>274</v>
      </c>
      <c r="C294" s="27">
        <v>64</v>
      </c>
      <c r="D294" s="27">
        <v>28</v>
      </c>
      <c r="E294" s="28">
        <f t="shared" si="219"/>
        <v>12.444444444444445</v>
      </c>
      <c r="G294" s="26">
        <v>274</v>
      </c>
      <c r="H294" s="27">
        <f t="shared" si="224"/>
        <v>176</v>
      </c>
      <c r="I294" s="27">
        <f t="shared" si="225"/>
        <v>77</v>
      </c>
      <c r="J294" s="28">
        <f t="shared" si="223"/>
        <v>1.3552</v>
      </c>
      <c r="K294" s="32"/>
      <c r="L294" s="33">
        <f t="shared" si="220"/>
        <v>171</v>
      </c>
      <c r="M294" s="33">
        <f t="shared" si="221"/>
        <v>72</v>
      </c>
      <c r="N294" s="28">
        <f t="shared" si="222"/>
        <v>1.2312000000000001</v>
      </c>
    </row>
    <row r="295" spans="2:14" s="52" customFormat="1" ht="14.25" customHeight="1" x14ac:dyDescent="0.2">
      <c r="B295" s="26">
        <v>275</v>
      </c>
      <c r="C295" s="27">
        <v>44</v>
      </c>
      <c r="D295" s="27">
        <v>24</v>
      </c>
      <c r="E295" s="28">
        <f t="shared" si="219"/>
        <v>7.333333333333333</v>
      </c>
      <c r="G295" s="26">
        <v>275</v>
      </c>
      <c r="H295" s="27">
        <f t="shared" si="224"/>
        <v>125</v>
      </c>
      <c r="I295" s="27">
        <f t="shared" si="225"/>
        <v>67</v>
      </c>
      <c r="J295" s="28">
        <f t="shared" si="223"/>
        <v>0.83750000000000002</v>
      </c>
      <c r="K295" s="32"/>
      <c r="L295" s="33">
        <f t="shared" si="220"/>
        <v>120</v>
      </c>
      <c r="M295" s="33">
        <f t="shared" si="221"/>
        <v>62</v>
      </c>
      <c r="N295" s="28">
        <f t="shared" si="222"/>
        <v>0.74399999999999999</v>
      </c>
    </row>
    <row r="296" spans="2:14" s="52" customFormat="1" ht="14.25" customHeight="1" x14ac:dyDescent="0.2">
      <c r="B296" s="26">
        <v>276</v>
      </c>
      <c r="C296" s="27">
        <v>41</v>
      </c>
      <c r="D296" s="27">
        <v>27</v>
      </c>
      <c r="E296" s="28">
        <f t="shared" si="219"/>
        <v>7.6875</v>
      </c>
      <c r="G296" s="26">
        <v>276</v>
      </c>
      <c r="H296" s="27">
        <f t="shared" si="224"/>
        <v>117</v>
      </c>
      <c r="I296" s="27">
        <f t="shared" si="225"/>
        <v>74</v>
      </c>
      <c r="J296" s="28">
        <f t="shared" si="223"/>
        <v>0.86580000000000001</v>
      </c>
      <c r="K296" s="32"/>
      <c r="L296" s="33">
        <f t="shared" si="220"/>
        <v>112</v>
      </c>
      <c r="M296" s="33">
        <f t="shared" si="221"/>
        <v>69</v>
      </c>
      <c r="N296" s="28">
        <f t="shared" si="222"/>
        <v>0.77280000000000004</v>
      </c>
    </row>
    <row r="297" spans="2:14" s="52" customFormat="1" ht="14.25" customHeight="1" x14ac:dyDescent="0.2">
      <c r="B297" s="26">
        <v>277</v>
      </c>
      <c r="C297" s="27">
        <v>35</v>
      </c>
      <c r="D297" s="27">
        <v>22</v>
      </c>
      <c r="E297" s="28">
        <f t="shared" si="219"/>
        <v>5.3472222222222223</v>
      </c>
      <c r="G297" s="26">
        <v>277</v>
      </c>
      <c r="H297" s="27">
        <f t="shared" si="224"/>
        <v>102</v>
      </c>
      <c r="I297" s="27">
        <f t="shared" si="225"/>
        <v>61</v>
      </c>
      <c r="J297" s="28">
        <f t="shared" si="223"/>
        <v>0.62219999999999998</v>
      </c>
      <c r="K297" s="32"/>
      <c r="L297" s="33">
        <f t="shared" si="220"/>
        <v>97</v>
      </c>
      <c r="M297" s="33">
        <f t="shared" si="221"/>
        <v>56</v>
      </c>
      <c r="N297" s="28">
        <f t="shared" si="222"/>
        <v>0.54320000000000002</v>
      </c>
    </row>
    <row r="298" spans="2:14" s="52" customFormat="1" ht="14.25" customHeight="1" x14ac:dyDescent="0.2">
      <c r="B298" s="26">
        <v>278</v>
      </c>
      <c r="C298" s="27">
        <v>48</v>
      </c>
      <c r="D298" s="27">
        <v>28</v>
      </c>
      <c r="E298" s="28">
        <f t="shared" si="219"/>
        <v>9.3333333333333339</v>
      </c>
      <c r="G298" s="26">
        <v>278</v>
      </c>
      <c r="H298" s="27">
        <f t="shared" si="224"/>
        <v>135</v>
      </c>
      <c r="I298" s="27">
        <f t="shared" si="225"/>
        <v>77</v>
      </c>
      <c r="J298" s="28">
        <f t="shared" si="223"/>
        <v>1.0395000000000001</v>
      </c>
      <c r="K298" s="32"/>
      <c r="L298" s="33">
        <f t="shared" si="220"/>
        <v>130</v>
      </c>
      <c r="M298" s="33">
        <f t="shared" si="221"/>
        <v>72</v>
      </c>
      <c r="N298" s="28">
        <f t="shared" si="222"/>
        <v>0.93600000000000005</v>
      </c>
    </row>
    <row r="299" spans="2:14" s="52" customFormat="1" ht="14.25" customHeight="1" x14ac:dyDescent="0.2">
      <c r="B299" s="26">
        <v>279</v>
      </c>
      <c r="C299" s="27">
        <v>53</v>
      </c>
      <c r="D299" s="27">
        <v>28</v>
      </c>
      <c r="E299" s="28">
        <f t="shared" si="219"/>
        <v>10.305555555555555</v>
      </c>
      <c r="G299" s="26">
        <v>279</v>
      </c>
      <c r="H299" s="27">
        <f t="shared" si="224"/>
        <v>148</v>
      </c>
      <c r="I299" s="27">
        <f t="shared" si="225"/>
        <v>77</v>
      </c>
      <c r="J299" s="28">
        <f t="shared" si="223"/>
        <v>1.1395999999999999</v>
      </c>
      <c r="K299" s="32"/>
      <c r="L299" s="33">
        <f t="shared" si="220"/>
        <v>143</v>
      </c>
      <c r="M299" s="33">
        <f t="shared" si="221"/>
        <v>72</v>
      </c>
      <c r="N299" s="28">
        <f t="shared" si="222"/>
        <v>1.0296000000000001</v>
      </c>
    </row>
    <row r="300" spans="2:14" s="52" customFormat="1" ht="14.25" customHeight="1" x14ac:dyDescent="0.2">
      <c r="B300" s="26">
        <v>280</v>
      </c>
      <c r="C300" s="27">
        <v>50</v>
      </c>
      <c r="D300" s="27">
        <v>28</v>
      </c>
      <c r="E300" s="28">
        <f t="shared" si="219"/>
        <v>9.7222222222222214</v>
      </c>
      <c r="G300" s="26">
        <v>280</v>
      </c>
      <c r="H300" s="27">
        <f t="shared" si="224"/>
        <v>140</v>
      </c>
      <c r="I300" s="27">
        <f t="shared" si="225"/>
        <v>77</v>
      </c>
      <c r="J300" s="28">
        <f t="shared" si="223"/>
        <v>1.0780000000000001</v>
      </c>
      <c r="K300" s="32"/>
      <c r="L300" s="33">
        <f t="shared" si="220"/>
        <v>135</v>
      </c>
      <c r="M300" s="33">
        <f t="shared" si="221"/>
        <v>72</v>
      </c>
      <c r="N300" s="28">
        <f t="shared" si="222"/>
        <v>0.97199999999999998</v>
      </c>
    </row>
    <row r="301" spans="2:14" s="52" customFormat="1" ht="14.25" customHeight="1" x14ac:dyDescent="0.2">
      <c r="B301" s="26">
        <v>281</v>
      </c>
      <c r="C301" s="27">
        <v>51</v>
      </c>
      <c r="D301" s="27">
        <v>24</v>
      </c>
      <c r="E301" s="28">
        <f t="shared" si="219"/>
        <v>8.5</v>
      </c>
      <c r="G301" s="26">
        <v>281</v>
      </c>
      <c r="H301" s="27">
        <f t="shared" si="224"/>
        <v>143</v>
      </c>
      <c r="I301" s="27">
        <f t="shared" si="225"/>
        <v>67</v>
      </c>
      <c r="J301" s="28">
        <f t="shared" si="223"/>
        <v>0.95809999999999995</v>
      </c>
      <c r="K301" s="32"/>
      <c r="L301" s="33">
        <f t="shared" si="220"/>
        <v>138</v>
      </c>
      <c r="M301" s="33">
        <f t="shared" si="221"/>
        <v>62</v>
      </c>
      <c r="N301" s="28">
        <f t="shared" si="222"/>
        <v>0.85560000000000003</v>
      </c>
    </row>
    <row r="302" spans="2:14" s="52" customFormat="1" ht="14.25" customHeight="1" x14ac:dyDescent="0.2">
      <c r="B302" s="26">
        <v>282</v>
      </c>
      <c r="C302" s="27">
        <v>34</v>
      </c>
      <c r="D302" s="27">
        <v>23</v>
      </c>
      <c r="E302" s="28">
        <f t="shared" ref="E302:E365" si="226">C302*D302/144</f>
        <v>5.4305555555555554</v>
      </c>
      <c r="G302" s="26">
        <v>282</v>
      </c>
      <c r="H302" s="27">
        <f t="shared" si="224"/>
        <v>100</v>
      </c>
      <c r="I302" s="27">
        <f t="shared" si="225"/>
        <v>64</v>
      </c>
      <c r="J302" s="28">
        <f t="shared" si="223"/>
        <v>0.64</v>
      </c>
      <c r="K302" s="32"/>
      <c r="L302" s="33">
        <f t="shared" ref="L302:L365" si="227">H302-5</f>
        <v>95</v>
      </c>
      <c r="M302" s="33">
        <f t="shared" ref="M302:M365" si="228">I302-5</f>
        <v>59</v>
      </c>
      <c r="N302" s="28">
        <f t="shared" si="222"/>
        <v>0.5605</v>
      </c>
    </row>
    <row r="303" spans="2:14" s="52" customFormat="1" ht="14.25" customHeight="1" x14ac:dyDescent="0.2">
      <c r="B303" s="26">
        <v>283</v>
      </c>
      <c r="C303" s="27">
        <v>70</v>
      </c>
      <c r="D303" s="27">
        <v>24</v>
      </c>
      <c r="E303" s="28">
        <f t="shared" si="226"/>
        <v>11.666666666666666</v>
      </c>
      <c r="G303" s="26">
        <v>283</v>
      </c>
      <c r="H303" s="27">
        <f t="shared" si="224"/>
        <v>191</v>
      </c>
      <c r="I303" s="27">
        <f t="shared" si="225"/>
        <v>67</v>
      </c>
      <c r="J303" s="28">
        <f t="shared" si="223"/>
        <v>1.2797000000000001</v>
      </c>
      <c r="K303" s="32"/>
      <c r="L303" s="33">
        <f t="shared" si="227"/>
        <v>186</v>
      </c>
      <c r="M303" s="33">
        <f t="shared" si="228"/>
        <v>62</v>
      </c>
      <c r="N303" s="28">
        <f t="shared" si="222"/>
        <v>1.1532</v>
      </c>
    </row>
    <row r="304" spans="2:14" s="52" customFormat="1" ht="14.25" customHeight="1" x14ac:dyDescent="0.2">
      <c r="B304" s="26">
        <v>284</v>
      </c>
      <c r="C304" s="27">
        <v>52</v>
      </c>
      <c r="D304" s="27">
        <v>23</v>
      </c>
      <c r="E304" s="28">
        <f t="shared" si="226"/>
        <v>8.3055555555555554</v>
      </c>
      <c r="G304" s="26">
        <v>284</v>
      </c>
      <c r="H304" s="27">
        <f t="shared" si="224"/>
        <v>145</v>
      </c>
      <c r="I304" s="27">
        <f t="shared" si="225"/>
        <v>64</v>
      </c>
      <c r="J304" s="28">
        <f t="shared" si="223"/>
        <v>0.92800000000000005</v>
      </c>
      <c r="K304" s="32"/>
      <c r="L304" s="33">
        <f t="shared" si="227"/>
        <v>140</v>
      </c>
      <c r="M304" s="33">
        <f t="shared" si="228"/>
        <v>59</v>
      </c>
      <c r="N304" s="28">
        <f t="shared" si="222"/>
        <v>0.82599999999999996</v>
      </c>
    </row>
    <row r="305" spans="2:14" s="52" customFormat="1" ht="14.25" customHeight="1" x14ac:dyDescent="0.2">
      <c r="B305" s="26">
        <v>285</v>
      </c>
      <c r="C305" s="27">
        <v>51</v>
      </c>
      <c r="D305" s="27">
        <v>25</v>
      </c>
      <c r="E305" s="28">
        <f t="shared" si="226"/>
        <v>8.8541666666666661</v>
      </c>
      <c r="G305" s="26">
        <v>285</v>
      </c>
      <c r="H305" s="27">
        <f t="shared" si="224"/>
        <v>143</v>
      </c>
      <c r="I305" s="27">
        <f t="shared" si="225"/>
        <v>69</v>
      </c>
      <c r="J305" s="28">
        <f t="shared" si="223"/>
        <v>0.98670000000000002</v>
      </c>
      <c r="K305" s="32"/>
      <c r="L305" s="33">
        <f t="shared" si="227"/>
        <v>138</v>
      </c>
      <c r="M305" s="33">
        <f t="shared" si="228"/>
        <v>64</v>
      </c>
      <c r="N305" s="28">
        <f t="shared" si="222"/>
        <v>0.88319999999999999</v>
      </c>
    </row>
    <row r="306" spans="2:14" s="52" customFormat="1" ht="14.25" customHeight="1" x14ac:dyDescent="0.2">
      <c r="B306" s="26">
        <v>286</v>
      </c>
      <c r="C306" s="27">
        <v>34</v>
      </c>
      <c r="D306" s="27">
        <v>25</v>
      </c>
      <c r="E306" s="28">
        <f t="shared" si="226"/>
        <v>5.9027777777777777</v>
      </c>
      <c r="G306" s="26">
        <v>286</v>
      </c>
      <c r="H306" s="27">
        <f t="shared" si="224"/>
        <v>100</v>
      </c>
      <c r="I306" s="27">
        <f t="shared" si="225"/>
        <v>69</v>
      </c>
      <c r="J306" s="28">
        <f t="shared" si="223"/>
        <v>0.69</v>
      </c>
      <c r="K306" s="32"/>
      <c r="L306" s="33">
        <f t="shared" si="227"/>
        <v>95</v>
      </c>
      <c r="M306" s="33">
        <f t="shared" si="228"/>
        <v>64</v>
      </c>
      <c r="N306" s="28">
        <f t="shared" si="222"/>
        <v>0.60799999999999998</v>
      </c>
    </row>
    <row r="307" spans="2:14" s="52" customFormat="1" ht="14.25" customHeight="1" x14ac:dyDescent="0.2">
      <c r="B307" s="26">
        <v>287</v>
      </c>
      <c r="C307" s="27">
        <v>56</v>
      </c>
      <c r="D307" s="27">
        <v>25</v>
      </c>
      <c r="E307" s="28">
        <f t="shared" si="226"/>
        <v>9.7222222222222214</v>
      </c>
      <c r="G307" s="26">
        <v>287</v>
      </c>
      <c r="H307" s="27">
        <f t="shared" si="224"/>
        <v>155</v>
      </c>
      <c r="I307" s="27">
        <f t="shared" si="225"/>
        <v>69</v>
      </c>
      <c r="J307" s="28">
        <f t="shared" si="223"/>
        <v>1.0694999999999999</v>
      </c>
      <c r="K307" s="32"/>
      <c r="L307" s="33">
        <f t="shared" si="227"/>
        <v>150</v>
      </c>
      <c r="M307" s="33">
        <f t="shared" si="228"/>
        <v>64</v>
      </c>
      <c r="N307" s="28">
        <f t="shared" si="222"/>
        <v>0.96</v>
      </c>
    </row>
    <row r="308" spans="2:14" s="52" customFormat="1" ht="14.25" customHeight="1" x14ac:dyDescent="0.2">
      <c r="B308" s="26">
        <v>288</v>
      </c>
      <c r="C308" s="27">
        <v>45</v>
      </c>
      <c r="D308" s="27">
        <v>25</v>
      </c>
      <c r="E308" s="28">
        <f t="shared" si="226"/>
        <v>7.8125</v>
      </c>
      <c r="G308" s="26">
        <v>288</v>
      </c>
      <c r="H308" s="27">
        <f t="shared" si="224"/>
        <v>127</v>
      </c>
      <c r="I308" s="27">
        <f t="shared" si="225"/>
        <v>69</v>
      </c>
      <c r="J308" s="28">
        <f t="shared" si="223"/>
        <v>0.87629999999999997</v>
      </c>
      <c r="K308" s="32"/>
      <c r="L308" s="33">
        <f t="shared" si="227"/>
        <v>122</v>
      </c>
      <c r="M308" s="33">
        <f t="shared" si="228"/>
        <v>64</v>
      </c>
      <c r="N308" s="28">
        <f t="shared" si="222"/>
        <v>0.78080000000000005</v>
      </c>
    </row>
    <row r="309" spans="2:14" s="52" customFormat="1" ht="14.25" customHeight="1" x14ac:dyDescent="0.2">
      <c r="B309" s="26">
        <v>289</v>
      </c>
      <c r="C309" s="27">
        <v>45</v>
      </c>
      <c r="D309" s="27">
        <v>25</v>
      </c>
      <c r="E309" s="28">
        <f t="shared" si="226"/>
        <v>7.8125</v>
      </c>
      <c r="G309" s="26">
        <v>289</v>
      </c>
      <c r="H309" s="27">
        <f t="shared" si="224"/>
        <v>127</v>
      </c>
      <c r="I309" s="27">
        <f t="shared" si="225"/>
        <v>69</v>
      </c>
      <c r="J309" s="28">
        <f t="shared" si="223"/>
        <v>0.87629999999999997</v>
      </c>
      <c r="K309" s="32"/>
      <c r="L309" s="33">
        <f t="shared" si="227"/>
        <v>122</v>
      </c>
      <c r="M309" s="33">
        <f t="shared" si="228"/>
        <v>64</v>
      </c>
      <c r="N309" s="28">
        <f t="shared" si="222"/>
        <v>0.78080000000000005</v>
      </c>
    </row>
    <row r="310" spans="2:14" s="52" customFormat="1" ht="14.25" customHeight="1" x14ac:dyDescent="0.2">
      <c r="B310" s="26">
        <v>290</v>
      </c>
      <c r="C310" s="27">
        <v>58</v>
      </c>
      <c r="D310" s="27">
        <v>25</v>
      </c>
      <c r="E310" s="28">
        <f t="shared" si="226"/>
        <v>10.069444444444445</v>
      </c>
      <c r="G310" s="26">
        <v>290</v>
      </c>
      <c r="H310" s="27">
        <f t="shared" si="224"/>
        <v>161</v>
      </c>
      <c r="I310" s="27">
        <f t="shared" si="225"/>
        <v>69</v>
      </c>
      <c r="J310" s="28">
        <f t="shared" si="223"/>
        <v>1.1109</v>
      </c>
      <c r="K310" s="32"/>
      <c r="L310" s="33">
        <f t="shared" si="227"/>
        <v>156</v>
      </c>
      <c r="M310" s="33">
        <f t="shared" si="228"/>
        <v>64</v>
      </c>
      <c r="N310" s="28">
        <f t="shared" si="222"/>
        <v>0.99839999999999995</v>
      </c>
    </row>
    <row r="311" spans="2:14" s="52" customFormat="1" ht="14.25" customHeight="1" x14ac:dyDescent="0.2">
      <c r="B311" s="26">
        <v>291</v>
      </c>
      <c r="C311" s="27">
        <v>54</v>
      </c>
      <c r="D311" s="27">
        <v>25</v>
      </c>
      <c r="E311" s="28">
        <f t="shared" si="226"/>
        <v>9.375</v>
      </c>
      <c r="G311" s="26">
        <v>291</v>
      </c>
      <c r="H311" s="27">
        <f t="shared" si="224"/>
        <v>150</v>
      </c>
      <c r="I311" s="27">
        <f t="shared" si="225"/>
        <v>69</v>
      </c>
      <c r="J311" s="28">
        <f t="shared" si="223"/>
        <v>1.0349999999999999</v>
      </c>
      <c r="K311" s="32"/>
      <c r="L311" s="33">
        <f t="shared" si="227"/>
        <v>145</v>
      </c>
      <c r="M311" s="33">
        <f t="shared" si="228"/>
        <v>64</v>
      </c>
      <c r="N311" s="28">
        <f t="shared" si="222"/>
        <v>0.92800000000000005</v>
      </c>
    </row>
    <row r="312" spans="2:14" s="52" customFormat="1" ht="14.25" customHeight="1" x14ac:dyDescent="0.2">
      <c r="B312" s="26">
        <v>292</v>
      </c>
      <c r="C312" s="27">
        <v>66</v>
      </c>
      <c r="D312" s="27">
        <v>32</v>
      </c>
      <c r="E312" s="28">
        <f t="shared" si="226"/>
        <v>14.666666666666666</v>
      </c>
      <c r="G312" s="26">
        <v>292</v>
      </c>
      <c r="H312" s="27">
        <f t="shared" si="224"/>
        <v>181</v>
      </c>
      <c r="I312" s="27">
        <f t="shared" si="225"/>
        <v>87</v>
      </c>
      <c r="J312" s="28">
        <f t="shared" si="223"/>
        <v>1.5747</v>
      </c>
      <c r="K312" s="32"/>
      <c r="L312" s="33">
        <f t="shared" si="227"/>
        <v>176</v>
      </c>
      <c r="M312" s="33">
        <f t="shared" si="228"/>
        <v>82</v>
      </c>
      <c r="N312" s="28">
        <f t="shared" si="222"/>
        <v>1.4432</v>
      </c>
    </row>
    <row r="313" spans="2:14" s="52" customFormat="1" ht="14.25" customHeight="1" x14ac:dyDescent="0.2">
      <c r="B313" s="26">
        <v>293</v>
      </c>
      <c r="C313" s="27">
        <v>52</v>
      </c>
      <c r="D313" s="27">
        <v>23</v>
      </c>
      <c r="E313" s="28">
        <f t="shared" si="226"/>
        <v>8.3055555555555554</v>
      </c>
      <c r="G313" s="26">
        <v>293</v>
      </c>
      <c r="H313" s="27">
        <f t="shared" si="224"/>
        <v>145</v>
      </c>
      <c r="I313" s="27">
        <f t="shared" si="225"/>
        <v>64</v>
      </c>
      <c r="J313" s="28">
        <f t="shared" si="223"/>
        <v>0.92800000000000005</v>
      </c>
      <c r="K313" s="32"/>
      <c r="L313" s="33">
        <f t="shared" si="227"/>
        <v>140</v>
      </c>
      <c r="M313" s="33">
        <f t="shared" si="228"/>
        <v>59</v>
      </c>
      <c r="N313" s="28">
        <f t="shared" si="222"/>
        <v>0.82599999999999996</v>
      </c>
    </row>
    <row r="314" spans="2:14" s="52" customFormat="1" ht="14.25" customHeight="1" x14ac:dyDescent="0.2">
      <c r="B314" s="26">
        <v>294</v>
      </c>
      <c r="C314" s="27">
        <v>52</v>
      </c>
      <c r="D314" s="27">
        <v>37</v>
      </c>
      <c r="E314" s="28">
        <f t="shared" si="226"/>
        <v>13.361111111111111</v>
      </c>
      <c r="G314" s="26">
        <v>294</v>
      </c>
      <c r="H314" s="27">
        <f t="shared" si="224"/>
        <v>145</v>
      </c>
      <c r="I314" s="27">
        <f t="shared" si="225"/>
        <v>100</v>
      </c>
      <c r="J314" s="28">
        <f t="shared" si="223"/>
        <v>1.45</v>
      </c>
      <c r="K314" s="32"/>
      <c r="L314" s="33">
        <f t="shared" si="227"/>
        <v>140</v>
      </c>
      <c r="M314" s="33">
        <f t="shared" si="228"/>
        <v>95</v>
      </c>
      <c r="N314" s="28">
        <f t="shared" si="222"/>
        <v>1.33</v>
      </c>
    </row>
    <row r="315" spans="2:14" s="52" customFormat="1" ht="14.25" customHeight="1" x14ac:dyDescent="0.2">
      <c r="B315" s="26">
        <v>295</v>
      </c>
      <c r="C315" s="27">
        <v>65</v>
      </c>
      <c r="D315" s="27">
        <v>37</v>
      </c>
      <c r="E315" s="28">
        <f t="shared" si="226"/>
        <v>16.701388888888889</v>
      </c>
      <c r="G315" s="26">
        <v>295</v>
      </c>
      <c r="H315" s="27">
        <f t="shared" si="224"/>
        <v>178</v>
      </c>
      <c r="I315" s="27">
        <f t="shared" si="225"/>
        <v>100</v>
      </c>
      <c r="J315" s="28">
        <f t="shared" si="223"/>
        <v>1.78</v>
      </c>
      <c r="K315" s="32"/>
      <c r="L315" s="33">
        <f t="shared" si="227"/>
        <v>173</v>
      </c>
      <c r="M315" s="33">
        <f t="shared" si="228"/>
        <v>95</v>
      </c>
      <c r="N315" s="28">
        <f t="shared" si="222"/>
        <v>1.6435</v>
      </c>
    </row>
    <row r="316" spans="2:14" s="52" customFormat="1" ht="14.25" customHeight="1" x14ac:dyDescent="0.2">
      <c r="B316" s="26">
        <v>296</v>
      </c>
      <c r="C316" s="27">
        <v>71</v>
      </c>
      <c r="D316" s="27">
        <v>37</v>
      </c>
      <c r="E316" s="28">
        <f t="shared" si="226"/>
        <v>18.243055555555557</v>
      </c>
      <c r="G316" s="26">
        <v>296</v>
      </c>
      <c r="H316" s="27">
        <f t="shared" si="224"/>
        <v>194</v>
      </c>
      <c r="I316" s="27">
        <f t="shared" si="225"/>
        <v>100</v>
      </c>
      <c r="J316" s="28">
        <f t="shared" si="223"/>
        <v>1.94</v>
      </c>
      <c r="K316" s="32"/>
      <c r="L316" s="33">
        <f t="shared" si="227"/>
        <v>189</v>
      </c>
      <c r="M316" s="33">
        <f t="shared" si="228"/>
        <v>95</v>
      </c>
      <c r="N316" s="28">
        <f t="shared" si="222"/>
        <v>1.7955000000000001</v>
      </c>
    </row>
    <row r="317" spans="2:14" s="52" customFormat="1" ht="14.25" customHeight="1" x14ac:dyDescent="0.2">
      <c r="B317" s="26">
        <v>297</v>
      </c>
      <c r="C317" s="27">
        <v>36</v>
      </c>
      <c r="D317" s="27">
        <v>26</v>
      </c>
      <c r="E317" s="28">
        <f t="shared" si="226"/>
        <v>6.5</v>
      </c>
      <c r="G317" s="26">
        <v>297</v>
      </c>
      <c r="H317" s="27">
        <f t="shared" si="224"/>
        <v>105</v>
      </c>
      <c r="I317" s="27">
        <f t="shared" si="225"/>
        <v>72</v>
      </c>
      <c r="J317" s="28">
        <f t="shared" si="223"/>
        <v>0.75600000000000001</v>
      </c>
      <c r="K317" s="32"/>
      <c r="L317" s="33">
        <f t="shared" si="227"/>
        <v>100</v>
      </c>
      <c r="M317" s="33">
        <f t="shared" si="228"/>
        <v>67</v>
      </c>
      <c r="N317" s="28">
        <f t="shared" si="222"/>
        <v>0.67</v>
      </c>
    </row>
    <row r="318" spans="2:14" s="52" customFormat="1" ht="14.25" customHeight="1" x14ac:dyDescent="0.2">
      <c r="B318" s="26">
        <v>298</v>
      </c>
      <c r="C318" s="27">
        <v>54</v>
      </c>
      <c r="D318" s="27">
        <v>24</v>
      </c>
      <c r="E318" s="28">
        <f t="shared" si="226"/>
        <v>9</v>
      </c>
      <c r="G318" s="26">
        <v>298</v>
      </c>
      <c r="H318" s="27">
        <f t="shared" si="224"/>
        <v>150</v>
      </c>
      <c r="I318" s="27">
        <f t="shared" si="225"/>
        <v>67</v>
      </c>
      <c r="J318" s="28">
        <f t="shared" si="223"/>
        <v>1.0049999999999999</v>
      </c>
      <c r="K318" s="32"/>
      <c r="L318" s="33">
        <f t="shared" si="227"/>
        <v>145</v>
      </c>
      <c r="M318" s="33">
        <f t="shared" si="228"/>
        <v>62</v>
      </c>
      <c r="N318" s="28">
        <f t="shared" si="222"/>
        <v>0.89900000000000002</v>
      </c>
    </row>
    <row r="319" spans="2:14" s="52" customFormat="1" ht="14.25" customHeight="1" x14ac:dyDescent="0.2">
      <c r="B319" s="26">
        <v>299</v>
      </c>
      <c r="C319" s="27">
        <v>51</v>
      </c>
      <c r="D319" s="27">
        <v>24</v>
      </c>
      <c r="E319" s="28">
        <f t="shared" si="226"/>
        <v>8.5</v>
      </c>
      <c r="G319" s="26">
        <v>299</v>
      </c>
      <c r="H319" s="27">
        <f t="shared" si="224"/>
        <v>143</v>
      </c>
      <c r="I319" s="27">
        <f t="shared" si="225"/>
        <v>67</v>
      </c>
      <c r="J319" s="28">
        <f t="shared" si="223"/>
        <v>0.95809999999999995</v>
      </c>
      <c r="K319" s="32"/>
      <c r="L319" s="33">
        <f t="shared" si="227"/>
        <v>138</v>
      </c>
      <c r="M319" s="33">
        <f t="shared" si="228"/>
        <v>62</v>
      </c>
      <c r="N319" s="28">
        <f t="shared" si="222"/>
        <v>0.85560000000000003</v>
      </c>
    </row>
    <row r="320" spans="2:14" s="52" customFormat="1" ht="14.25" customHeight="1" x14ac:dyDescent="0.2">
      <c r="B320" s="26">
        <v>300</v>
      </c>
      <c r="C320" s="27">
        <v>48</v>
      </c>
      <c r="D320" s="27">
        <v>24</v>
      </c>
      <c r="E320" s="28">
        <f t="shared" si="226"/>
        <v>8</v>
      </c>
      <c r="G320" s="26">
        <v>300</v>
      </c>
      <c r="H320" s="27">
        <f t="shared" si="224"/>
        <v>135</v>
      </c>
      <c r="I320" s="27">
        <f t="shared" si="225"/>
        <v>67</v>
      </c>
      <c r="J320" s="28">
        <f t="shared" si="223"/>
        <v>0.90449999999999997</v>
      </c>
      <c r="K320" s="32"/>
      <c r="L320" s="33">
        <f t="shared" si="227"/>
        <v>130</v>
      </c>
      <c r="M320" s="33">
        <f t="shared" si="228"/>
        <v>62</v>
      </c>
      <c r="N320" s="28">
        <f t="shared" si="222"/>
        <v>0.80600000000000005</v>
      </c>
    </row>
    <row r="321" spans="2:15" s="52" customFormat="1" ht="14.25" customHeight="1" x14ac:dyDescent="0.2">
      <c r="B321" s="26">
        <v>301</v>
      </c>
      <c r="C321" s="27">
        <v>36</v>
      </c>
      <c r="D321" s="27">
        <v>24</v>
      </c>
      <c r="E321" s="28">
        <f t="shared" si="226"/>
        <v>6</v>
      </c>
      <c r="G321" s="26">
        <v>301</v>
      </c>
      <c r="H321" s="27">
        <f t="shared" si="224"/>
        <v>105</v>
      </c>
      <c r="I321" s="27">
        <f t="shared" si="225"/>
        <v>67</v>
      </c>
      <c r="J321" s="28">
        <f t="shared" si="223"/>
        <v>0.70350000000000001</v>
      </c>
      <c r="K321" s="32"/>
      <c r="L321" s="33">
        <f t="shared" si="227"/>
        <v>100</v>
      </c>
      <c r="M321" s="33">
        <f t="shared" si="228"/>
        <v>62</v>
      </c>
      <c r="N321" s="28">
        <f t="shared" si="222"/>
        <v>0.62</v>
      </c>
    </row>
    <row r="322" spans="2:15" s="52" customFormat="1" ht="14.25" customHeight="1" x14ac:dyDescent="0.2">
      <c r="B322" s="26">
        <v>302</v>
      </c>
      <c r="C322" s="27">
        <v>61</v>
      </c>
      <c r="D322" s="27">
        <v>26</v>
      </c>
      <c r="E322" s="28">
        <f t="shared" si="226"/>
        <v>11.013888888888889</v>
      </c>
      <c r="G322" s="26">
        <v>302</v>
      </c>
      <c r="H322" s="27">
        <f t="shared" si="224"/>
        <v>168</v>
      </c>
      <c r="I322" s="27">
        <f t="shared" si="225"/>
        <v>72</v>
      </c>
      <c r="J322" s="28">
        <f t="shared" si="223"/>
        <v>1.2096</v>
      </c>
      <c r="K322" s="32"/>
      <c r="L322" s="33">
        <f t="shared" si="227"/>
        <v>163</v>
      </c>
      <c r="M322" s="33">
        <f t="shared" si="228"/>
        <v>67</v>
      </c>
      <c r="N322" s="28">
        <f t="shared" si="222"/>
        <v>1.0921000000000001</v>
      </c>
    </row>
    <row r="323" spans="2:15" s="52" customFormat="1" ht="14.25" customHeight="1" x14ac:dyDescent="0.2">
      <c r="B323" s="26">
        <v>303</v>
      </c>
      <c r="C323" s="27">
        <v>69</v>
      </c>
      <c r="D323" s="27">
        <v>24</v>
      </c>
      <c r="E323" s="28">
        <f t="shared" si="226"/>
        <v>11.5</v>
      </c>
      <c r="G323" s="26">
        <v>303</v>
      </c>
      <c r="H323" s="27">
        <f t="shared" si="224"/>
        <v>188</v>
      </c>
      <c r="I323" s="27">
        <f t="shared" si="225"/>
        <v>67</v>
      </c>
      <c r="J323" s="28">
        <f t="shared" si="223"/>
        <v>1.2596000000000001</v>
      </c>
      <c r="K323" s="32"/>
      <c r="L323" s="33">
        <f t="shared" si="227"/>
        <v>183</v>
      </c>
      <c r="M323" s="33">
        <f t="shared" si="228"/>
        <v>62</v>
      </c>
      <c r="N323" s="28">
        <f t="shared" si="222"/>
        <v>1.1346000000000001</v>
      </c>
    </row>
    <row r="324" spans="2:15" s="52" customFormat="1" ht="14.25" customHeight="1" x14ac:dyDescent="0.2">
      <c r="B324" s="26">
        <v>304</v>
      </c>
      <c r="C324" s="27">
        <v>64</v>
      </c>
      <c r="D324" s="27">
        <v>25</v>
      </c>
      <c r="E324" s="28">
        <f t="shared" si="226"/>
        <v>11.111111111111111</v>
      </c>
      <c r="G324" s="26">
        <v>304</v>
      </c>
      <c r="H324" s="27">
        <f t="shared" si="224"/>
        <v>176</v>
      </c>
      <c r="I324" s="27">
        <f t="shared" si="225"/>
        <v>69</v>
      </c>
      <c r="J324" s="28">
        <f t="shared" si="223"/>
        <v>1.2143999999999999</v>
      </c>
      <c r="K324" s="32"/>
      <c r="L324" s="33">
        <f t="shared" si="227"/>
        <v>171</v>
      </c>
      <c r="M324" s="33">
        <f t="shared" si="228"/>
        <v>64</v>
      </c>
      <c r="N324" s="28">
        <f t="shared" si="222"/>
        <v>1.0944</v>
      </c>
    </row>
    <row r="325" spans="2:15" s="52" customFormat="1" ht="14.25" customHeight="1" x14ac:dyDescent="0.2">
      <c r="B325" s="26">
        <v>305</v>
      </c>
      <c r="C325" s="27">
        <v>72</v>
      </c>
      <c r="D325" s="27">
        <v>28</v>
      </c>
      <c r="E325" s="28">
        <f t="shared" si="226"/>
        <v>14</v>
      </c>
      <c r="G325" s="26">
        <v>305</v>
      </c>
      <c r="H325" s="27">
        <f t="shared" si="224"/>
        <v>196</v>
      </c>
      <c r="I325" s="27">
        <f t="shared" si="225"/>
        <v>77</v>
      </c>
      <c r="J325" s="28">
        <f t="shared" si="223"/>
        <v>1.5092000000000001</v>
      </c>
      <c r="K325" s="32"/>
      <c r="L325" s="33">
        <f t="shared" si="227"/>
        <v>191</v>
      </c>
      <c r="M325" s="33">
        <f t="shared" si="228"/>
        <v>72</v>
      </c>
      <c r="N325" s="28">
        <f t="shared" si="222"/>
        <v>1.3752</v>
      </c>
    </row>
    <row r="326" spans="2:15" s="52" customFormat="1" ht="14.25" customHeight="1" x14ac:dyDescent="0.2">
      <c r="B326" s="26">
        <v>306</v>
      </c>
      <c r="C326" s="27">
        <v>58</v>
      </c>
      <c r="D326" s="27">
        <v>27</v>
      </c>
      <c r="E326" s="28">
        <f t="shared" si="226"/>
        <v>10.875</v>
      </c>
      <c r="G326" s="26">
        <v>306</v>
      </c>
      <c r="H326" s="27">
        <f t="shared" si="224"/>
        <v>161</v>
      </c>
      <c r="I326" s="27">
        <f t="shared" si="225"/>
        <v>74</v>
      </c>
      <c r="J326" s="28">
        <f t="shared" si="223"/>
        <v>1.1914</v>
      </c>
      <c r="K326" s="32"/>
      <c r="L326" s="33">
        <f t="shared" si="227"/>
        <v>156</v>
      </c>
      <c r="M326" s="33">
        <f t="shared" si="228"/>
        <v>69</v>
      </c>
      <c r="N326" s="28">
        <f t="shared" si="222"/>
        <v>1.0764</v>
      </c>
    </row>
    <row r="327" spans="2:15" s="52" customFormat="1" ht="14.25" customHeight="1" x14ac:dyDescent="0.2">
      <c r="B327" s="26">
        <v>307</v>
      </c>
      <c r="C327" s="27">
        <v>38</v>
      </c>
      <c r="D327" s="27">
        <v>26</v>
      </c>
      <c r="E327" s="28">
        <f t="shared" si="226"/>
        <v>6.8611111111111107</v>
      </c>
      <c r="G327" s="26">
        <v>307</v>
      </c>
      <c r="H327" s="27">
        <f t="shared" si="224"/>
        <v>110</v>
      </c>
      <c r="I327" s="27">
        <f t="shared" si="225"/>
        <v>72</v>
      </c>
      <c r="J327" s="28">
        <f t="shared" si="223"/>
        <v>0.79200000000000004</v>
      </c>
      <c r="K327" s="32"/>
      <c r="L327" s="33">
        <f t="shared" si="227"/>
        <v>105</v>
      </c>
      <c r="M327" s="33">
        <f t="shared" si="228"/>
        <v>67</v>
      </c>
      <c r="N327" s="28">
        <f t="shared" si="222"/>
        <v>0.70350000000000001</v>
      </c>
    </row>
    <row r="328" spans="2:15" s="52" customFormat="1" ht="14.25" customHeight="1" x14ac:dyDescent="0.2">
      <c r="B328" s="26">
        <v>308</v>
      </c>
      <c r="C328" s="27">
        <v>72</v>
      </c>
      <c r="D328" s="27">
        <v>26</v>
      </c>
      <c r="E328" s="28">
        <f t="shared" si="226"/>
        <v>13</v>
      </c>
      <c r="G328" s="26">
        <v>308</v>
      </c>
      <c r="H328" s="27">
        <f t="shared" si="224"/>
        <v>196</v>
      </c>
      <c r="I328" s="27">
        <f t="shared" si="225"/>
        <v>72</v>
      </c>
      <c r="J328" s="28">
        <f t="shared" si="223"/>
        <v>1.4112</v>
      </c>
      <c r="K328" s="32"/>
      <c r="L328" s="33">
        <f t="shared" si="227"/>
        <v>191</v>
      </c>
      <c r="M328" s="33">
        <f t="shared" si="228"/>
        <v>67</v>
      </c>
      <c r="N328" s="28">
        <f t="shared" si="222"/>
        <v>1.2797000000000001</v>
      </c>
    </row>
    <row r="329" spans="2:15" s="52" customFormat="1" ht="14.25" customHeight="1" x14ac:dyDescent="0.2">
      <c r="B329" s="26">
        <v>309</v>
      </c>
      <c r="C329" s="27">
        <v>39</v>
      </c>
      <c r="D329" s="27">
        <v>23</v>
      </c>
      <c r="E329" s="28">
        <f t="shared" si="226"/>
        <v>6.229166666666667</v>
      </c>
      <c r="G329" s="26">
        <v>309</v>
      </c>
      <c r="H329" s="27">
        <f t="shared" si="224"/>
        <v>112</v>
      </c>
      <c r="I329" s="27">
        <f t="shared" si="225"/>
        <v>64</v>
      </c>
      <c r="J329" s="28">
        <f t="shared" si="223"/>
        <v>0.71679999999999999</v>
      </c>
      <c r="K329" s="32"/>
      <c r="L329" s="33">
        <f t="shared" si="227"/>
        <v>107</v>
      </c>
      <c r="M329" s="33">
        <f t="shared" si="228"/>
        <v>59</v>
      </c>
      <c r="N329" s="28">
        <f t="shared" si="222"/>
        <v>0.63129999999999997</v>
      </c>
    </row>
    <row r="330" spans="2:15" s="52" customFormat="1" ht="14.25" customHeight="1" x14ac:dyDescent="0.2">
      <c r="B330" s="26">
        <v>310</v>
      </c>
      <c r="C330" s="27">
        <v>33</v>
      </c>
      <c r="D330" s="27">
        <v>24</v>
      </c>
      <c r="E330" s="28">
        <f t="shared" si="226"/>
        <v>5.5</v>
      </c>
      <c r="G330" s="26">
        <v>310</v>
      </c>
      <c r="H330" s="27">
        <f t="shared" si="224"/>
        <v>97</v>
      </c>
      <c r="I330" s="27">
        <f t="shared" si="225"/>
        <v>67</v>
      </c>
      <c r="J330" s="28">
        <f t="shared" si="223"/>
        <v>0.64990000000000003</v>
      </c>
      <c r="K330" s="32"/>
      <c r="L330" s="33">
        <f t="shared" si="227"/>
        <v>92</v>
      </c>
      <c r="M330" s="33">
        <f t="shared" si="228"/>
        <v>62</v>
      </c>
      <c r="N330" s="28">
        <f t="shared" si="222"/>
        <v>0.57040000000000002</v>
      </c>
    </row>
    <row r="331" spans="2:15" s="52" customFormat="1" ht="14.25" customHeight="1" x14ac:dyDescent="0.2">
      <c r="B331" s="26">
        <v>311</v>
      </c>
      <c r="C331" s="27">
        <v>56</v>
      </c>
      <c r="D331" s="27">
        <v>26</v>
      </c>
      <c r="E331" s="28">
        <f t="shared" si="226"/>
        <v>10.111111111111111</v>
      </c>
      <c r="G331" s="26">
        <v>311</v>
      </c>
      <c r="H331" s="27">
        <f t="shared" si="224"/>
        <v>155</v>
      </c>
      <c r="I331" s="27">
        <f t="shared" si="225"/>
        <v>72</v>
      </c>
      <c r="J331" s="28">
        <f t="shared" si="223"/>
        <v>1.1160000000000001</v>
      </c>
      <c r="K331" s="32"/>
      <c r="L331" s="33">
        <f t="shared" si="227"/>
        <v>150</v>
      </c>
      <c r="M331" s="33">
        <f t="shared" si="228"/>
        <v>67</v>
      </c>
      <c r="N331" s="28">
        <f t="shared" si="222"/>
        <v>1.0049999999999999</v>
      </c>
    </row>
    <row r="332" spans="2:15" s="52" customFormat="1" ht="14.25" customHeight="1" x14ac:dyDescent="0.2">
      <c r="B332" s="26">
        <v>312</v>
      </c>
      <c r="C332" s="27">
        <v>34</v>
      </c>
      <c r="D332" s="27">
        <v>26</v>
      </c>
      <c r="E332" s="28">
        <f t="shared" si="226"/>
        <v>6.1388888888888893</v>
      </c>
      <c r="G332" s="26">
        <v>312</v>
      </c>
      <c r="H332" s="27">
        <f t="shared" si="224"/>
        <v>100</v>
      </c>
      <c r="I332" s="27">
        <f t="shared" si="225"/>
        <v>72</v>
      </c>
      <c r="J332" s="28">
        <f t="shared" si="223"/>
        <v>0.72</v>
      </c>
      <c r="K332" s="32"/>
      <c r="L332" s="33">
        <f t="shared" si="227"/>
        <v>95</v>
      </c>
      <c r="M332" s="33">
        <f t="shared" si="228"/>
        <v>67</v>
      </c>
      <c r="N332" s="28">
        <f t="shared" si="222"/>
        <v>0.63649999999999995</v>
      </c>
    </row>
    <row r="333" spans="2:15" s="52" customFormat="1" ht="14.25" customHeight="1" x14ac:dyDescent="0.2">
      <c r="B333" s="26">
        <v>313</v>
      </c>
      <c r="C333" s="27">
        <v>57</v>
      </c>
      <c r="D333" s="27">
        <v>30</v>
      </c>
      <c r="E333" s="28">
        <f t="shared" si="226"/>
        <v>11.875</v>
      </c>
      <c r="G333" s="26">
        <v>313</v>
      </c>
      <c r="H333" s="27">
        <f t="shared" si="224"/>
        <v>158</v>
      </c>
      <c r="I333" s="27">
        <f t="shared" si="225"/>
        <v>82</v>
      </c>
      <c r="J333" s="28">
        <f t="shared" si="223"/>
        <v>1.2956000000000001</v>
      </c>
      <c r="K333" s="32"/>
      <c r="L333" s="33">
        <f t="shared" si="227"/>
        <v>153</v>
      </c>
      <c r="M333" s="33">
        <f t="shared" si="228"/>
        <v>77</v>
      </c>
      <c r="N333" s="28">
        <f t="shared" si="222"/>
        <v>1.1780999999999999</v>
      </c>
    </row>
    <row r="334" spans="2:15" s="52" customFormat="1" ht="14.25" customHeight="1" x14ac:dyDescent="0.2">
      <c r="B334" s="26">
        <v>314</v>
      </c>
      <c r="C334" s="27">
        <v>48</v>
      </c>
      <c r="D334" s="27">
        <v>30</v>
      </c>
      <c r="E334" s="28">
        <f t="shared" si="226"/>
        <v>10</v>
      </c>
      <c r="G334" s="26">
        <v>314</v>
      </c>
      <c r="H334" s="27">
        <f t="shared" si="224"/>
        <v>135</v>
      </c>
      <c r="I334" s="27">
        <f t="shared" si="225"/>
        <v>82</v>
      </c>
      <c r="J334" s="28">
        <f t="shared" si="223"/>
        <v>1.107</v>
      </c>
      <c r="K334" s="32"/>
      <c r="L334" s="33">
        <f t="shared" si="227"/>
        <v>130</v>
      </c>
      <c r="M334" s="33">
        <f t="shared" si="228"/>
        <v>77</v>
      </c>
      <c r="N334" s="28">
        <f t="shared" si="222"/>
        <v>1.0009999999999999</v>
      </c>
      <c r="O334" s="52" t="s">
        <v>24</v>
      </c>
    </row>
    <row r="335" spans="2:15" s="52" customFormat="1" ht="14.25" customHeight="1" x14ac:dyDescent="0.2">
      <c r="B335" s="26">
        <v>315</v>
      </c>
      <c r="C335" s="27">
        <v>33</v>
      </c>
      <c r="D335" s="27">
        <v>22</v>
      </c>
      <c r="E335" s="28">
        <f t="shared" si="226"/>
        <v>5.041666666666667</v>
      </c>
      <c r="G335" s="26">
        <v>315</v>
      </c>
      <c r="H335" s="27">
        <f t="shared" si="224"/>
        <v>97</v>
      </c>
      <c r="I335" s="27">
        <f t="shared" si="225"/>
        <v>61</v>
      </c>
      <c r="J335" s="28">
        <f t="shared" si="223"/>
        <v>0.5917</v>
      </c>
      <c r="K335" s="32"/>
      <c r="L335" s="33">
        <f t="shared" si="227"/>
        <v>92</v>
      </c>
      <c r="M335" s="33">
        <f t="shared" si="228"/>
        <v>56</v>
      </c>
      <c r="N335" s="28">
        <f t="shared" si="222"/>
        <v>0.51519999999999999</v>
      </c>
    </row>
    <row r="336" spans="2:15" s="52" customFormat="1" ht="14.25" customHeight="1" x14ac:dyDescent="0.2">
      <c r="B336" s="26">
        <v>316</v>
      </c>
      <c r="C336" s="27">
        <v>53</v>
      </c>
      <c r="D336" s="27">
        <v>31</v>
      </c>
      <c r="E336" s="28">
        <f t="shared" si="226"/>
        <v>11.409722222222221</v>
      </c>
      <c r="G336" s="26">
        <v>316</v>
      </c>
      <c r="H336" s="27">
        <f t="shared" si="224"/>
        <v>148</v>
      </c>
      <c r="I336" s="27">
        <f t="shared" si="225"/>
        <v>84</v>
      </c>
      <c r="J336" s="28">
        <f t="shared" si="223"/>
        <v>1.2432000000000001</v>
      </c>
      <c r="K336" s="32"/>
      <c r="L336" s="33">
        <f t="shared" si="227"/>
        <v>143</v>
      </c>
      <c r="M336" s="33">
        <f t="shared" si="228"/>
        <v>79</v>
      </c>
      <c r="N336" s="28">
        <f t="shared" si="222"/>
        <v>1.1296999999999999</v>
      </c>
    </row>
    <row r="337" spans="2:14" s="52" customFormat="1" ht="14.25" customHeight="1" x14ac:dyDescent="0.2">
      <c r="B337" s="26">
        <v>317</v>
      </c>
      <c r="C337" s="27">
        <v>50</v>
      </c>
      <c r="D337" s="27">
        <v>28</v>
      </c>
      <c r="E337" s="28">
        <f t="shared" si="226"/>
        <v>9.7222222222222214</v>
      </c>
      <c r="G337" s="26">
        <v>317</v>
      </c>
      <c r="H337" s="27">
        <f t="shared" si="224"/>
        <v>140</v>
      </c>
      <c r="I337" s="27">
        <f t="shared" si="225"/>
        <v>77</v>
      </c>
      <c r="J337" s="28">
        <f t="shared" si="223"/>
        <v>1.0780000000000001</v>
      </c>
      <c r="K337" s="32"/>
      <c r="L337" s="33">
        <f t="shared" si="227"/>
        <v>135</v>
      </c>
      <c r="M337" s="33">
        <f t="shared" si="228"/>
        <v>72</v>
      </c>
      <c r="N337" s="28">
        <f t="shared" si="222"/>
        <v>0.97199999999999998</v>
      </c>
    </row>
    <row r="338" spans="2:14" s="52" customFormat="1" ht="14.25" customHeight="1" x14ac:dyDescent="0.2">
      <c r="B338" s="26">
        <v>318</v>
      </c>
      <c r="C338" s="27">
        <v>62</v>
      </c>
      <c r="D338" s="27">
        <v>29</v>
      </c>
      <c r="E338" s="28">
        <f t="shared" si="226"/>
        <v>12.486111111111111</v>
      </c>
      <c r="G338" s="26">
        <v>318</v>
      </c>
      <c r="H338" s="27">
        <f t="shared" si="224"/>
        <v>171</v>
      </c>
      <c r="I338" s="27">
        <f t="shared" si="225"/>
        <v>79</v>
      </c>
      <c r="J338" s="28">
        <f t="shared" si="223"/>
        <v>1.3509</v>
      </c>
      <c r="K338" s="32"/>
      <c r="L338" s="33">
        <f t="shared" si="227"/>
        <v>166</v>
      </c>
      <c r="M338" s="33">
        <f t="shared" si="228"/>
        <v>74</v>
      </c>
      <c r="N338" s="28">
        <f t="shared" ref="N338:N401" si="229">L338*M338/10000</f>
        <v>1.2283999999999999</v>
      </c>
    </row>
    <row r="339" spans="2:14" s="52" customFormat="1" ht="14.25" customHeight="1" x14ac:dyDescent="0.2">
      <c r="B339" s="26">
        <v>319</v>
      </c>
      <c r="C339" s="27">
        <v>62</v>
      </c>
      <c r="D339" s="27">
        <v>24</v>
      </c>
      <c r="E339" s="28">
        <f t="shared" si="226"/>
        <v>10.333333333333334</v>
      </c>
      <c r="G339" s="26">
        <v>319</v>
      </c>
      <c r="H339" s="27">
        <f t="shared" si="224"/>
        <v>171</v>
      </c>
      <c r="I339" s="27">
        <f t="shared" si="225"/>
        <v>67</v>
      </c>
      <c r="J339" s="28">
        <f t="shared" si="223"/>
        <v>1.1456999999999999</v>
      </c>
      <c r="K339" s="32"/>
      <c r="L339" s="33">
        <f t="shared" si="227"/>
        <v>166</v>
      </c>
      <c r="M339" s="33">
        <f t="shared" si="228"/>
        <v>62</v>
      </c>
      <c r="N339" s="28">
        <f t="shared" si="229"/>
        <v>1.0291999999999999</v>
      </c>
    </row>
    <row r="340" spans="2:14" s="52" customFormat="1" ht="14.25" customHeight="1" x14ac:dyDescent="0.2">
      <c r="B340" s="26">
        <v>320</v>
      </c>
      <c r="C340" s="27">
        <v>61</v>
      </c>
      <c r="D340" s="27">
        <v>24</v>
      </c>
      <c r="E340" s="28">
        <f t="shared" si="226"/>
        <v>10.166666666666666</v>
      </c>
      <c r="G340" s="26">
        <v>320</v>
      </c>
      <c r="H340" s="27">
        <f t="shared" si="224"/>
        <v>168</v>
      </c>
      <c r="I340" s="27">
        <f t="shared" si="225"/>
        <v>67</v>
      </c>
      <c r="J340" s="28">
        <f t="shared" ref="J340:J403" si="230">H340*I340/10000</f>
        <v>1.1255999999999999</v>
      </c>
      <c r="K340" s="32"/>
      <c r="L340" s="33">
        <f t="shared" si="227"/>
        <v>163</v>
      </c>
      <c r="M340" s="33">
        <f t="shared" si="228"/>
        <v>62</v>
      </c>
      <c r="N340" s="28">
        <f t="shared" si="229"/>
        <v>1.0105999999999999</v>
      </c>
    </row>
    <row r="341" spans="2:14" s="52" customFormat="1" ht="14.25" customHeight="1" x14ac:dyDescent="0.2">
      <c r="B341" s="26">
        <v>321</v>
      </c>
      <c r="C341" s="27">
        <v>46</v>
      </c>
      <c r="D341" s="27">
        <v>24</v>
      </c>
      <c r="E341" s="28">
        <f t="shared" si="226"/>
        <v>7.666666666666667</v>
      </c>
      <c r="G341" s="26">
        <v>321</v>
      </c>
      <c r="H341" s="27">
        <f t="shared" si="224"/>
        <v>130</v>
      </c>
      <c r="I341" s="27">
        <f t="shared" si="225"/>
        <v>67</v>
      </c>
      <c r="J341" s="28">
        <f t="shared" si="230"/>
        <v>0.871</v>
      </c>
      <c r="K341" s="32"/>
      <c r="L341" s="33">
        <f t="shared" si="227"/>
        <v>125</v>
      </c>
      <c r="M341" s="33">
        <f t="shared" si="228"/>
        <v>62</v>
      </c>
      <c r="N341" s="28">
        <f t="shared" si="229"/>
        <v>0.77500000000000002</v>
      </c>
    </row>
    <row r="342" spans="2:14" s="52" customFormat="1" ht="14.25" customHeight="1" x14ac:dyDescent="0.2">
      <c r="B342" s="26">
        <v>322</v>
      </c>
      <c r="C342" s="27">
        <v>41</v>
      </c>
      <c r="D342" s="27">
        <v>24</v>
      </c>
      <c r="E342" s="28">
        <f t="shared" si="226"/>
        <v>6.833333333333333</v>
      </c>
      <c r="G342" s="26">
        <v>322</v>
      </c>
      <c r="H342" s="27">
        <f t="shared" ref="H342:H405" si="231">ROUNDUP((C342+5)*2.54,0)</f>
        <v>117</v>
      </c>
      <c r="I342" s="27">
        <f t="shared" ref="I342:I405" si="232">ROUNDUP((D342+2)*2.54,0)</f>
        <v>67</v>
      </c>
      <c r="J342" s="28">
        <f t="shared" si="230"/>
        <v>0.78390000000000004</v>
      </c>
      <c r="K342" s="32"/>
      <c r="L342" s="33">
        <f t="shared" si="227"/>
        <v>112</v>
      </c>
      <c r="M342" s="33">
        <f t="shared" si="228"/>
        <v>62</v>
      </c>
      <c r="N342" s="28">
        <f t="shared" si="229"/>
        <v>0.69440000000000002</v>
      </c>
    </row>
    <row r="343" spans="2:14" s="52" customFormat="1" ht="14.25" customHeight="1" x14ac:dyDescent="0.2">
      <c r="B343" s="26">
        <v>323</v>
      </c>
      <c r="C343" s="27">
        <v>46</v>
      </c>
      <c r="D343" s="27">
        <v>24</v>
      </c>
      <c r="E343" s="28">
        <f t="shared" si="226"/>
        <v>7.666666666666667</v>
      </c>
      <c r="G343" s="26">
        <v>323</v>
      </c>
      <c r="H343" s="27">
        <f t="shared" si="231"/>
        <v>130</v>
      </c>
      <c r="I343" s="27">
        <f t="shared" si="232"/>
        <v>67</v>
      </c>
      <c r="J343" s="28">
        <f t="shared" si="230"/>
        <v>0.871</v>
      </c>
      <c r="K343" s="32"/>
      <c r="L343" s="33">
        <f t="shared" si="227"/>
        <v>125</v>
      </c>
      <c r="M343" s="33">
        <f t="shared" si="228"/>
        <v>62</v>
      </c>
      <c r="N343" s="28">
        <f t="shared" si="229"/>
        <v>0.77500000000000002</v>
      </c>
    </row>
    <row r="344" spans="2:14" s="52" customFormat="1" ht="14.25" customHeight="1" x14ac:dyDescent="0.2">
      <c r="B344" s="26">
        <v>324</v>
      </c>
      <c r="C344" s="27">
        <v>65</v>
      </c>
      <c r="D344" s="27">
        <v>25</v>
      </c>
      <c r="E344" s="28">
        <f t="shared" si="226"/>
        <v>11.284722222222221</v>
      </c>
      <c r="G344" s="26">
        <v>324</v>
      </c>
      <c r="H344" s="27">
        <f t="shared" si="231"/>
        <v>178</v>
      </c>
      <c r="I344" s="27">
        <f t="shared" si="232"/>
        <v>69</v>
      </c>
      <c r="J344" s="28">
        <f t="shared" si="230"/>
        <v>1.2282</v>
      </c>
      <c r="K344" s="32"/>
      <c r="L344" s="33">
        <f t="shared" si="227"/>
        <v>173</v>
      </c>
      <c r="M344" s="33">
        <f t="shared" si="228"/>
        <v>64</v>
      </c>
      <c r="N344" s="28">
        <f t="shared" si="229"/>
        <v>1.1072</v>
      </c>
    </row>
    <row r="345" spans="2:14" s="52" customFormat="1" ht="14.25" customHeight="1" x14ac:dyDescent="0.2">
      <c r="B345" s="26">
        <v>325</v>
      </c>
      <c r="C345" s="27">
        <v>68</v>
      </c>
      <c r="D345" s="27">
        <v>23</v>
      </c>
      <c r="E345" s="28">
        <f t="shared" si="226"/>
        <v>10.861111111111111</v>
      </c>
      <c r="G345" s="26">
        <v>325</v>
      </c>
      <c r="H345" s="27">
        <f t="shared" si="231"/>
        <v>186</v>
      </c>
      <c r="I345" s="27">
        <f t="shared" si="232"/>
        <v>64</v>
      </c>
      <c r="J345" s="28">
        <f t="shared" si="230"/>
        <v>1.1903999999999999</v>
      </c>
      <c r="K345" s="32"/>
      <c r="L345" s="33">
        <f t="shared" si="227"/>
        <v>181</v>
      </c>
      <c r="M345" s="33">
        <f t="shared" si="228"/>
        <v>59</v>
      </c>
      <c r="N345" s="28">
        <f t="shared" si="229"/>
        <v>1.0679000000000001</v>
      </c>
    </row>
    <row r="346" spans="2:14" s="52" customFormat="1" ht="14.25" customHeight="1" x14ac:dyDescent="0.2">
      <c r="B346" s="26">
        <v>326</v>
      </c>
      <c r="C346" s="27">
        <v>70</v>
      </c>
      <c r="D346" s="27">
        <v>24</v>
      </c>
      <c r="E346" s="28">
        <f t="shared" si="226"/>
        <v>11.666666666666666</v>
      </c>
      <c r="G346" s="26">
        <v>326</v>
      </c>
      <c r="H346" s="27">
        <f t="shared" si="231"/>
        <v>191</v>
      </c>
      <c r="I346" s="27">
        <f t="shared" si="232"/>
        <v>67</v>
      </c>
      <c r="J346" s="28">
        <f t="shared" si="230"/>
        <v>1.2797000000000001</v>
      </c>
      <c r="K346" s="32"/>
      <c r="L346" s="33">
        <f t="shared" si="227"/>
        <v>186</v>
      </c>
      <c r="M346" s="33">
        <f t="shared" si="228"/>
        <v>62</v>
      </c>
      <c r="N346" s="28">
        <f t="shared" si="229"/>
        <v>1.1532</v>
      </c>
    </row>
    <row r="347" spans="2:14" s="52" customFormat="1" ht="14.25" customHeight="1" x14ac:dyDescent="0.2">
      <c r="B347" s="26">
        <v>327</v>
      </c>
      <c r="C347" s="27">
        <v>65</v>
      </c>
      <c r="D347" s="27">
        <v>25</v>
      </c>
      <c r="E347" s="28">
        <f t="shared" si="226"/>
        <v>11.284722222222221</v>
      </c>
      <c r="G347" s="26">
        <v>327</v>
      </c>
      <c r="H347" s="27">
        <f t="shared" si="231"/>
        <v>178</v>
      </c>
      <c r="I347" s="27">
        <f t="shared" si="232"/>
        <v>69</v>
      </c>
      <c r="J347" s="28">
        <f t="shared" si="230"/>
        <v>1.2282</v>
      </c>
      <c r="K347" s="32"/>
      <c r="L347" s="33">
        <f t="shared" si="227"/>
        <v>173</v>
      </c>
      <c r="M347" s="33">
        <f t="shared" si="228"/>
        <v>64</v>
      </c>
      <c r="N347" s="28">
        <f t="shared" si="229"/>
        <v>1.1072</v>
      </c>
    </row>
    <row r="348" spans="2:14" s="52" customFormat="1" ht="14.25" customHeight="1" x14ac:dyDescent="0.2">
      <c r="B348" s="26">
        <v>328</v>
      </c>
      <c r="C348" s="27">
        <v>60</v>
      </c>
      <c r="D348" s="27">
        <v>25</v>
      </c>
      <c r="E348" s="28">
        <f t="shared" si="226"/>
        <v>10.416666666666666</v>
      </c>
      <c r="G348" s="26">
        <v>328</v>
      </c>
      <c r="H348" s="27">
        <f t="shared" si="231"/>
        <v>166</v>
      </c>
      <c r="I348" s="27">
        <f t="shared" si="232"/>
        <v>69</v>
      </c>
      <c r="J348" s="28">
        <f t="shared" si="230"/>
        <v>1.1454</v>
      </c>
      <c r="K348" s="32"/>
      <c r="L348" s="33">
        <f t="shared" si="227"/>
        <v>161</v>
      </c>
      <c r="M348" s="33">
        <f t="shared" si="228"/>
        <v>64</v>
      </c>
      <c r="N348" s="28">
        <f t="shared" si="229"/>
        <v>1.0304</v>
      </c>
    </row>
    <row r="349" spans="2:14" s="52" customFormat="1" ht="14.25" customHeight="1" x14ac:dyDescent="0.2">
      <c r="B349" s="26">
        <v>329</v>
      </c>
      <c r="C349" s="27">
        <v>51</v>
      </c>
      <c r="D349" s="27">
        <v>27</v>
      </c>
      <c r="E349" s="28">
        <f t="shared" si="226"/>
        <v>9.5625</v>
      </c>
      <c r="G349" s="26">
        <v>329</v>
      </c>
      <c r="H349" s="27">
        <f t="shared" si="231"/>
        <v>143</v>
      </c>
      <c r="I349" s="27">
        <f t="shared" si="232"/>
        <v>74</v>
      </c>
      <c r="J349" s="28">
        <f t="shared" si="230"/>
        <v>1.0582</v>
      </c>
      <c r="K349" s="32"/>
      <c r="L349" s="33">
        <f t="shared" si="227"/>
        <v>138</v>
      </c>
      <c r="M349" s="33">
        <f t="shared" si="228"/>
        <v>69</v>
      </c>
      <c r="N349" s="28">
        <f t="shared" si="229"/>
        <v>0.95220000000000005</v>
      </c>
    </row>
    <row r="350" spans="2:14" s="52" customFormat="1" ht="14.25" customHeight="1" x14ac:dyDescent="0.2">
      <c r="B350" s="26">
        <v>330</v>
      </c>
      <c r="C350" s="27">
        <v>43</v>
      </c>
      <c r="D350" s="27">
        <v>28</v>
      </c>
      <c r="E350" s="28">
        <f t="shared" si="226"/>
        <v>8.3611111111111107</v>
      </c>
      <c r="G350" s="26">
        <v>330</v>
      </c>
      <c r="H350" s="27">
        <f t="shared" si="231"/>
        <v>122</v>
      </c>
      <c r="I350" s="27">
        <f t="shared" si="232"/>
        <v>77</v>
      </c>
      <c r="J350" s="28">
        <f t="shared" si="230"/>
        <v>0.93940000000000001</v>
      </c>
      <c r="K350" s="32"/>
      <c r="L350" s="33">
        <f t="shared" si="227"/>
        <v>117</v>
      </c>
      <c r="M350" s="33">
        <f t="shared" si="228"/>
        <v>72</v>
      </c>
      <c r="N350" s="28">
        <f t="shared" si="229"/>
        <v>0.84240000000000004</v>
      </c>
    </row>
    <row r="351" spans="2:14" s="52" customFormat="1" ht="14.25" customHeight="1" x14ac:dyDescent="0.2">
      <c r="B351" s="26">
        <v>331</v>
      </c>
      <c r="C351" s="27">
        <v>38</v>
      </c>
      <c r="D351" s="27">
        <v>27</v>
      </c>
      <c r="E351" s="28">
        <f t="shared" si="226"/>
        <v>7.125</v>
      </c>
      <c r="G351" s="26">
        <v>331</v>
      </c>
      <c r="H351" s="27">
        <f t="shared" si="231"/>
        <v>110</v>
      </c>
      <c r="I351" s="27">
        <f t="shared" si="232"/>
        <v>74</v>
      </c>
      <c r="J351" s="28">
        <f t="shared" si="230"/>
        <v>0.81399999999999995</v>
      </c>
      <c r="K351" s="32"/>
      <c r="L351" s="33">
        <f t="shared" si="227"/>
        <v>105</v>
      </c>
      <c r="M351" s="33">
        <f t="shared" si="228"/>
        <v>69</v>
      </c>
      <c r="N351" s="28">
        <f t="shared" si="229"/>
        <v>0.72450000000000003</v>
      </c>
    </row>
    <row r="352" spans="2:14" s="52" customFormat="1" ht="14.25" customHeight="1" x14ac:dyDescent="0.2">
      <c r="B352" s="26">
        <v>332</v>
      </c>
      <c r="C352" s="27">
        <v>32</v>
      </c>
      <c r="D352" s="27">
        <v>23</v>
      </c>
      <c r="E352" s="28">
        <f t="shared" si="226"/>
        <v>5.1111111111111107</v>
      </c>
      <c r="G352" s="26">
        <v>332</v>
      </c>
      <c r="H352" s="27">
        <f t="shared" si="231"/>
        <v>94</v>
      </c>
      <c r="I352" s="27">
        <f t="shared" si="232"/>
        <v>64</v>
      </c>
      <c r="J352" s="28">
        <f t="shared" si="230"/>
        <v>0.60160000000000002</v>
      </c>
      <c r="K352" s="32"/>
      <c r="L352" s="33">
        <f t="shared" si="227"/>
        <v>89</v>
      </c>
      <c r="M352" s="33">
        <f t="shared" si="228"/>
        <v>59</v>
      </c>
      <c r="N352" s="28">
        <f t="shared" si="229"/>
        <v>0.52510000000000001</v>
      </c>
    </row>
    <row r="353" spans="2:14" s="52" customFormat="1" ht="14.25" customHeight="1" x14ac:dyDescent="0.2">
      <c r="B353" s="26">
        <v>333</v>
      </c>
      <c r="C353" s="27">
        <v>55</v>
      </c>
      <c r="D353" s="27">
        <v>31</v>
      </c>
      <c r="E353" s="28">
        <f t="shared" si="226"/>
        <v>11.840277777777779</v>
      </c>
      <c r="G353" s="26">
        <v>333</v>
      </c>
      <c r="H353" s="27">
        <f t="shared" si="231"/>
        <v>153</v>
      </c>
      <c r="I353" s="27">
        <f t="shared" si="232"/>
        <v>84</v>
      </c>
      <c r="J353" s="28">
        <f t="shared" si="230"/>
        <v>1.2851999999999999</v>
      </c>
      <c r="K353" s="32"/>
      <c r="L353" s="33">
        <f t="shared" si="227"/>
        <v>148</v>
      </c>
      <c r="M353" s="33">
        <f t="shared" si="228"/>
        <v>79</v>
      </c>
      <c r="N353" s="28">
        <f t="shared" si="229"/>
        <v>1.1692</v>
      </c>
    </row>
    <row r="354" spans="2:14" s="52" customFormat="1" ht="14.25" customHeight="1" x14ac:dyDescent="0.2">
      <c r="B354" s="26">
        <v>334</v>
      </c>
      <c r="C354" s="27">
        <v>58</v>
      </c>
      <c r="D354" s="27">
        <v>28</v>
      </c>
      <c r="E354" s="28">
        <f t="shared" si="226"/>
        <v>11.277777777777779</v>
      </c>
      <c r="G354" s="26">
        <v>334</v>
      </c>
      <c r="H354" s="27">
        <f t="shared" si="231"/>
        <v>161</v>
      </c>
      <c r="I354" s="27">
        <f t="shared" si="232"/>
        <v>77</v>
      </c>
      <c r="J354" s="28">
        <f t="shared" si="230"/>
        <v>1.2397</v>
      </c>
      <c r="K354" s="32"/>
      <c r="L354" s="33">
        <f t="shared" si="227"/>
        <v>156</v>
      </c>
      <c r="M354" s="33">
        <f t="shared" si="228"/>
        <v>72</v>
      </c>
      <c r="N354" s="28">
        <f t="shared" si="229"/>
        <v>1.1232</v>
      </c>
    </row>
    <row r="355" spans="2:14" s="52" customFormat="1" ht="14.25" customHeight="1" x14ac:dyDescent="0.2">
      <c r="B355" s="26">
        <v>335</v>
      </c>
      <c r="C355" s="27">
        <v>54</v>
      </c>
      <c r="D355" s="27">
        <v>28</v>
      </c>
      <c r="E355" s="28">
        <f t="shared" si="226"/>
        <v>10.5</v>
      </c>
      <c r="G355" s="26">
        <v>335</v>
      </c>
      <c r="H355" s="27">
        <f t="shared" si="231"/>
        <v>150</v>
      </c>
      <c r="I355" s="27">
        <f t="shared" si="232"/>
        <v>77</v>
      </c>
      <c r="J355" s="28">
        <f t="shared" si="230"/>
        <v>1.155</v>
      </c>
      <c r="K355" s="32"/>
      <c r="L355" s="33">
        <f t="shared" si="227"/>
        <v>145</v>
      </c>
      <c r="M355" s="33">
        <f t="shared" si="228"/>
        <v>72</v>
      </c>
      <c r="N355" s="28">
        <f t="shared" si="229"/>
        <v>1.044</v>
      </c>
    </row>
    <row r="356" spans="2:14" s="52" customFormat="1" ht="14.25" customHeight="1" x14ac:dyDescent="0.2">
      <c r="B356" s="26">
        <v>336</v>
      </c>
      <c r="C356" s="27">
        <v>49</v>
      </c>
      <c r="D356" s="27">
        <v>28</v>
      </c>
      <c r="E356" s="28">
        <f t="shared" si="226"/>
        <v>9.5277777777777786</v>
      </c>
      <c r="G356" s="26">
        <v>336</v>
      </c>
      <c r="H356" s="27">
        <f t="shared" si="231"/>
        <v>138</v>
      </c>
      <c r="I356" s="27">
        <f t="shared" si="232"/>
        <v>77</v>
      </c>
      <c r="J356" s="28">
        <f t="shared" si="230"/>
        <v>1.0626</v>
      </c>
      <c r="K356" s="32"/>
      <c r="L356" s="33">
        <f t="shared" si="227"/>
        <v>133</v>
      </c>
      <c r="M356" s="33">
        <f t="shared" si="228"/>
        <v>72</v>
      </c>
      <c r="N356" s="28">
        <f t="shared" si="229"/>
        <v>0.95760000000000001</v>
      </c>
    </row>
    <row r="357" spans="2:14" s="52" customFormat="1" ht="14.25" customHeight="1" x14ac:dyDescent="0.2">
      <c r="B357" s="26">
        <v>337</v>
      </c>
      <c r="C357" s="27">
        <v>59</v>
      </c>
      <c r="D357" s="27">
        <v>28</v>
      </c>
      <c r="E357" s="28">
        <f t="shared" si="226"/>
        <v>11.472222222222221</v>
      </c>
      <c r="G357" s="26">
        <v>337</v>
      </c>
      <c r="H357" s="27">
        <f t="shared" si="231"/>
        <v>163</v>
      </c>
      <c r="I357" s="27">
        <f t="shared" si="232"/>
        <v>77</v>
      </c>
      <c r="J357" s="28">
        <f t="shared" si="230"/>
        <v>1.2551000000000001</v>
      </c>
      <c r="K357" s="32"/>
      <c r="L357" s="33">
        <f t="shared" si="227"/>
        <v>158</v>
      </c>
      <c r="M357" s="33">
        <f t="shared" si="228"/>
        <v>72</v>
      </c>
      <c r="N357" s="28">
        <f t="shared" si="229"/>
        <v>1.1375999999999999</v>
      </c>
    </row>
    <row r="358" spans="2:14" s="52" customFormat="1" ht="14.25" customHeight="1" x14ac:dyDescent="0.2">
      <c r="B358" s="26">
        <v>338</v>
      </c>
      <c r="C358" s="27">
        <v>51</v>
      </c>
      <c r="D358" s="27">
        <v>24</v>
      </c>
      <c r="E358" s="28">
        <f t="shared" si="226"/>
        <v>8.5</v>
      </c>
      <c r="G358" s="26">
        <v>338</v>
      </c>
      <c r="H358" s="27">
        <f t="shared" si="231"/>
        <v>143</v>
      </c>
      <c r="I358" s="27">
        <f t="shared" si="232"/>
        <v>67</v>
      </c>
      <c r="J358" s="28">
        <f t="shared" si="230"/>
        <v>0.95809999999999995</v>
      </c>
      <c r="K358" s="32"/>
      <c r="L358" s="33">
        <f t="shared" si="227"/>
        <v>138</v>
      </c>
      <c r="M358" s="33">
        <f t="shared" si="228"/>
        <v>62</v>
      </c>
      <c r="N358" s="28">
        <f t="shared" si="229"/>
        <v>0.85560000000000003</v>
      </c>
    </row>
    <row r="359" spans="2:14" s="52" customFormat="1" ht="14.25" customHeight="1" x14ac:dyDescent="0.2">
      <c r="B359" s="26">
        <v>339</v>
      </c>
      <c r="C359" s="27">
        <v>32</v>
      </c>
      <c r="D359" s="27">
        <v>23</v>
      </c>
      <c r="E359" s="28">
        <f t="shared" si="226"/>
        <v>5.1111111111111107</v>
      </c>
      <c r="G359" s="26">
        <v>339</v>
      </c>
      <c r="H359" s="27">
        <f t="shared" si="231"/>
        <v>94</v>
      </c>
      <c r="I359" s="27">
        <f t="shared" si="232"/>
        <v>64</v>
      </c>
      <c r="J359" s="28">
        <f t="shared" si="230"/>
        <v>0.60160000000000002</v>
      </c>
      <c r="K359" s="32"/>
      <c r="L359" s="33">
        <f t="shared" si="227"/>
        <v>89</v>
      </c>
      <c r="M359" s="33">
        <f t="shared" si="228"/>
        <v>59</v>
      </c>
      <c r="N359" s="28">
        <f t="shared" si="229"/>
        <v>0.52510000000000001</v>
      </c>
    </row>
    <row r="360" spans="2:14" s="52" customFormat="1" ht="14.25" customHeight="1" x14ac:dyDescent="0.2">
      <c r="B360" s="26">
        <v>340</v>
      </c>
      <c r="C360" s="27">
        <v>33</v>
      </c>
      <c r="D360" s="27">
        <v>23</v>
      </c>
      <c r="E360" s="28">
        <f t="shared" si="226"/>
        <v>5.270833333333333</v>
      </c>
      <c r="G360" s="26">
        <v>340</v>
      </c>
      <c r="H360" s="27">
        <f t="shared" si="231"/>
        <v>97</v>
      </c>
      <c r="I360" s="27">
        <f t="shared" si="232"/>
        <v>64</v>
      </c>
      <c r="J360" s="28">
        <f t="shared" si="230"/>
        <v>0.62080000000000002</v>
      </c>
      <c r="K360" s="32"/>
      <c r="L360" s="33">
        <f t="shared" si="227"/>
        <v>92</v>
      </c>
      <c r="M360" s="33">
        <f t="shared" si="228"/>
        <v>59</v>
      </c>
      <c r="N360" s="28">
        <f t="shared" si="229"/>
        <v>0.54279999999999995</v>
      </c>
    </row>
    <row r="361" spans="2:14" s="52" customFormat="1" ht="14.25" customHeight="1" x14ac:dyDescent="0.2">
      <c r="B361" s="26">
        <v>341</v>
      </c>
      <c r="C361" s="27">
        <v>62</v>
      </c>
      <c r="D361" s="27">
        <v>23</v>
      </c>
      <c r="E361" s="28">
        <f t="shared" si="226"/>
        <v>9.9027777777777786</v>
      </c>
      <c r="G361" s="26">
        <v>341</v>
      </c>
      <c r="H361" s="27">
        <f t="shared" si="231"/>
        <v>171</v>
      </c>
      <c r="I361" s="27">
        <f t="shared" si="232"/>
        <v>64</v>
      </c>
      <c r="J361" s="28">
        <f t="shared" si="230"/>
        <v>1.0944</v>
      </c>
      <c r="K361" s="32"/>
      <c r="L361" s="33">
        <f t="shared" si="227"/>
        <v>166</v>
      </c>
      <c r="M361" s="33">
        <f t="shared" si="228"/>
        <v>59</v>
      </c>
      <c r="N361" s="28">
        <f t="shared" si="229"/>
        <v>0.97940000000000005</v>
      </c>
    </row>
    <row r="362" spans="2:14" s="52" customFormat="1" ht="14.25" customHeight="1" x14ac:dyDescent="0.2">
      <c r="B362" s="26">
        <v>342</v>
      </c>
      <c r="C362" s="27">
        <v>66</v>
      </c>
      <c r="D362" s="27">
        <v>23</v>
      </c>
      <c r="E362" s="28">
        <f t="shared" si="226"/>
        <v>10.541666666666666</v>
      </c>
      <c r="G362" s="26">
        <v>342</v>
      </c>
      <c r="H362" s="27">
        <f t="shared" si="231"/>
        <v>181</v>
      </c>
      <c r="I362" s="27">
        <f t="shared" si="232"/>
        <v>64</v>
      </c>
      <c r="J362" s="28">
        <f t="shared" si="230"/>
        <v>1.1584000000000001</v>
      </c>
      <c r="K362" s="32"/>
      <c r="L362" s="33">
        <f t="shared" si="227"/>
        <v>176</v>
      </c>
      <c r="M362" s="33">
        <f t="shared" si="228"/>
        <v>59</v>
      </c>
      <c r="N362" s="28">
        <f t="shared" si="229"/>
        <v>1.0384</v>
      </c>
    </row>
    <row r="363" spans="2:14" s="52" customFormat="1" ht="14.25" customHeight="1" x14ac:dyDescent="0.2">
      <c r="B363" s="26">
        <v>343</v>
      </c>
      <c r="C363" s="27">
        <v>63</v>
      </c>
      <c r="D363" s="27">
        <v>23</v>
      </c>
      <c r="E363" s="28">
        <f t="shared" si="226"/>
        <v>10.0625</v>
      </c>
      <c r="G363" s="26">
        <v>343</v>
      </c>
      <c r="H363" s="27">
        <f t="shared" si="231"/>
        <v>173</v>
      </c>
      <c r="I363" s="27">
        <f t="shared" si="232"/>
        <v>64</v>
      </c>
      <c r="J363" s="28">
        <f t="shared" si="230"/>
        <v>1.1072</v>
      </c>
      <c r="K363" s="32"/>
      <c r="L363" s="33">
        <f t="shared" si="227"/>
        <v>168</v>
      </c>
      <c r="M363" s="33">
        <f t="shared" si="228"/>
        <v>59</v>
      </c>
      <c r="N363" s="28">
        <f t="shared" si="229"/>
        <v>0.99119999999999997</v>
      </c>
    </row>
    <row r="364" spans="2:14" s="52" customFormat="1" ht="14.25" customHeight="1" x14ac:dyDescent="0.2">
      <c r="B364" s="26">
        <v>344</v>
      </c>
      <c r="C364" s="27">
        <v>57</v>
      </c>
      <c r="D364" s="27">
        <v>28</v>
      </c>
      <c r="E364" s="28">
        <f t="shared" si="226"/>
        <v>11.083333333333334</v>
      </c>
      <c r="G364" s="26">
        <v>344</v>
      </c>
      <c r="H364" s="27">
        <f t="shared" si="231"/>
        <v>158</v>
      </c>
      <c r="I364" s="27">
        <f t="shared" si="232"/>
        <v>77</v>
      </c>
      <c r="J364" s="28">
        <f t="shared" si="230"/>
        <v>1.2165999999999999</v>
      </c>
      <c r="K364" s="32"/>
      <c r="L364" s="33">
        <f t="shared" si="227"/>
        <v>153</v>
      </c>
      <c r="M364" s="33">
        <f t="shared" si="228"/>
        <v>72</v>
      </c>
      <c r="N364" s="28">
        <f t="shared" si="229"/>
        <v>1.1015999999999999</v>
      </c>
    </row>
    <row r="365" spans="2:14" s="52" customFormat="1" ht="14.25" customHeight="1" x14ac:dyDescent="0.2">
      <c r="B365" s="26">
        <v>345</v>
      </c>
      <c r="C365" s="27">
        <v>53</v>
      </c>
      <c r="D365" s="27">
        <v>24</v>
      </c>
      <c r="E365" s="28">
        <f t="shared" si="226"/>
        <v>8.8333333333333339</v>
      </c>
      <c r="G365" s="26">
        <v>345</v>
      </c>
      <c r="H365" s="27">
        <f t="shared" si="231"/>
        <v>148</v>
      </c>
      <c r="I365" s="27">
        <f t="shared" si="232"/>
        <v>67</v>
      </c>
      <c r="J365" s="28">
        <f t="shared" si="230"/>
        <v>0.99160000000000004</v>
      </c>
      <c r="K365" s="32"/>
      <c r="L365" s="33">
        <f t="shared" si="227"/>
        <v>143</v>
      </c>
      <c r="M365" s="33">
        <f t="shared" si="228"/>
        <v>62</v>
      </c>
      <c r="N365" s="28">
        <f t="shared" si="229"/>
        <v>0.88660000000000005</v>
      </c>
    </row>
    <row r="366" spans="2:14" s="52" customFormat="1" ht="14.25" customHeight="1" x14ac:dyDescent="0.2">
      <c r="B366" s="26">
        <v>346</v>
      </c>
      <c r="C366" s="27">
        <v>57</v>
      </c>
      <c r="D366" s="27">
        <v>26</v>
      </c>
      <c r="E366" s="28">
        <f t="shared" ref="E366:E429" si="233">C366*D366/144</f>
        <v>10.291666666666666</v>
      </c>
      <c r="G366" s="26">
        <v>346</v>
      </c>
      <c r="H366" s="27">
        <f t="shared" si="231"/>
        <v>158</v>
      </c>
      <c r="I366" s="27">
        <f t="shared" si="232"/>
        <v>72</v>
      </c>
      <c r="J366" s="28">
        <f t="shared" si="230"/>
        <v>1.1375999999999999</v>
      </c>
      <c r="K366" s="32"/>
      <c r="L366" s="33">
        <f t="shared" ref="L366:L429" si="234">H366-5</f>
        <v>153</v>
      </c>
      <c r="M366" s="33">
        <f t="shared" ref="M366:M429" si="235">I366-5</f>
        <v>67</v>
      </c>
      <c r="N366" s="28">
        <f t="shared" si="229"/>
        <v>1.0250999999999999</v>
      </c>
    </row>
    <row r="367" spans="2:14" s="52" customFormat="1" ht="14.25" customHeight="1" x14ac:dyDescent="0.2">
      <c r="B367" s="26">
        <v>347</v>
      </c>
      <c r="C367" s="27">
        <v>50</v>
      </c>
      <c r="D367" s="27">
        <v>26</v>
      </c>
      <c r="E367" s="28">
        <f t="shared" si="233"/>
        <v>9.0277777777777786</v>
      </c>
      <c r="G367" s="26">
        <v>347</v>
      </c>
      <c r="H367" s="27">
        <f t="shared" si="231"/>
        <v>140</v>
      </c>
      <c r="I367" s="27">
        <f t="shared" si="232"/>
        <v>72</v>
      </c>
      <c r="J367" s="28">
        <f t="shared" si="230"/>
        <v>1.008</v>
      </c>
      <c r="K367" s="32"/>
      <c r="L367" s="33">
        <f t="shared" si="234"/>
        <v>135</v>
      </c>
      <c r="M367" s="33">
        <f t="shared" si="235"/>
        <v>67</v>
      </c>
      <c r="N367" s="28">
        <f t="shared" si="229"/>
        <v>0.90449999999999997</v>
      </c>
    </row>
    <row r="368" spans="2:14" s="52" customFormat="1" ht="14.25" customHeight="1" x14ac:dyDescent="0.2">
      <c r="B368" s="26">
        <v>348</v>
      </c>
      <c r="C368" s="27">
        <v>38</v>
      </c>
      <c r="D368" s="27">
        <v>26</v>
      </c>
      <c r="E368" s="28">
        <f t="shared" si="233"/>
        <v>6.8611111111111107</v>
      </c>
      <c r="G368" s="26">
        <v>348</v>
      </c>
      <c r="H368" s="27">
        <f t="shared" si="231"/>
        <v>110</v>
      </c>
      <c r="I368" s="27">
        <f t="shared" si="232"/>
        <v>72</v>
      </c>
      <c r="J368" s="28">
        <f t="shared" si="230"/>
        <v>0.79200000000000004</v>
      </c>
      <c r="K368" s="32"/>
      <c r="L368" s="33">
        <f t="shared" si="234"/>
        <v>105</v>
      </c>
      <c r="M368" s="33">
        <f t="shared" si="235"/>
        <v>67</v>
      </c>
      <c r="N368" s="28">
        <f t="shared" si="229"/>
        <v>0.70350000000000001</v>
      </c>
    </row>
    <row r="369" spans="2:15" s="52" customFormat="1" ht="14.25" customHeight="1" x14ac:dyDescent="0.2">
      <c r="B369" s="26">
        <v>349</v>
      </c>
      <c r="C369" s="27">
        <v>39</v>
      </c>
      <c r="D369" s="27">
        <v>26</v>
      </c>
      <c r="E369" s="28">
        <f t="shared" si="233"/>
        <v>7.041666666666667</v>
      </c>
      <c r="G369" s="26">
        <v>349</v>
      </c>
      <c r="H369" s="27">
        <f t="shared" si="231"/>
        <v>112</v>
      </c>
      <c r="I369" s="27">
        <f t="shared" si="232"/>
        <v>72</v>
      </c>
      <c r="J369" s="28">
        <f t="shared" si="230"/>
        <v>0.80640000000000001</v>
      </c>
      <c r="K369" s="32"/>
      <c r="L369" s="33">
        <f t="shared" si="234"/>
        <v>107</v>
      </c>
      <c r="M369" s="33">
        <f t="shared" si="235"/>
        <v>67</v>
      </c>
      <c r="N369" s="28">
        <f t="shared" si="229"/>
        <v>0.71689999999999998</v>
      </c>
    </row>
    <row r="370" spans="2:15" s="52" customFormat="1" ht="14.25" customHeight="1" x14ac:dyDescent="0.2">
      <c r="B370" s="26">
        <v>350</v>
      </c>
      <c r="C370" s="27">
        <v>42</v>
      </c>
      <c r="D370" s="27">
        <v>23</v>
      </c>
      <c r="E370" s="28">
        <f t="shared" si="233"/>
        <v>6.708333333333333</v>
      </c>
      <c r="G370" s="26">
        <v>350</v>
      </c>
      <c r="H370" s="27">
        <f t="shared" si="231"/>
        <v>120</v>
      </c>
      <c r="I370" s="27">
        <f t="shared" si="232"/>
        <v>64</v>
      </c>
      <c r="J370" s="28">
        <f t="shared" si="230"/>
        <v>0.76800000000000002</v>
      </c>
      <c r="K370" s="32"/>
      <c r="L370" s="33">
        <f t="shared" si="234"/>
        <v>115</v>
      </c>
      <c r="M370" s="33">
        <f t="shared" si="235"/>
        <v>59</v>
      </c>
      <c r="N370" s="28">
        <f t="shared" si="229"/>
        <v>0.67849999999999999</v>
      </c>
    </row>
    <row r="371" spans="2:15" s="52" customFormat="1" ht="14.25" customHeight="1" x14ac:dyDescent="0.2">
      <c r="B371" s="26">
        <v>351</v>
      </c>
      <c r="C371" s="27">
        <v>33</v>
      </c>
      <c r="D371" s="27">
        <v>22</v>
      </c>
      <c r="E371" s="28">
        <f t="shared" si="233"/>
        <v>5.041666666666667</v>
      </c>
      <c r="G371" s="26">
        <v>351</v>
      </c>
      <c r="H371" s="27">
        <f t="shared" si="231"/>
        <v>97</v>
      </c>
      <c r="I371" s="27">
        <f t="shared" si="232"/>
        <v>61</v>
      </c>
      <c r="J371" s="28">
        <f t="shared" si="230"/>
        <v>0.5917</v>
      </c>
      <c r="K371" s="32"/>
      <c r="L371" s="33">
        <f t="shared" si="234"/>
        <v>92</v>
      </c>
      <c r="M371" s="33">
        <f t="shared" si="235"/>
        <v>56</v>
      </c>
      <c r="N371" s="28">
        <f t="shared" si="229"/>
        <v>0.51519999999999999</v>
      </c>
      <c r="O371" s="52" t="s">
        <v>24</v>
      </c>
    </row>
    <row r="372" spans="2:15" s="52" customFormat="1" ht="14.25" customHeight="1" x14ac:dyDescent="0.2">
      <c r="B372" s="26">
        <v>352</v>
      </c>
      <c r="C372" s="27">
        <v>55</v>
      </c>
      <c r="D372" s="27">
        <v>24</v>
      </c>
      <c r="E372" s="28">
        <f t="shared" si="233"/>
        <v>9.1666666666666661</v>
      </c>
      <c r="G372" s="26">
        <v>352</v>
      </c>
      <c r="H372" s="27">
        <f t="shared" si="231"/>
        <v>153</v>
      </c>
      <c r="I372" s="27">
        <f t="shared" si="232"/>
        <v>67</v>
      </c>
      <c r="J372" s="28">
        <f t="shared" si="230"/>
        <v>1.0250999999999999</v>
      </c>
      <c r="K372" s="32"/>
      <c r="L372" s="33">
        <f t="shared" si="234"/>
        <v>148</v>
      </c>
      <c r="M372" s="33">
        <f t="shared" si="235"/>
        <v>62</v>
      </c>
      <c r="N372" s="28">
        <f t="shared" si="229"/>
        <v>0.91759999999999997</v>
      </c>
      <c r="O372" s="52" t="s">
        <v>24</v>
      </c>
    </row>
    <row r="373" spans="2:15" s="52" customFormat="1" ht="14.25" customHeight="1" x14ac:dyDescent="0.2">
      <c r="B373" s="26">
        <v>353</v>
      </c>
      <c r="C373" s="27">
        <v>43</v>
      </c>
      <c r="D373" s="27">
        <v>24</v>
      </c>
      <c r="E373" s="28">
        <f t="shared" si="233"/>
        <v>7.166666666666667</v>
      </c>
      <c r="G373" s="26">
        <v>353</v>
      </c>
      <c r="H373" s="27">
        <f t="shared" si="231"/>
        <v>122</v>
      </c>
      <c r="I373" s="27">
        <f t="shared" si="232"/>
        <v>67</v>
      </c>
      <c r="J373" s="28">
        <f t="shared" si="230"/>
        <v>0.81740000000000002</v>
      </c>
      <c r="K373" s="32"/>
      <c r="L373" s="33">
        <f t="shared" si="234"/>
        <v>117</v>
      </c>
      <c r="M373" s="33">
        <f t="shared" si="235"/>
        <v>62</v>
      </c>
      <c r="N373" s="28">
        <f t="shared" si="229"/>
        <v>0.72540000000000004</v>
      </c>
    </row>
    <row r="374" spans="2:15" s="52" customFormat="1" ht="14.25" customHeight="1" x14ac:dyDescent="0.2">
      <c r="B374" s="26">
        <v>354</v>
      </c>
      <c r="C374" s="27">
        <v>56</v>
      </c>
      <c r="D374" s="27">
        <v>24</v>
      </c>
      <c r="E374" s="28">
        <f t="shared" si="233"/>
        <v>9.3333333333333339</v>
      </c>
      <c r="G374" s="26">
        <v>354</v>
      </c>
      <c r="H374" s="27">
        <f t="shared" si="231"/>
        <v>155</v>
      </c>
      <c r="I374" s="27">
        <f t="shared" si="232"/>
        <v>67</v>
      </c>
      <c r="J374" s="28">
        <f t="shared" si="230"/>
        <v>1.0385</v>
      </c>
      <c r="K374" s="32"/>
      <c r="L374" s="33">
        <f t="shared" si="234"/>
        <v>150</v>
      </c>
      <c r="M374" s="33">
        <f t="shared" si="235"/>
        <v>62</v>
      </c>
      <c r="N374" s="28">
        <f t="shared" si="229"/>
        <v>0.93</v>
      </c>
    </row>
    <row r="375" spans="2:15" s="52" customFormat="1" ht="14.25" customHeight="1" x14ac:dyDescent="0.2">
      <c r="B375" s="26">
        <v>355</v>
      </c>
      <c r="C375" s="27">
        <v>58</v>
      </c>
      <c r="D375" s="27">
        <v>24</v>
      </c>
      <c r="E375" s="28">
        <f t="shared" si="233"/>
        <v>9.6666666666666661</v>
      </c>
      <c r="G375" s="26">
        <v>355</v>
      </c>
      <c r="H375" s="27">
        <f t="shared" si="231"/>
        <v>161</v>
      </c>
      <c r="I375" s="27">
        <f t="shared" si="232"/>
        <v>67</v>
      </c>
      <c r="J375" s="28">
        <f t="shared" si="230"/>
        <v>1.0787</v>
      </c>
      <c r="K375" s="32"/>
      <c r="L375" s="33">
        <f t="shared" si="234"/>
        <v>156</v>
      </c>
      <c r="M375" s="33">
        <f t="shared" si="235"/>
        <v>62</v>
      </c>
      <c r="N375" s="28">
        <f t="shared" si="229"/>
        <v>0.96719999999999995</v>
      </c>
    </row>
    <row r="376" spans="2:15" s="52" customFormat="1" ht="14.25" customHeight="1" x14ac:dyDescent="0.2">
      <c r="B376" s="26">
        <v>356</v>
      </c>
      <c r="C376" s="27">
        <v>55</v>
      </c>
      <c r="D376" s="27">
        <v>24</v>
      </c>
      <c r="E376" s="28">
        <f t="shared" si="233"/>
        <v>9.1666666666666661</v>
      </c>
      <c r="G376" s="26">
        <v>356</v>
      </c>
      <c r="H376" s="27">
        <f t="shared" si="231"/>
        <v>153</v>
      </c>
      <c r="I376" s="27">
        <f t="shared" si="232"/>
        <v>67</v>
      </c>
      <c r="J376" s="28">
        <f t="shared" si="230"/>
        <v>1.0250999999999999</v>
      </c>
      <c r="K376" s="32"/>
      <c r="L376" s="33">
        <f t="shared" si="234"/>
        <v>148</v>
      </c>
      <c r="M376" s="33">
        <f t="shared" si="235"/>
        <v>62</v>
      </c>
      <c r="N376" s="28">
        <f t="shared" si="229"/>
        <v>0.91759999999999997</v>
      </c>
    </row>
    <row r="377" spans="2:15" s="52" customFormat="1" ht="14.25" customHeight="1" x14ac:dyDescent="0.2">
      <c r="B377" s="26">
        <v>357</v>
      </c>
      <c r="C377" s="27">
        <v>38</v>
      </c>
      <c r="D377" s="27">
        <v>24</v>
      </c>
      <c r="E377" s="28">
        <f t="shared" si="233"/>
        <v>6.333333333333333</v>
      </c>
      <c r="G377" s="26">
        <v>357</v>
      </c>
      <c r="H377" s="27">
        <f t="shared" si="231"/>
        <v>110</v>
      </c>
      <c r="I377" s="27">
        <f t="shared" si="232"/>
        <v>67</v>
      </c>
      <c r="J377" s="28">
        <f t="shared" si="230"/>
        <v>0.73699999999999999</v>
      </c>
      <c r="K377" s="32"/>
      <c r="L377" s="33">
        <f t="shared" si="234"/>
        <v>105</v>
      </c>
      <c r="M377" s="33">
        <f t="shared" si="235"/>
        <v>62</v>
      </c>
      <c r="N377" s="28">
        <f t="shared" si="229"/>
        <v>0.65100000000000002</v>
      </c>
    </row>
    <row r="378" spans="2:15" s="52" customFormat="1" ht="14.25" customHeight="1" x14ac:dyDescent="0.2">
      <c r="B378" s="26">
        <v>358</v>
      </c>
      <c r="C378" s="27">
        <v>63</v>
      </c>
      <c r="D378" s="27">
        <v>24</v>
      </c>
      <c r="E378" s="28">
        <f t="shared" si="233"/>
        <v>10.5</v>
      </c>
      <c r="G378" s="26">
        <v>358</v>
      </c>
      <c r="H378" s="27">
        <f t="shared" si="231"/>
        <v>173</v>
      </c>
      <c r="I378" s="27">
        <f t="shared" si="232"/>
        <v>67</v>
      </c>
      <c r="J378" s="28">
        <f t="shared" si="230"/>
        <v>1.1591</v>
      </c>
      <c r="K378" s="32"/>
      <c r="L378" s="33">
        <f t="shared" si="234"/>
        <v>168</v>
      </c>
      <c r="M378" s="33">
        <f t="shared" si="235"/>
        <v>62</v>
      </c>
      <c r="N378" s="28">
        <f t="shared" si="229"/>
        <v>1.0416000000000001</v>
      </c>
    </row>
    <row r="379" spans="2:15" s="52" customFormat="1" ht="14.25" customHeight="1" x14ac:dyDescent="0.2">
      <c r="B379" s="26">
        <v>359</v>
      </c>
      <c r="C379" s="27">
        <v>49</v>
      </c>
      <c r="D379" s="27">
        <v>23</v>
      </c>
      <c r="E379" s="28">
        <f t="shared" si="233"/>
        <v>7.8263888888888893</v>
      </c>
      <c r="G379" s="26">
        <v>359</v>
      </c>
      <c r="H379" s="27">
        <f t="shared" si="231"/>
        <v>138</v>
      </c>
      <c r="I379" s="27">
        <f t="shared" si="232"/>
        <v>64</v>
      </c>
      <c r="J379" s="28">
        <f t="shared" si="230"/>
        <v>0.88319999999999999</v>
      </c>
      <c r="K379" s="32"/>
      <c r="L379" s="33">
        <f t="shared" si="234"/>
        <v>133</v>
      </c>
      <c r="M379" s="33">
        <f t="shared" si="235"/>
        <v>59</v>
      </c>
      <c r="N379" s="28">
        <f t="shared" si="229"/>
        <v>0.78469999999999995</v>
      </c>
    </row>
    <row r="380" spans="2:15" s="52" customFormat="1" ht="14.25" customHeight="1" x14ac:dyDescent="0.2">
      <c r="B380" s="26">
        <v>360</v>
      </c>
      <c r="C380" s="27">
        <v>40</v>
      </c>
      <c r="D380" s="27">
        <v>23</v>
      </c>
      <c r="E380" s="28">
        <f t="shared" si="233"/>
        <v>6.3888888888888893</v>
      </c>
      <c r="G380" s="26">
        <v>360</v>
      </c>
      <c r="H380" s="27">
        <f t="shared" si="231"/>
        <v>115</v>
      </c>
      <c r="I380" s="27">
        <f t="shared" si="232"/>
        <v>64</v>
      </c>
      <c r="J380" s="28">
        <f t="shared" si="230"/>
        <v>0.73599999999999999</v>
      </c>
      <c r="K380" s="32"/>
      <c r="L380" s="33">
        <f t="shared" si="234"/>
        <v>110</v>
      </c>
      <c r="M380" s="33">
        <f t="shared" si="235"/>
        <v>59</v>
      </c>
      <c r="N380" s="28">
        <f t="shared" si="229"/>
        <v>0.64900000000000002</v>
      </c>
    </row>
    <row r="381" spans="2:15" s="52" customFormat="1" ht="14.25" customHeight="1" x14ac:dyDescent="0.2">
      <c r="B381" s="26">
        <v>361</v>
      </c>
      <c r="C381" s="27">
        <v>54</v>
      </c>
      <c r="D381" s="27">
        <v>23</v>
      </c>
      <c r="E381" s="28">
        <f t="shared" si="233"/>
        <v>8.625</v>
      </c>
      <c r="G381" s="26">
        <v>361</v>
      </c>
      <c r="H381" s="27">
        <f t="shared" si="231"/>
        <v>150</v>
      </c>
      <c r="I381" s="27">
        <f t="shared" si="232"/>
        <v>64</v>
      </c>
      <c r="J381" s="28">
        <f t="shared" si="230"/>
        <v>0.96</v>
      </c>
      <c r="K381" s="32"/>
      <c r="L381" s="33">
        <f t="shared" si="234"/>
        <v>145</v>
      </c>
      <c r="M381" s="33">
        <f t="shared" si="235"/>
        <v>59</v>
      </c>
      <c r="N381" s="28">
        <f t="shared" si="229"/>
        <v>0.85550000000000004</v>
      </c>
    </row>
    <row r="382" spans="2:15" s="52" customFormat="1" ht="14.25" customHeight="1" x14ac:dyDescent="0.2">
      <c r="B382" s="26">
        <v>362</v>
      </c>
      <c r="C382" s="27">
        <v>62</v>
      </c>
      <c r="D382" s="27">
        <v>24</v>
      </c>
      <c r="E382" s="28">
        <f t="shared" si="233"/>
        <v>10.333333333333334</v>
      </c>
      <c r="G382" s="26">
        <v>362</v>
      </c>
      <c r="H382" s="27">
        <f t="shared" si="231"/>
        <v>171</v>
      </c>
      <c r="I382" s="27">
        <f t="shared" si="232"/>
        <v>67</v>
      </c>
      <c r="J382" s="28">
        <f t="shared" si="230"/>
        <v>1.1456999999999999</v>
      </c>
      <c r="K382" s="32"/>
      <c r="L382" s="33">
        <f t="shared" si="234"/>
        <v>166</v>
      </c>
      <c r="M382" s="33">
        <f t="shared" si="235"/>
        <v>62</v>
      </c>
      <c r="N382" s="28">
        <f t="shared" si="229"/>
        <v>1.0291999999999999</v>
      </c>
    </row>
    <row r="383" spans="2:15" s="52" customFormat="1" ht="14.25" customHeight="1" x14ac:dyDescent="0.2">
      <c r="B383" s="26">
        <v>363</v>
      </c>
      <c r="C383" s="27">
        <v>59</v>
      </c>
      <c r="D383" s="27">
        <v>24</v>
      </c>
      <c r="E383" s="28">
        <f t="shared" si="233"/>
        <v>9.8333333333333339</v>
      </c>
      <c r="G383" s="26">
        <v>363</v>
      </c>
      <c r="H383" s="27">
        <f t="shared" si="231"/>
        <v>163</v>
      </c>
      <c r="I383" s="27">
        <f t="shared" si="232"/>
        <v>67</v>
      </c>
      <c r="J383" s="28">
        <f t="shared" si="230"/>
        <v>1.0921000000000001</v>
      </c>
      <c r="K383" s="32"/>
      <c r="L383" s="33">
        <f t="shared" si="234"/>
        <v>158</v>
      </c>
      <c r="M383" s="33">
        <f t="shared" si="235"/>
        <v>62</v>
      </c>
      <c r="N383" s="28">
        <f t="shared" si="229"/>
        <v>0.97960000000000003</v>
      </c>
    </row>
    <row r="384" spans="2:15" s="52" customFormat="1" ht="14.25" customHeight="1" x14ac:dyDescent="0.2">
      <c r="B384" s="26">
        <v>364</v>
      </c>
      <c r="C384" s="27">
        <v>61</v>
      </c>
      <c r="D384" s="27">
        <v>24</v>
      </c>
      <c r="E384" s="28">
        <f t="shared" si="233"/>
        <v>10.166666666666666</v>
      </c>
      <c r="G384" s="26">
        <v>364</v>
      </c>
      <c r="H384" s="27">
        <f t="shared" si="231"/>
        <v>168</v>
      </c>
      <c r="I384" s="27">
        <f t="shared" si="232"/>
        <v>67</v>
      </c>
      <c r="J384" s="28">
        <f t="shared" si="230"/>
        <v>1.1255999999999999</v>
      </c>
      <c r="K384" s="32"/>
      <c r="L384" s="33">
        <f t="shared" si="234"/>
        <v>163</v>
      </c>
      <c r="M384" s="33">
        <f t="shared" si="235"/>
        <v>62</v>
      </c>
      <c r="N384" s="28">
        <f t="shared" si="229"/>
        <v>1.0105999999999999</v>
      </c>
    </row>
    <row r="385" spans="2:14" s="52" customFormat="1" ht="14.25" customHeight="1" x14ac:dyDescent="0.2">
      <c r="B385" s="26">
        <v>365</v>
      </c>
      <c r="C385" s="27">
        <v>33</v>
      </c>
      <c r="D385" s="27">
        <v>24</v>
      </c>
      <c r="E385" s="28">
        <f t="shared" si="233"/>
        <v>5.5</v>
      </c>
      <c r="G385" s="26">
        <v>365</v>
      </c>
      <c r="H385" s="27">
        <f t="shared" si="231"/>
        <v>97</v>
      </c>
      <c r="I385" s="27">
        <f t="shared" si="232"/>
        <v>67</v>
      </c>
      <c r="J385" s="28">
        <f t="shared" si="230"/>
        <v>0.64990000000000003</v>
      </c>
      <c r="K385" s="32"/>
      <c r="L385" s="33">
        <f t="shared" si="234"/>
        <v>92</v>
      </c>
      <c r="M385" s="33">
        <f t="shared" si="235"/>
        <v>62</v>
      </c>
      <c r="N385" s="28">
        <f t="shared" si="229"/>
        <v>0.57040000000000002</v>
      </c>
    </row>
    <row r="386" spans="2:14" s="52" customFormat="1" ht="14.25" customHeight="1" x14ac:dyDescent="0.2">
      <c r="B386" s="26">
        <v>366</v>
      </c>
      <c r="C386" s="27">
        <v>36</v>
      </c>
      <c r="D386" s="27">
        <v>23</v>
      </c>
      <c r="E386" s="28">
        <f t="shared" si="233"/>
        <v>5.75</v>
      </c>
      <c r="G386" s="26">
        <v>366</v>
      </c>
      <c r="H386" s="27">
        <f t="shared" si="231"/>
        <v>105</v>
      </c>
      <c r="I386" s="27">
        <f t="shared" si="232"/>
        <v>64</v>
      </c>
      <c r="J386" s="28">
        <f t="shared" si="230"/>
        <v>0.67200000000000004</v>
      </c>
      <c r="K386" s="32"/>
      <c r="L386" s="33">
        <f t="shared" si="234"/>
        <v>100</v>
      </c>
      <c r="M386" s="33">
        <f t="shared" si="235"/>
        <v>59</v>
      </c>
      <c r="N386" s="28">
        <f t="shared" si="229"/>
        <v>0.59</v>
      </c>
    </row>
    <row r="387" spans="2:14" s="52" customFormat="1" ht="14.25" customHeight="1" x14ac:dyDescent="0.2">
      <c r="B387" s="26">
        <v>367</v>
      </c>
      <c r="C387" s="27">
        <v>53</v>
      </c>
      <c r="D387" s="27">
        <v>27</v>
      </c>
      <c r="E387" s="28">
        <f t="shared" si="233"/>
        <v>9.9375</v>
      </c>
      <c r="G387" s="26">
        <v>367</v>
      </c>
      <c r="H387" s="27">
        <f t="shared" si="231"/>
        <v>148</v>
      </c>
      <c r="I387" s="27">
        <f t="shared" si="232"/>
        <v>74</v>
      </c>
      <c r="J387" s="28">
        <f t="shared" si="230"/>
        <v>1.0952</v>
      </c>
      <c r="K387" s="32"/>
      <c r="L387" s="33">
        <f t="shared" si="234"/>
        <v>143</v>
      </c>
      <c r="M387" s="33">
        <f t="shared" si="235"/>
        <v>69</v>
      </c>
      <c r="N387" s="28">
        <f t="shared" si="229"/>
        <v>0.98670000000000002</v>
      </c>
    </row>
    <row r="388" spans="2:14" s="52" customFormat="1" ht="14.25" customHeight="1" x14ac:dyDescent="0.2">
      <c r="B388" s="26">
        <v>368</v>
      </c>
      <c r="C388" s="27">
        <v>48</v>
      </c>
      <c r="D388" s="27">
        <v>27</v>
      </c>
      <c r="E388" s="28">
        <f t="shared" si="233"/>
        <v>9</v>
      </c>
      <c r="G388" s="26">
        <v>368</v>
      </c>
      <c r="H388" s="27">
        <f t="shared" si="231"/>
        <v>135</v>
      </c>
      <c r="I388" s="27">
        <f t="shared" si="232"/>
        <v>74</v>
      </c>
      <c r="J388" s="28">
        <f t="shared" si="230"/>
        <v>0.999</v>
      </c>
      <c r="K388" s="32"/>
      <c r="L388" s="33">
        <f t="shared" si="234"/>
        <v>130</v>
      </c>
      <c r="M388" s="33">
        <f t="shared" si="235"/>
        <v>69</v>
      </c>
      <c r="N388" s="28">
        <f t="shared" si="229"/>
        <v>0.89700000000000002</v>
      </c>
    </row>
    <row r="389" spans="2:14" s="52" customFormat="1" ht="14.25" customHeight="1" x14ac:dyDescent="0.2">
      <c r="B389" s="26">
        <v>369</v>
      </c>
      <c r="C389" s="27">
        <v>42</v>
      </c>
      <c r="D389" s="27">
        <v>27</v>
      </c>
      <c r="E389" s="28">
        <f t="shared" si="233"/>
        <v>7.875</v>
      </c>
      <c r="G389" s="26">
        <v>369</v>
      </c>
      <c r="H389" s="27">
        <f t="shared" si="231"/>
        <v>120</v>
      </c>
      <c r="I389" s="27">
        <f t="shared" si="232"/>
        <v>74</v>
      </c>
      <c r="J389" s="28">
        <f t="shared" si="230"/>
        <v>0.88800000000000001</v>
      </c>
      <c r="K389" s="32"/>
      <c r="L389" s="33">
        <f t="shared" si="234"/>
        <v>115</v>
      </c>
      <c r="M389" s="33">
        <f t="shared" si="235"/>
        <v>69</v>
      </c>
      <c r="N389" s="28">
        <f t="shared" si="229"/>
        <v>0.79349999999999998</v>
      </c>
    </row>
    <row r="390" spans="2:14" s="52" customFormat="1" ht="14.25" customHeight="1" x14ac:dyDescent="0.2">
      <c r="B390" s="26">
        <v>370</v>
      </c>
      <c r="C390" s="27">
        <v>54</v>
      </c>
      <c r="D390" s="27">
        <v>24</v>
      </c>
      <c r="E390" s="28">
        <f t="shared" si="233"/>
        <v>9</v>
      </c>
      <c r="G390" s="26">
        <v>370</v>
      </c>
      <c r="H390" s="27">
        <f t="shared" si="231"/>
        <v>150</v>
      </c>
      <c r="I390" s="27">
        <f t="shared" si="232"/>
        <v>67</v>
      </c>
      <c r="J390" s="28">
        <f t="shared" si="230"/>
        <v>1.0049999999999999</v>
      </c>
      <c r="K390" s="32"/>
      <c r="L390" s="33">
        <f t="shared" si="234"/>
        <v>145</v>
      </c>
      <c r="M390" s="33">
        <f t="shared" si="235"/>
        <v>62</v>
      </c>
      <c r="N390" s="28">
        <f t="shared" si="229"/>
        <v>0.89900000000000002</v>
      </c>
    </row>
    <row r="391" spans="2:14" s="52" customFormat="1" ht="14.25" customHeight="1" x14ac:dyDescent="0.2">
      <c r="B391" s="26">
        <v>371</v>
      </c>
      <c r="C391" s="27">
        <v>36</v>
      </c>
      <c r="D391" s="27">
        <v>24</v>
      </c>
      <c r="E391" s="28">
        <f t="shared" si="233"/>
        <v>6</v>
      </c>
      <c r="G391" s="26">
        <v>371</v>
      </c>
      <c r="H391" s="27">
        <f t="shared" si="231"/>
        <v>105</v>
      </c>
      <c r="I391" s="27">
        <f t="shared" si="232"/>
        <v>67</v>
      </c>
      <c r="J391" s="28">
        <f t="shared" si="230"/>
        <v>0.70350000000000001</v>
      </c>
      <c r="K391" s="32"/>
      <c r="L391" s="33">
        <f t="shared" si="234"/>
        <v>100</v>
      </c>
      <c r="M391" s="33">
        <f t="shared" si="235"/>
        <v>62</v>
      </c>
      <c r="N391" s="28">
        <f t="shared" si="229"/>
        <v>0.62</v>
      </c>
    </row>
    <row r="392" spans="2:14" s="52" customFormat="1" ht="14.25" customHeight="1" x14ac:dyDescent="0.2">
      <c r="B392" s="26">
        <v>372</v>
      </c>
      <c r="C392" s="27">
        <v>63</v>
      </c>
      <c r="D392" s="27">
        <v>25</v>
      </c>
      <c r="E392" s="28">
        <f t="shared" si="233"/>
        <v>10.9375</v>
      </c>
      <c r="G392" s="26">
        <v>372</v>
      </c>
      <c r="H392" s="27">
        <f t="shared" si="231"/>
        <v>173</v>
      </c>
      <c r="I392" s="27">
        <f t="shared" si="232"/>
        <v>69</v>
      </c>
      <c r="J392" s="28">
        <f t="shared" si="230"/>
        <v>1.1937</v>
      </c>
      <c r="K392" s="32"/>
      <c r="L392" s="33">
        <f t="shared" si="234"/>
        <v>168</v>
      </c>
      <c r="M392" s="33">
        <f t="shared" si="235"/>
        <v>64</v>
      </c>
      <c r="N392" s="28">
        <f t="shared" si="229"/>
        <v>1.0751999999999999</v>
      </c>
    </row>
    <row r="393" spans="2:14" s="52" customFormat="1" ht="14.25" customHeight="1" x14ac:dyDescent="0.2">
      <c r="B393" s="26">
        <v>373</v>
      </c>
      <c r="C393" s="27">
        <v>38</v>
      </c>
      <c r="D393" s="27">
        <v>24</v>
      </c>
      <c r="E393" s="28">
        <f t="shared" si="233"/>
        <v>6.333333333333333</v>
      </c>
      <c r="G393" s="26">
        <v>373</v>
      </c>
      <c r="H393" s="27">
        <f t="shared" si="231"/>
        <v>110</v>
      </c>
      <c r="I393" s="27">
        <f t="shared" si="232"/>
        <v>67</v>
      </c>
      <c r="J393" s="28">
        <f t="shared" si="230"/>
        <v>0.73699999999999999</v>
      </c>
      <c r="K393" s="32"/>
      <c r="L393" s="33">
        <f t="shared" si="234"/>
        <v>105</v>
      </c>
      <c r="M393" s="33">
        <f t="shared" si="235"/>
        <v>62</v>
      </c>
      <c r="N393" s="28">
        <f t="shared" si="229"/>
        <v>0.65100000000000002</v>
      </c>
    </row>
    <row r="394" spans="2:14" s="52" customFormat="1" ht="14.25" customHeight="1" x14ac:dyDescent="0.2">
      <c r="B394" s="26">
        <v>374</v>
      </c>
      <c r="C394" s="27">
        <v>36</v>
      </c>
      <c r="D394" s="27">
        <v>24</v>
      </c>
      <c r="E394" s="28">
        <f t="shared" si="233"/>
        <v>6</v>
      </c>
      <c r="G394" s="26">
        <v>374</v>
      </c>
      <c r="H394" s="27">
        <f t="shared" si="231"/>
        <v>105</v>
      </c>
      <c r="I394" s="27">
        <f t="shared" si="232"/>
        <v>67</v>
      </c>
      <c r="J394" s="28">
        <f t="shared" si="230"/>
        <v>0.70350000000000001</v>
      </c>
      <c r="K394" s="32"/>
      <c r="L394" s="33">
        <f t="shared" si="234"/>
        <v>100</v>
      </c>
      <c r="M394" s="33">
        <f t="shared" si="235"/>
        <v>62</v>
      </c>
      <c r="N394" s="28">
        <f t="shared" si="229"/>
        <v>0.62</v>
      </c>
    </row>
    <row r="395" spans="2:14" s="52" customFormat="1" ht="14.25" customHeight="1" x14ac:dyDescent="0.2">
      <c r="B395" s="26">
        <v>375</v>
      </c>
      <c r="C395" s="27">
        <v>62</v>
      </c>
      <c r="D395" s="27">
        <v>25</v>
      </c>
      <c r="E395" s="28">
        <f t="shared" si="233"/>
        <v>10.763888888888889</v>
      </c>
      <c r="G395" s="26">
        <v>375</v>
      </c>
      <c r="H395" s="27">
        <f t="shared" si="231"/>
        <v>171</v>
      </c>
      <c r="I395" s="27">
        <f t="shared" si="232"/>
        <v>69</v>
      </c>
      <c r="J395" s="28">
        <f t="shared" si="230"/>
        <v>1.1798999999999999</v>
      </c>
      <c r="K395" s="32"/>
      <c r="L395" s="33">
        <f t="shared" si="234"/>
        <v>166</v>
      </c>
      <c r="M395" s="33">
        <f t="shared" si="235"/>
        <v>64</v>
      </c>
      <c r="N395" s="28">
        <f t="shared" si="229"/>
        <v>1.0624</v>
      </c>
    </row>
    <row r="396" spans="2:14" s="52" customFormat="1" ht="14.25" customHeight="1" x14ac:dyDescent="0.2">
      <c r="B396" s="26">
        <v>376</v>
      </c>
      <c r="C396" s="27">
        <v>35</v>
      </c>
      <c r="D396" s="27">
        <v>24</v>
      </c>
      <c r="E396" s="28">
        <f t="shared" si="233"/>
        <v>5.833333333333333</v>
      </c>
      <c r="G396" s="26">
        <v>376</v>
      </c>
      <c r="H396" s="27">
        <f t="shared" si="231"/>
        <v>102</v>
      </c>
      <c r="I396" s="27">
        <f t="shared" si="232"/>
        <v>67</v>
      </c>
      <c r="J396" s="28">
        <f t="shared" si="230"/>
        <v>0.68340000000000001</v>
      </c>
      <c r="K396" s="32"/>
      <c r="L396" s="33">
        <f t="shared" si="234"/>
        <v>97</v>
      </c>
      <c r="M396" s="33">
        <f t="shared" si="235"/>
        <v>62</v>
      </c>
      <c r="N396" s="28">
        <f t="shared" si="229"/>
        <v>0.60140000000000005</v>
      </c>
    </row>
    <row r="397" spans="2:14" s="52" customFormat="1" ht="14.25" customHeight="1" x14ac:dyDescent="0.2">
      <c r="B397" s="26">
        <v>377</v>
      </c>
      <c r="C397" s="27">
        <v>70</v>
      </c>
      <c r="D397" s="27">
        <v>25</v>
      </c>
      <c r="E397" s="28">
        <f t="shared" si="233"/>
        <v>12.152777777777779</v>
      </c>
      <c r="G397" s="26">
        <v>377</v>
      </c>
      <c r="H397" s="27">
        <f t="shared" si="231"/>
        <v>191</v>
      </c>
      <c r="I397" s="27">
        <f t="shared" si="232"/>
        <v>69</v>
      </c>
      <c r="J397" s="28">
        <f t="shared" si="230"/>
        <v>1.3179000000000001</v>
      </c>
      <c r="K397" s="32"/>
      <c r="L397" s="33">
        <f t="shared" si="234"/>
        <v>186</v>
      </c>
      <c r="M397" s="33">
        <f t="shared" si="235"/>
        <v>64</v>
      </c>
      <c r="N397" s="28">
        <f t="shared" si="229"/>
        <v>1.1903999999999999</v>
      </c>
    </row>
    <row r="398" spans="2:14" s="52" customFormat="1" ht="14.25" customHeight="1" x14ac:dyDescent="0.2">
      <c r="B398" s="26">
        <v>378</v>
      </c>
      <c r="C398" s="27">
        <v>60</v>
      </c>
      <c r="D398" s="27">
        <v>25</v>
      </c>
      <c r="E398" s="28">
        <f t="shared" si="233"/>
        <v>10.416666666666666</v>
      </c>
      <c r="G398" s="26">
        <v>378</v>
      </c>
      <c r="H398" s="27">
        <f t="shared" si="231"/>
        <v>166</v>
      </c>
      <c r="I398" s="27">
        <f t="shared" si="232"/>
        <v>69</v>
      </c>
      <c r="J398" s="28">
        <f t="shared" si="230"/>
        <v>1.1454</v>
      </c>
      <c r="K398" s="32"/>
      <c r="L398" s="33">
        <f t="shared" si="234"/>
        <v>161</v>
      </c>
      <c r="M398" s="33">
        <f t="shared" si="235"/>
        <v>64</v>
      </c>
      <c r="N398" s="28">
        <f t="shared" si="229"/>
        <v>1.0304</v>
      </c>
    </row>
    <row r="399" spans="2:14" s="52" customFormat="1" ht="14.25" customHeight="1" x14ac:dyDescent="0.2">
      <c r="B399" s="26">
        <v>379</v>
      </c>
      <c r="C399" s="27">
        <v>31</v>
      </c>
      <c r="D399" s="27">
        <v>25</v>
      </c>
      <c r="E399" s="28">
        <f t="shared" si="233"/>
        <v>5.3819444444444446</v>
      </c>
      <c r="G399" s="26">
        <v>379</v>
      </c>
      <c r="H399" s="27">
        <f t="shared" si="231"/>
        <v>92</v>
      </c>
      <c r="I399" s="27">
        <f t="shared" si="232"/>
        <v>69</v>
      </c>
      <c r="J399" s="28">
        <f t="shared" si="230"/>
        <v>0.63480000000000003</v>
      </c>
      <c r="K399" s="32"/>
      <c r="L399" s="33">
        <f t="shared" si="234"/>
        <v>87</v>
      </c>
      <c r="M399" s="33">
        <f t="shared" si="235"/>
        <v>64</v>
      </c>
      <c r="N399" s="28">
        <f t="shared" si="229"/>
        <v>0.55679999999999996</v>
      </c>
    </row>
    <row r="400" spans="2:14" s="52" customFormat="1" ht="14.25" customHeight="1" x14ac:dyDescent="0.2">
      <c r="B400" s="26">
        <v>380</v>
      </c>
      <c r="C400" s="27">
        <v>38</v>
      </c>
      <c r="D400" s="27">
        <v>24</v>
      </c>
      <c r="E400" s="28">
        <f t="shared" si="233"/>
        <v>6.333333333333333</v>
      </c>
      <c r="G400" s="26">
        <v>380</v>
      </c>
      <c r="H400" s="27">
        <f t="shared" si="231"/>
        <v>110</v>
      </c>
      <c r="I400" s="27">
        <f t="shared" si="232"/>
        <v>67</v>
      </c>
      <c r="J400" s="28">
        <f t="shared" si="230"/>
        <v>0.73699999999999999</v>
      </c>
      <c r="K400" s="32"/>
      <c r="L400" s="33">
        <f t="shared" si="234"/>
        <v>105</v>
      </c>
      <c r="M400" s="33">
        <f t="shared" si="235"/>
        <v>62</v>
      </c>
      <c r="N400" s="28">
        <f t="shared" si="229"/>
        <v>0.65100000000000002</v>
      </c>
    </row>
    <row r="401" spans="2:14" s="52" customFormat="1" ht="14.25" customHeight="1" x14ac:dyDescent="0.2">
      <c r="B401" s="26">
        <v>381</v>
      </c>
      <c r="C401" s="27">
        <v>59</v>
      </c>
      <c r="D401" s="27">
        <v>25</v>
      </c>
      <c r="E401" s="28">
        <f t="shared" si="233"/>
        <v>10.243055555555555</v>
      </c>
      <c r="G401" s="26">
        <v>381</v>
      </c>
      <c r="H401" s="27">
        <f t="shared" si="231"/>
        <v>163</v>
      </c>
      <c r="I401" s="27">
        <f t="shared" si="232"/>
        <v>69</v>
      </c>
      <c r="J401" s="28">
        <f t="shared" si="230"/>
        <v>1.1247</v>
      </c>
      <c r="K401" s="32"/>
      <c r="L401" s="33">
        <f t="shared" si="234"/>
        <v>158</v>
      </c>
      <c r="M401" s="33">
        <f t="shared" si="235"/>
        <v>64</v>
      </c>
      <c r="N401" s="28">
        <f t="shared" si="229"/>
        <v>1.0112000000000001</v>
      </c>
    </row>
    <row r="402" spans="2:14" s="52" customFormat="1" ht="14.25" customHeight="1" x14ac:dyDescent="0.2">
      <c r="B402" s="26">
        <v>382</v>
      </c>
      <c r="C402" s="27">
        <v>58</v>
      </c>
      <c r="D402" s="27">
        <v>25</v>
      </c>
      <c r="E402" s="28">
        <f t="shared" si="233"/>
        <v>10.069444444444445</v>
      </c>
      <c r="G402" s="26">
        <v>382</v>
      </c>
      <c r="H402" s="27">
        <f t="shared" si="231"/>
        <v>161</v>
      </c>
      <c r="I402" s="27">
        <f t="shared" si="232"/>
        <v>69</v>
      </c>
      <c r="J402" s="28">
        <f t="shared" si="230"/>
        <v>1.1109</v>
      </c>
      <c r="K402" s="32"/>
      <c r="L402" s="33">
        <f t="shared" si="234"/>
        <v>156</v>
      </c>
      <c r="M402" s="33">
        <f t="shared" si="235"/>
        <v>64</v>
      </c>
      <c r="N402" s="28">
        <f t="shared" ref="N402:N433" si="236">L402*M402/10000</f>
        <v>0.99839999999999995</v>
      </c>
    </row>
    <row r="403" spans="2:14" s="52" customFormat="1" ht="14.25" customHeight="1" x14ac:dyDescent="0.2">
      <c r="B403" s="26">
        <v>383</v>
      </c>
      <c r="C403" s="27">
        <v>39</v>
      </c>
      <c r="D403" s="27">
        <v>25</v>
      </c>
      <c r="E403" s="28">
        <f t="shared" si="233"/>
        <v>6.770833333333333</v>
      </c>
      <c r="G403" s="26">
        <v>383</v>
      </c>
      <c r="H403" s="27">
        <f t="shared" si="231"/>
        <v>112</v>
      </c>
      <c r="I403" s="27">
        <f t="shared" si="232"/>
        <v>69</v>
      </c>
      <c r="J403" s="28">
        <f t="shared" si="230"/>
        <v>0.77280000000000004</v>
      </c>
      <c r="K403" s="32"/>
      <c r="L403" s="33">
        <f t="shared" si="234"/>
        <v>107</v>
      </c>
      <c r="M403" s="33">
        <f t="shared" si="235"/>
        <v>64</v>
      </c>
      <c r="N403" s="28">
        <f t="shared" si="236"/>
        <v>0.68479999999999996</v>
      </c>
    </row>
    <row r="404" spans="2:14" s="52" customFormat="1" ht="14.25" customHeight="1" x14ac:dyDescent="0.2">
      <c r="B404" s="26">
        <v>384</v>
      </c>
      <c r="C404" s="27">
        <v>58</v>
      </c>
      <c r="D404" s="27">
        <v>30</v>
      </c>
      <c r="E404" s="28">
        <f t="shared" si="233"/>
        <v>12.083333333333334</v>
      </c>
      <c r="G404" s="26">
        <v>384</v>
      </c>
      <c r="H404" s="27">
        <f t="shared" si="231"/>
        <v>161</v>
      </c>
      <c r="I404" s="27">
        <f t="shared" si="232"/>
        <v>82</v>
      </c>
      <c r="J404" s="28">
        <f t="shared" ref="J404:J433" si="237">H404*I404/10000</f>
        <v>1.3202</v>
      </c>
      <c r="K404" s="32"/>
      <c r="L404" s="33">
        <f t="shared" si="234"/>
        <v>156</v>
      </c>
      <c r="M404" s="33">
        <f t="shared" si="235"/>
        <v>77</v>
      </c>
      <c r="N404" s="28">
        <f t="shared" si="236"/>
        <v>1.2012</v>
      </c>
    </row>
    <row r="405" spans="2:14" s="52" customFormat="1" ht="14.25" customHeight="1" x14ac:dyDescent="0.2">
      <c r="B405" s="26">
        <v>385</v>
      </c>
      <c r="C405" s="27">
        <v>51</v>
      </c>
      <c r="D405" s="27">
        <v>24</v>
      </c>
      <c r="E405" s="28">
        <f t="shared" si="233"/>
        <v>8.5</v>
      </c>
      <c r="G405" s="26">
        <v>385</v>
      </c>
      <c r="H405" s="27">
        <f t="shared" si="231"/>
        <v>143</v>
      </c>
      <c r="I405" s="27">
        <f t="shared" si="232"/>
        <v>67</v>
      </c>
      <c r="J405" s="28">
        <f t="shared" si="237"/>
        <v>0.95809999999999995</v>
      </c>
      <c r="K405" s="32"/>
      <c r="L405" s="33">
        <f t="shared" si="234"/>
        <v>138</v>
      </c>
      <c r="M405" s="33">
        <f t="shared" si="235"/>
        <v>62</v>
      </c>
      <c r="N405" s="28">
        <f t="shared" si="236"/>
        <v>0.85560000000000003</v>
      </c>
    </row>
    <row r="406" spans="2:14" s="52" customFormat="1" ht="14.25" customHeight="1" x14ac:dyDescent="0.2">
      <c r="B406" s="26">
        <v>386</v>
      </c>
      <c r="C406" s="27">
        <v>45</v>
      </c>
      <c r="D406" s="27">
        <v>24</v>
      </c>
      <c r="E406" s="28">
        <f t="shared" si="233"/>
        <v>7.5</v>
      </c>
      <c r="G406" s="26">
        <v>386</v>
      </c>
      <c r="H406" s="27">
        <f t="shared" ref="H406:H433" si="238">ROUNDUP((C406+5)*2.54,0)</f>
        <v>127</v>
      </c>
      <c r="I406" s="27">
        <f t="shared" ref="I406:I433" si="239">ROUNDUP((D406+2)*2.54,0)</f>
        <v>67</v>
      </c>
      <c r="J406" s="28">
        <f t="shared" si="237"/>
        <v>0.85089999999999999</v>
      </c>
      <c r="K406" s="32"/>
      <c r="L406" s="33">
        <f t="shared" si="234"/>
        <v>122</v>
      </c>
      <c r="M406" s="33">
        <f t="shared" si="235"/>
        <v>62</v>
      </c>
      <c r="N406" s="28">
        <f t="shared" si="236"/>
        <v>0.75639999999999996</v>
      </c>
    </row>
    <row r="407" spans="2:14" s="52" customFormat="1" ht="14.25" customHeight="1" x14ac:dyDescent="0.2">
      <c r="B407" s="26">
        <v>387</v>
      </c>
      <c r="C407" s="27">
        <v>53</v>
      </c>
      <c r="D407" s="27">
        <v>24</v>
      </c>
      <c r="E407" s="28">
        <f t="shared" si="233"/>
        <v>8.8333333333333339</v>
      </c>
      <c r="G407" s="26">
        <v>387</v>
      </c>
      <c r="H407" s="27">
        <f t="shared" si="238"/>
        <v>148</v>
      </c>
      <c r="I407" s="27">
        <f t="shared" si="239"/>
        <v>67</v>
      </c>
      <c r="J407" s="28">
        <f t="shared" si="237"/>
        <v>0.99160000000000004</v>
      </c>
      <c r="K407" s="32"/>
      <c r="L407" s="33">
        <f t="shared" si="234"/>
        <v>143</v>
      </c>
      <c r="M407" s="33">
        <f t="shared" si="235"/>
        <v>62</v>
      </c>
      <c r="N407" s="28">
        <f t="shared" si="236"/>
        <v>0.88660000000000005</v>
      </c>
    </row>
    <row r="408" spans="2:14" s="52" customFormat="1" ht="14.25" customHeight="1" x14ac:dyDescent="0.2">
      <c r="B408" s="26">
        <v>388</v>
      </c>
      <c r="C408" s="27">
        <v>36</v>
      </c>
      <c r="D408" s="27">
        <v>23</v>
      </c>
      <c r="E408" s="28">
        <f t="shared" si="233"/>
        <v>5.75</v>
      </c>
      <c r="G408" s="26">
        <v>388</v>
      </c>
      <c r="H408" s="27">
        <f t="shared" si="238"/>
        <v>105</v>
      </c>
      <c r="I408" s="27">
        <f t="shared" si="239"/>
        <v>64</v>
      </c>
      <c r="J408" s="28">
        <f t="shared" si="237"/>
        <v>0.67200000000000004</v>
      </c>
      <c r="K408" s="32"/>
      <c r="L408" s="33">
        <f t="shared" si="234"/>
        <v>100</v>
      </c>
      <c r="M408" s="33">
        <f t="shared" si="235"/>
        <v>59</v>
      </c>
      <c r="N408" s="28">
        <f t="shared" si="236"/>
        <v>0.59</v>
      </c>
    </row>
    <row r="409" spans="2:14" s="52" customFormat="1" ht="14.25" customHeight="1" x14ac:dyDescent="0.2">
      <c r="B409" s="26">
        <v>389</v>
      </c>
      <c r="C409" s="27">
        <v>55</v>
      </c>
      <c r="D409" s="27">
        <v>23</v>
      </c>
      <c r="E409" s="28">
        <f t="shared" si="233"/>
        <v>8.7847222222222214</v>
      </c>
      <c r="G409" s="26">
        <v>389</v>
      </c>
      <c r="H409" s="27">
        <f t="shared" si="238"/>
        <v>153</v>
      </c>
      <c r="I409" s="27">
        <f t="shared" si="239"/>
        <v>64</v>
      </c>
      <c r="J409" s="28">
        <f t="shared" si="237"/>
        <v>0.97919999999999996</v>
      </c>
      <c r="K409" s="32"/>
      <c r="L409" s="33">
        <f t="shared" si="234"/>
        <v>148</v>
      </c>
      <c r="M409" s="33">
        <f t="shared" si="235"/>
        <v>59</v>
      </c>
      <c r="N409" s="28">
        <f t="shared" si="236"/>
        <v>0.87319999999999998</v>
      </c>
    </row>
    <row r="410" spans="2:14" s="52" customFormat="1" ht="14.25" customHeight="1" x14ac:dyDescent="0.2">
      <c r="B410" s="26">
        <v>390</v>
      </c>
      <c r="C410" s="27">
        <v>66</v>
      </c>
      <c r="D410" s="27">
        <v>26</v>
      </c>
      <c r="E410" s="28">
        <f t="shared" si="233"/>
        <v>11.916666666666666</v>
      </c>
      <c r="G410" s="26">
        <v>390</v>
      </c>
      <c r="H410" s="27">
        <f t="shared" si="238"/>
        <v>181</v>
      </c>
      <c r="I410" s="27">
        <f t="shared" si="239"/>
        <v>72</v>
      </c>
      <c r="J410" s="28">
        <f t="shared" si="237"/>
        <v>1.3031999999999999</v>
      </c>
      <c r="K410" s="32"/>
      <c r="L410" s="33">
        <f t="shared" si="234"/>
        <v>176</v>
      </c>
      <c r="M410" s="33">
        <f t="shared" si="235"/>
        <v>67</v>
      </c>
      <c r="N410" s="28">
        <f t="shared" si="236"/>
        <v>1.1792</v>
      </c>
    </row>
    <row r="411" spans="2:14" s="52" customFormat="1" ht="14.25" customHeight="1" x14ac:dyDescent="0.2">
      <c r="B411" s="26">
        <v>391</v>
      </c>
      <c r="C411" s="27">
        <v>70</v>
      </c>
      <c r="D411" s="27">
        <v>26</v>
      </c>
      <c r="E411" s="28">
        <f t="shared" si="233"/>
        <v>12.638888888888889</v>
      </c>
      <c r="G411" s="26">
        <v>391</v>
      </c>
      <c r="H411" s="27">
        <f t="shared" si="238"/>
        <v>191</v>
      </c>
      <c r="I411" s="27">
        <f t="shared" si="239"/>
        <v>72</v>
      </c>
      <c r="J411" s="28">
        <f t="shared" si="237"/>
        <v>1.3752</v>
      </c>
      <c r="K411" s="32"/>
      <c r="L411" s="33">
        <f t="shared" si="234"/>
        <v>186</v>
      </c>
      <c r="M411" s="33">
        <f t="shared" si="235"/>
        <v>67</v>
      </c>
      <c r="N411" s="28">
        <f t="shared" si="236"/>
        <v>1.2462</v>
      </c>
    </row>
    <row r="412" spans="2:14" s="52" customFormat="1" ht="14.25" customHeight="1" x14ac:dyDescent="0.2">
      <c r="B412" s="26">
        <v>392</v>
      </c>
      <c r="C412" s="27">
        <v>33</v>
      </c>
      <c r="D412" s="27">
        <v>22</v>
      </c>
      <c r="E412" s="28">
        <f t="shared" si="233"/>
        <v>5.041666666666667</v>
      </c>
      <c r="G412" s="26">
        <v>392</v>
      </c>
      <c r="H412" s="27">
        <f t="shared" si="238"/>
        <v>97</v>
      </c>
      <c r="I412" s="27">
        <f t="shared" si="239"/>
        <v>61</v>
      </c>
      <c r="J412" s="28">
        <f t="shared" si="237"/>
        <v>0.5917</v>
      </c>
      <c r="K412" s="32"/>
      <c r="L412" s="33">
        <f t="shared" si="234"/>
        <v>92</v>
      </c>
      <c r="M412" s="33">
        <f t="shared" si="235"/>
        <v>56</v>
      </c>
      <c r="N412" s="28">
        <f t="shared" si="236"/>
        <v>0.51519999999999999</v>
      </c>
    </row>
    <row r="413" spans="2:14" s="52" customFormat="1" ht="14.25" customHeight="1" x14ac:dyDescent="0.2">
      <c r="B413" s="26">
        <v>393</v>
      </c>
      <c r="C413" s="27">
        <v>50</v>
      </c>
      <c r="D413" s="27">
        <v>25</v>
      </c>
      <c r="E413" s="28">
        <f t="shared" si="233"/>
        <v>8.6805555555555554</v>
      </c>
      <c r="G413" s="26">
        <v>393</v>
      </c>
      <c r="H413" s="27">
        <f t="shared" si="238"/>
        <v>140</v>
      </c>
      <c r="I413" s="27">
        <f t="shared" si="239"/>
        <v>69</v>
      </c>
      <c r="J413" s="28">
        <f t="shared" si="237"/>
        <v>0.96599999999999997</v>
      </c>
      <c r="K413" s="32"/>
      <c r="L413" s="33">
        <f t="shared" si="234"/>
        <v>135</v>
      </c>
      <c r="M413" s="33">
        <f t="shared" si="235"/>
        <v>64</v>
      </c>
      <c r="N413" s="28">
        <f t="shared" si="236"/>
        <v>0.86399999999999999</v>
      </c>
    </row>
    <row r="414" spans="2:14" s="52" customFormat="1" ht="14.25" customHeight="1" x14ac:dyDescent="0.2">
      <c r="B414" s="26">
        <v>394</v>
      </c>
      <c r="C414" s="27">
        <v>46</v>
      </c>
      <c r="D414" s="27">
        <v>24</v>
      </c>
      <c r="E414" s="28">
        <f t="shared" si="233"/>
        <v>7.666666666666667</v>
      </c>
      <c r="G414" s="26">
        <v>394</v>
      </c>
      <c r="H414" s="27">
        <f t="shared" si="238"/>
        <v>130</v>
      </c>
      <c r="I414" s="27">
        <f t="shared" si="239"/>
        <v>67</v>
      </c>
      <c r="J414" s="28">
        <f t="shared" si="237"/>
        <v>0.871</v>
      </c>
      <c r="K414" s="32"/>
      <c r="L414" s="33">
        <f t="shared" si="234"/>
        <v>125</v>
      </c>
      <c r="M414" s="33">
        <f t="shared" si="235"/>
        <v>62</v>
      </c>
      <c r="N414" s="28">
        <f t="shared" si="236"/>
        <v>0.77500000000000002</v>
      </c>
    </row>
    <row r="415" spans="2:14" s="52" customFormat="1" ht="14.25" customHeight="1" x14ac:dyDescent="0.2">
      <c r="B415" s="26">
        <v>395</v>
      </c>
      <c r="C415" s="27">
        <v>55</v>
      </c>
      <c r="D415" s="27">
        <v>24</v>
      </c>
      <c r="E415" s="28">
        <f t="shared" si="233"/>
        <v>9.1666666666666661</v>
      </c>
      <c r="G415" s="26">
        <v>395</v>
      </c>
      <c r="H415" s="27">
        <f t="shared" si="238"/>
        <v>153</v>
      </c>
      <c r="I415" s="27">
        <f t="shared" si="239"/>
        <v>67</v>
      </c>
      <c r="J415" s="28">
        <f t="shared" si="237"/>
        <v>1.0250999999999999</v>
      </c>
      <c r="K415" s="32"/>
      <c r="L415" s="33">
        <f t="shared" si="234"/>
        <v>148</v>
      </c>
      <c r="M415" s="33">
        <f t="shared" si="235"/>
        <v>62</v>
      </c>
      <c r="N415" s="28">
        <f t="shared" si="236"/>
        <v>0.91759999999999997</v>
      </c>
    </row>
    <row r="416" spans="2:14" s="52" customFormat="1" ht="14.25" customHeight="1" x14ac:dyDescent="0.2">
      <c r="B416" s="26">
        <v>396</v>
      </c>
      <c r="C416" s="27">
        <v>60</v>
      </c>
      <c r="D416" s="27">
        <v>24</v>
      </c>
      <c r="E416" s="28">
        <f t="shared" si="233"/>
        <v>10</v>
      </c>
      <c r="G416" s="26">
        <v>396</v>
      </c>
      <c r="H416" s="27">
        <f t="shared" si="238"/>
        <v>166</v>
      </c>
      <c r="I416" s="27">
        <f t="shared" si="239"/>
        <v>67</v>
      </c>
      <c r="J416" s="28">
        <f t="shared" si="237"/>
        <v>1.1122000000000001</v>
      </c>
      <c r="K416" s="32"/>
      <c r="L416" s="33">
        <f t="shared" si="234"/>
        <v>161</v>
      </c>
      <c r="M416" s="33">
        <f t="shared" si="235"/>
        <v>62</v>
      </c>
      <c r="N416" s="28">
        <f t="shared" si="236"/>
        <v>0.99819999999999998</v>
      </c>
    </row>
    <row r="417" spans="2:15" s="52" customFormat="1" ht="14.25" customHeight="1" x14ac:dyDescent="0.2">
      <c r="B417" s="26">
        <v>397</v>
      </c>
      <c r="C417" s="27">
        <v>46</v>
      </c>
      <c r="D417" s="27">
        <v>24</v>
      </c>
      <c r="E417" s="28">
        <f t="shared" si="233"/>
        <v>7.666666666666667</v>
      </c>
      <c r="G417" s="26">
        <v>397</v>
      </c>
      <c r="H417" s="27">
        <f t="shared" si="238"/>
        <v>130</v>
      </c>
      <c r="I417" s="27">
        <f t="shared" si="239"/>
        <v>67</v>
      </c>
      <c r="J417" s="28">
        <f t="shared" si="237"/>
        <v>0.871</v>
      </c>
      <c r="K417" s="32"/>
      <c r="L417" s="33">
        <f t="shared" si="234"/>
        <v>125</v>
      </c>
      <c r="M417" s="33">
        <f t="shared" si="235"/>
        <v>62</v>
      </c>
      <c r="N417" s="28">
        <f t="shared" si="236"/>
        <v>0.77500000000000002</v>
      </c>
      <c r="O417" s="52" t="s">
        <v>24</v>
      </c>
    </row>
    <row r="418" spans="2:15" s="52" customFormat="1" ht="14.25" customHeight="1" x14ac:dyDescent="0.2">
      <c r="B418" s="26">
        <v>398</v>
      </c>
      <c r="C418" s="27">
        <v>46</v>
      </c>
      <c r="D418" s="27">
        <v>24</v>
      </c>
      <c r="E418" s="28">
        <f t="shared" si="233"/>
        <v>7.666666666666667</v>
      </c>
      <c r="G418" s="26">
        <v>398</v>
      </c>
      <c r="H418" s="27">
        <f t="shared" si="238"/>
        <v>130</v>
      </c>
      <c r="I418" s="27">
        <f t="shared" si="239"/>
        <v>67</v>
      </c>
      <c r="J418" s="28">
        <f t="shared" si="237"/>
        <v>0.871</v>
      </c>
      <c r="K418" s="32"/>
      <c r="L418" s="33">
        <f t="shared" si="234"/>
        <v>125</v>
      </c>
      <c r="M418" s="33">
        <f t="shared" si="235"/>
        <v>62</v>
      </c>
      <c r="N418" s="28">
        <f t="shared" si="236"/>
        <v>0.77500000000000002</v>
      </c>
      <c r="O418" s="52" t="s">
        <v>24</v>
      </c>
    </row>
    <row r="419" spans="2:15" s="52" customFormat="1" ht="14.25" customHeight="1" x14ac:dyDescent="0.2">
      <c r="B419" s="26">
        <v>399</v>
      </c>
      <c r="C419" s="27">
        <v>62</v>
      </c>
      <c r="D419" s="27">
        <v>24</v>
      </c>
      <c r="E419" s="28">
        <f t="shared" si="233"/>
        <v>10.333333333333334</v>
      </c>
      <c r="G419" s="26">
        <v>399</v>
      </c>
      <c r="H419" s="27">
        <f t="shared" si="238"/>
        <v>171</v>
      </c>
      <c r="I419" s="27">
        <f t="shared" si="239"/>
        <v>67</v>
      </c>
      <c r="J419" s="28">
        <f t="shared" si="237"/>
        <v>1.1456999999999999</v>
      </c>
      <c r="K419" s="32"/>
      <c r="L419" s="33">
        <f t="shared" si="234"/>
        <v>166</v>
      </c>
      <c r="M419" s="33">
        <f t="shared" si="235"/>
        <v>62</v>
      </c>
      <c r="N419" s="28">
        <f t="shared" si="236"/>
        <v>1.0291999999999999</v>
      </c>
    </row>
    <row r="420" spans="2:15" s="52" customFormat="1" ht="14.25" customHeight="1" x14ac:dyDescent="0.2">
      <c r="B420" s="26">
        <v>400</v>
      </c>
      <c r="C420" s="27">
        <v>49</v>
      </c>
      <c r="D420" s="27">
        <v>24</v>
      </c>
      <c r="E420" s="28">
        <f t="shared" si="233"/>
        <v>8.1666666666666661</v>
      </c>
      <c r="G420" s="26">
        <v>400</v>
      </c>
      <c r="H420" s="27">
        <f t="shared" si="238"/>
        <v>138</v>
      </c>
      <c r="I420" s="27">
        <f t="shared" si="239"/>
        <v>67</v>
      </c>
      <c r="J420" s="28">
        <f t="shared" si="237"/>
        <v>0.92459999999999998</v>
      </c>
      <c r="K420" s="32"/>
      <c r="L420" s="33">
        <f t="shared" si="234"/>
        <v>133</v>
      </c>
      <c r="M420" s="33">
        <f t="shared" si="235"/>
        <v>62</v>
      </c>
      <c r="N420" s="28">
        <f t="shared" si="236"/>
        <v>0.8246</v>
      </c>
      <c r="O420" s="52" t="s">
        <v>24</v>
      </c>
    </row>
    <row r="421" spans="2:15" s="52" customFormat="1" ht="14.25" customHeight="1" x14ac:dyDescent="0.2">
      <c r="B421" s="26">
        <v>401</v>
      </c>
      <c r="C421" s="27">
        <v>64</v>
      </c>
      <c r="D421" s="27">
        <v>24</v>
      </c>
      <c r="E421" s="28">
        <f t="shared" si="233"/>
        <v>10.666666666666666</v>
      </c>
      <c r="G421" s="26">
        <v>401</v>
      </c>
      <c r="H421" s="27">
        <f t="shared" si="238"/>
        <v>176</v>
      </c>
      <c r="I421" s="27">
        <f t="shared" si="239"/>
        <v>67</v>
      </c>
      <c r="J421" s="28">
        <f t="shared" si="237"/>
        <v>1.1792</v>
      </c>
      <c r="K421" s="32"/>
      <c r="L421" s="33">
        <f t="shared" si="234"/>
        <v>171</v>
      </c>
      <c r="M421" s="33">
        <f t="shared" si="235"/>
        <v>62</v>
      </c>
      <c r="N421" s="28">
        <f t="shared" si="236"/>
        <v>1.0602</v>
      </c>
    </row>
    <row r="422" spans="2:15" s="52" customFormat="1" ht="14.25" customHeight="1" x14ac:dyDescent="0.2">
      <c r="B422" s="26">
        <v>402</v>
      </c>
      <c r="C422" s="27">
        <v>41</v>
      </c>
      <c r="D422" s="27">
        <v>24</v>
      </c>
      <c r="E422" s="28">
        <f t="shared" si="233"/>
        <v>6.833333333333333</v>
      </c>
      <c r="G422" s="26">
        <v>402</v>
      </c>
      <c r="H422" s="27">
        <f t="shared" si="238"/>
        <v>117</v>
      </c>
      <c r="I422" s="27">
        <f t="shared" si="239"/>
        <v>67</v>
      </c>
      <c r="J422" s="28">
        <f t="shared" si="237"/>
        <v>0.78390000000000004</v>
      </c>
      <c r="K422" s="32"/>
      <c r="L422" s="33">
        <f t="shared" si="234"/>
        <v>112</v>
      </c>
      <c r="M422" s="33">
        <f t="shared" si="235"/>
        <v>62</v>
      </c>
      <c r="N422" s="28">
        <f t="shared" si="236"/>
        <v>0.69440000000000002</v>
      </c>
    </row>
    <row r="423" spans="2:15" s="52" customFormat="1" ht="14.25" customHeight="1" x14ac:dyDescent="0.2">
      <c r="B423" s="26">
        <v>403</v>
      </c>
      <c r="C423" s="27">
        <v>64</v>
      </c>
      <c r="D423" s="27">
        <v>24</v>
      </c>
      <c r="E423" s="28">
        <f t="shared" si="233"/>
        <v>10.666666666666666</v>
      </c>
      <c r="G423" s="26">
        <v>403</v>
      </c>
      <c r="H423" s="27">
        <f t="shared" si="238"/>
        <v>176</v>
      </c>
      <c r="I423" s="27">
        <f t="shared" si="239"/>
        <v>67</v>
      </c>
      <c r="J423" s="28">
        <f t="shared" si="237"/>
        <v>1.1792</v>
      </c>
      <c r="K423" s="32"/>
      <c r="L423" s="33">
        <f t="shared" si="234"/>
        <v>171</v>
      </c>
      <c r="M423" s="33">
        <f t="shared" si="235"/>
        <v>62</v>
      </c>
      <c r="N423" s="28">
        <f t="shared" si="236"/>
        <v>1.0602</v>
      </c>
    </row>
    <row r="424" spans="2:15" s="52" customFormat="1" ht="14.25" customHeight="1" x14ac:dyDescent="0.2">
      <c r="B424" s="26">
        <v>404</v>
      </c>
      <c r="C424" s="27">
        <v>45</v>
      </c>
      <c r="D424" s="27">
        <v>24</v>
      </c>
      <c r="E424" s="28">
        <f t="shared" si="233"/>
        <v>7.5</v>
      </c>
      <c r="G424" s="26">
        <v>404</v>
      </c>
      <c r="H424" s="27">
        <f t="shared" si="238"/>
        <v>127</v>
      </c>
      <c r="I424" s="27">
        <f t="shared" si="239"/>
        <v>67</v>
      </c>
      <c r="J424" s="28">
        <f t="shared" si="237"/>
        <v>0.85089999999999999</v>
      </c>
      <c r="K424" s="32"/>
      <c r="L424" s="33">
        <f t="shared" si="234"/>
        <v>122</v>
      </c>
      <c r="M424" s="33">
        <f t="shared" si="235"/>
        <v>62</v>
      </c>
      <c r="N424" s="28">
        <f t="shared" si="236"/>
        <v>0.75639999999999996</v>
      </c>
    </row>
    <row r="425" spans="2:15" s="52" customFormat="1" ht="14.25" customHeight="1" x14ac:dyDescent="0.2">
      <c r="B425" s="26">
        <v>405</v>
      </c>
      <c r="C425" s="27">
        <v>64</v>
      </c>
      <c r="D425" s="27">
        <v>24</v>
      </c>
      <c r="E425" s="28">
        <f t="shared" si="233"/>
        <v>10.666666666666666</v>
      </c>
      <c r="G425" s="26">
        <v>405</v>
      </c>
      <c r="H425" s="27">
        <f t="shared" si="238"/>
        <v>176</v>
      </c>
      <c r="I425" s="27">
        <f t="shared" si="239"/>
        <v>67</v>
      </c>
      <c r="J425" s="28">
        <f t="shared" si="237"/>
        <v>1.1792</v>
      </c>
      <c r="K425" s="32"/>
      <c r="L425" s="33">
        <f t="shared" si="234"/>
        <v>171</v>
      </c>
      <c r="M425" s="33">
        <f t="shared" si="235"/>
        <v>62</v>
      </c>
      <c r="N425" s="28">
        <f t="shared" si="236"/>
        <v>1.0602</v>
      </c>
    </row>
    <row r="426" spans="2:15" s="52" customFormat="1" ht="14.25" customHeight="1" x14ac:dyDescent="0.2">
      <c r="B426" s="26">
        <v>406</v>
      </c>
      <c r="C426" s="27">
        <v>36</v>
      </c>
      <c r="D426" s="27">
        <v>24</v>
      </c>
      <c r="E426" s="28">
        <f t="shared" si="233"/>
        <v>6</v>
      </c>
      <c r="G426" s="26">
        <v>406</v>
      </c>
      <c r="H426" s="27">
        <f t="shared" si="238"/>
        <v>105</v>
      </c>
      <c r="I426" s="27">
        <f t="shared" si="239"/>
        <v>67</v>
      </c>
      <c r="J426" s="28">
        <f t="shared" si="237"/>
        <v>0.70350000000000001</v>
      </c>
      <c r="K426" s="32"/>
      <c r="L426" s="33">
        <f t="shared" si="234"/>
        <v>100</v>
      </c>
      <c r="M426" s="33">
        <f t="shared" si="235"/>
        <v>62</v>
      </c>
      <c r="N426" s="28">
        <f t="shared" si="236"/>
        <v>0.62</v>
      </c>
    </row>
    <row r="427" spans="2:15" s="52" customFormat="1" ht="14.25" customHeight="1" x14ac:dyDescent="0.2">
      <c r="B427" s="26">
        <v>407</v>
      </c>
      <c r="C427" s="27">
        <v>71</v>
      </c>
      <c r="D427" s="27">
        <v>22</v>
      </c>
      <c r="E427" s="28">
        <f t="shared" si="233"/>
        <v>10.847222222222221</v>
      </c>
      <c r="G427" s="26">
        <v>407</v>
      </c>
      <c r="H427" s="27">
        <f t="shared" si="238"/>
        <v>194</v>
      </c>
      <c r="I427" s="27">
        <f t="shared" si="239"/>
        <v>61</v>
      </c>
      <c r="J427" s="28">
        <f t="shared" si="237"/>
        <v>1.1834</v>
      </c>
      <c r="K427" s="32"/>
      <c r="L427" s="33">
        <f t="shared" si="234"/>
        <v>189</v>
      </c>
      <c r="M427" s="33">
        <f t="shared" si="235"/>
        <v>56</v>
      </c>
      <c r="N427" s="28">
        <f t="shared" si="236"/>
        <v>1.0584</v>
      </c>
    </row>
    <row r="428" spans="2:15" s="52" customFormat="1" ht="14.25" customHeight="1" x14ac:dyDescent="0.2">
      <c r="B428" s="26">
        <v>408</v>
      </c>
      <c r="C428" s="27">
        <v>37</v>
      </c>
      <c r="D428" s="27">
        <v>24</v>
      </c>
      <c r="E428" s="28">
        <f t="shared" si="233"/>
        <v>6.166666666666667</v>
      </c>
      <c r="G428" s="26">
        <v>408</v>
      </c>
      <c r="H428" s="27">
        <f t="shared" si="238"/>
        <v>107</v>
      </c>
      <c r="I428" s="27">
        <f t="shared" si="239"/>
        <v>67</v>
      </c>
      <c r="J428" s="28">
        <f t="shared" si="237"/>
        <v>0.71689999999999998</v>
      </c>
      <c r="K428" s="32"/>
      <c r="L428" s="33">
        <f t="shared" si="234"/>
        <v>102</v>
      </c>
      <c r="M428" s="33">
        <f t="shared" si="235"/>
        <v>62</v>
      </c>
      <c r="N428" s="28">
        <f t="shared" si="236"/>
        <v>0.63239999999999996</v>
      </c>
    </row>
    <row r="429" spans="2:15" s="52" customFormat="1" ht="14.25" customHeight="1" x14ac:dyDescent="0.2">
      <c r="B429" s="26">
        <v>409</v>
      </c>
      <c r="C429" s="27">
        <v>68</v>
      </c>
      <c r="D429" s="27">
        <v>24</v>
      </c>
      <c r="E429" s="28">
        <f t="shared" si="233"/>
        <v>11.333333333333334</v>
      </c>
      <c r="G429" s="26">
        <v>409</v>
      </c>
      <c r="H429" s="27">
        <f t="shared" si="238"/>
        <v>186</v>
      </c>
      <c r="I429" s="27">
        <f t="shared" si="239"/>
        <v>67</v>
      </c>
      <c r="J429" s="28">
        <f t="shared" si="237"/>
        <v>1.2462</v>
      </c>
      <c r="K429" s="32"/>
      <c r="L429" s="33">
        <f t="shared" si="234"/>
        <v>181</v>
      </c>
      <c r="M429" s="33">
        <f t="shared" si="235"/>
        <v>62</v>
      </c>
      <c r="N429" s="28">
        <f t="shared" si="236"/>
        <v>1.1222000000000001</v>
      </c>
    </row>
    <row r="430" spans="2:15" s="52" customFormat="1" ht="14.25" customHeight="1" x14ac:dyDescent="0.2">
      <c r="B430" s="26">
        <v>410</v>
      </c>
      <c r="C430" s="27">
        <v>33</v>
      </c>
      <c r="D430" s="27">
        <v>24</v>
      </c>
      <c r="E430" s="28">
        <f t="shared" ref="E430:E433" si="240">C430*D430/144</f>
        <v>5.5</v>
      </c>
      <c r="G430" s="26">
        <v>410</v>
      </c>
      <c r="H430" s="27">
        <f t="shared" si="238"/>
        <v>97</v>
      </c>
      <c r="I430" s="27">
        <f t="shared" si="239"/>
        <v>67</v>
      </c>
      <c r="J430" s="28">
        <f t="shared" si="237"/>
        <v>0.64990000000000003</v>
      </c>
      <c r="K430" s="32"/>
      <c r="L430" s="33">
        <f t="shared" ref="L430:L433" si="241">H430-5</f>
        <v>92</v>
      </c>
      <c r="M430" s="33">
        <f t="shared" ref="M430:M433" si="242">I430-5</f>
        <v>62</v>
      </c>
      <c r="N430" s="28">
        <f t="shared" si="236"/>
        <v>0.57040000000000002</v>
      </c>
    </row>
    <row r="431" spans="2:15" s="52" customFormat="1" ht="14.25" customHeight="1" x14ac:dyDescent="0.2">
      <c r="B431" s="26">
        <v>411</v>
      </c>
      <c r="C431" s="27">
        <v>71</v>
      </c>
      <c r="D431" s="27">
        <v>24</v>
      </c>
      <c r="E431" s="28">
        <f t="shared" si="240"/>
        <v>11.833333333333334</v>
      </c>
      <c r="G431" s="26">
        <v>411</v>
      </c>
      <c r="H431" s="27">
        <f t="shared" si="238"/>
        <v>194</v>
      </c>
      <c r="I431" s="27">
        <f t="shared" si="239"/>
        <v>67</v>
      </c>
      <c r="J431" s="28">
        <f t="shared" si="237"/>
        <v>1.2998000000000001</v>
      </c>
      <c r="K431" s="32"/>
      <c r="L431" s="33">
        <f t="shared" si="241"/>
        <v>189</v>
      </c>
      <c r="M431" s="33">
        <f t="shared" si="242"/>
        <v>62</v>
      </c>
      <c r="N431" s="28">
        <f t="shared" si="236"/>
        <v>1.1718</v>
      </c>
    </row>
    <row r="432" spans="2:15" s="52" customFormat="1" ht="14.25" customHeight="1" x14ac:dyDescent="0.2">
      <c r="B432" s="26">
        <v>412</v>
      </c>
      <c r="C432" s="27">
        <v>36</v>
      </c>
      <c r="D432" s="27">
        <v>23</v>
      </c>
      <c r="E432" s="28">
        <f t="shared" si="240"/>
        <v>5.75</v>
      </c>
      <c r="G432" s="26">
        <v>412</v>
      </c>
      <c r="H432" s="27">
        <f t="shared" si="238"/>
        <v>105</v>
      </c>
      <c r="I432" s="27">
        <f t="shared" si="239"/>
        <v>64</v>
      </c>
      <c r="J432" s="28">
        <f t="shared" si="237"/>
        <v>0.67200000000000004</v>
      </c>
      <c r="K432" s="32"/>
      <c r="L432" s="33">
        <f t="shared" si="241"/>
        <v>100</v>
      </c>
      <c r="M432" s="33">
        <f t="shared" si="242"/>
        <v>59</v>
      </c>
      <c r="N432" s="28">
        <f t="shared" si="236"/>
        <v>0.59</v>
      </c>
    </row>
    <row r="433" spans="2:14" s="52" customFormat="1" ht="14.25" customHeight="1" x14ac:dyDescent="0.2">
      <c r="B433" s="26">
        <v>413</v>
      </c>
      <c r="C433" s="27">
        <v>70</v>
      </c>
      <c r="D433" s="27">
        <v>23</v>
      </c>
      <c r="E433" s="28">
        <f t="shared" si="240"/>
        <v>11.180555555555555</v>
      </c>
      <c r="G433" s="26">
        <v>413</v>
      </c>
      <c r="H433" s="27">
        <f t="shared" si="238"/>
        <v>191</v>
      </c>
      <c r="I433" s="27">
        <f t="shared" si="239"/>
        <v>64</v>
      </c>
      <c r="J433" s="28">
        <f t="shared" si="237"/>
        <v>1.2223999999999999</v>
      </c>
      <c r="K433" s="32"/>
      <c r="L433" s="33">
        <f t="shared" si="241"/>
        <v>186</v>
      </c>
      <c r="M433" s="33">
        <f t="shared" si="242"/>
        <v>59</v>
      </c>
      <c r="N433" s="28">
        <f t="shared" si="236"/>
        <v>1.0973999999999999</v>
      </c>
    </row>
    <row r="434" spans="2:14" ht="14.25" customHeight="1" x14ac:dyDescent="0.2">
      <c r="B434" s="78" t="s">
        <v>18</v>
      </c>
      <c r="C434" s="78"/>
      <c r="D434" s="78"/>
      <c r="E434" s="45">
        <f>SUM(E21:E433)</f>
        <v>3774.8333333333321</v>
      </c>
      <c r="G434" s="78" t="s">
        <v>18</v>
      </c>
      <c r="H434" s="78"/>
      <c r="I434" s="78"/>
      <c r="J434" s="45">
        <f>SUM(J21:J433)</f>
        <v>419.87090000000012</v>
      </c>
      <c r="L434" s="82" t="s">
        <v>19</v>
      </c>
      <c r="M434" s="82"/>
      <c r="N434" s="45">
        <f>SUM(N21:N433)</f>
        <v>377.10189999999977</v>
      </c>
    </row>
    <row r="435" spans="2:14" s="39" customFormat="1" ht="14.25" customHeight="1" x14ac:dyDescent="0.2">
      <c r="C435" s="49"/>
      <c r="D435" s="49"/>
      <c r="E435" s="51">
        <f>SUM(E434)</f>
        <v>3774.8333333333321</v>
      </c>
      <c r="F435" s="49"/>
      <c r="G435" s="44"/>
      <c r="H435" s="40"/>
      <c r="I435" s="40"/>
      <c r="J435" s="41"/>
      <c r="L435" s="42"/>
      <c r="M435" s="43"/>
      <c r="N435" s="41"/>
    </row>
    <row r="436" spans="2:14" ht="20.25" customHeight="1" x14ac:dyDescent="0.2">
      <c r="G436" s="5"/>
      <c r="H436" s="3"/>
      <c r="I436" s="34"/>
      <c r="J436" s="55" t="s">
        <v>14</v>
      </c>
      <c r="K436" s="56"/>
      <c r="L436" s="57"/>
      <c r="M436" s="10"/>
      <c r="N436" s="10"/>
    </row>
    <row r="437" spans="2:14" ht="14.25" customHeight="1" x14ac:dyDescent="0.2">
      <c r="G437" s="5"/>
      <c r="H437" s="3"/>
      <c r="I437" s="34"/>
      <c r="J437" s="58"/>
      <c r="K437" s="59"/>
      <c r="L437" s="60"/>
      <c r="M437" s="10"/>
      <c r="N437" s="10"/>
    </row>
    <row r="438" spans="2:14" ht="18.75" customHeight="1" x14ac:dyDescent="0.2">
      <c r="G438" s="5"/>
      <c r="H438" s="3"/>
      <c r="I438" s="34"/>
      <c r="J438" s="68" t="s">
        <v>20</v>
      </c>
      <c r="K438" s="69"/>
      <c r="L438" s="11"/>
      <c r="M438" s="34"/>
      <c r="N438" s="10"/>
    </row>
    <row r="439" spans="2:14" ht="20.25" customHeight="1" x14ac:dyDescent="0.2">
      <c r="G439" s="5"/>
      <c r="H439" s="5"/>
      <c r="I439" s="3"/>
      <c r="J439" s="70" t="s">
        <v>15</v>
      </c>
      <c r="K439" s="54"/>
      <c r="L439" s="12">
        <v>413</v>
      </c>
      <c r="M439" s="34"/>
      <c r="N439" s="35"/>
    </row>
    <row r="440" spans="2:14" ht="16.5" customHeight="1" x14ac:dyDescent="0.2">
      <c r="G440" s="5"/>
      <c r="H440" s="5"/>
      <c r="I440" s="3"/>
      <c r="J440" s="53" t="s">
        <v>16</v>
      </c>
      <c r="K440" s="54"/>
      <c r="L440" s="36">
        <f>J434</f>
        <v>419.87090000000012</v>
      </c>
      <c r="M440" s="3"/>
      <c r="N440" s="6"/>
    </row>
    <row r="441" spans="2:14" ht="16.5" customHeight="1" x14ac:dyDescent="0.2">
      <c r="G441" s="5"/>
      <c r="H441" s="5"/>
      <c r="I441" s="3"/>
      <c r="J441" s="53" t="s">
        <v>17</v>
      </c>
      <c r="K441" s="54"/>
      <c r="L441" s="36">
        <f>N434</f>
        <v>377.10189999999977</v>
      </c>
      <c r="M441" s="3"/>
      <c r="N441" s="6"/>
    </row>
    <row r="442" spans="2:14" ht="14.25" customHeight="1" x14ac:dyDescent="0.2">
      <c r="G442" s="37"/>
      <c r="J442" s="38"/>
    </row>
    <row r="443" spans="2:14" ht="14.25" customHeight="1" x14ac:dyDescent="0.2">
      <c r="G443" s="37"/>
    </row>
    <row r="444" spans="2:14" ht="14.25" customHeight="1" x14ac:dyDescent="0.2">
      <c r="G444" s="37"/>
    </row>
    <row r="445" spans="2:14" ht="14.25" customHeight="1" x14ac:dyDescent="0.2">
      <c r="G445" s="37"/>
    </row>
    <row r="446" spans="2:14" ht="14.25" customHeight="1" x14ac:dyDescent="0.2">
      <c r="G446" s="37"/>
    </row>
    <row r="447" spans="2:14" ht="14.25" customHeight="1" x14ac:dyDescent="0.2">
      <c r="G447" s="37"/>
    </row>
    <row r="448" spans="2:14" ht="14.25" customHeight="1" x14ac:dyDescent="0.2">
      <c r="G448" s="37"/>
    </row>
    <row r="449" spans="7:7" ht="14.25" customHeight="1" x14ac:dyDescent="0.2">
      <c r="G449" s="37"/>
    </row>
    <row r="450" spans="7:7" ht="14.25" customHeight="1" x14ac:dyDescent="0.2">
      <c r="G450" s="37"/>
    </row>
    <row r="451" spans="7:7" ht="14.25" customHeight="1" x14ac:dyDescent="0.2">
      <c r="G451" s="37"/>
    </row>
    <row r="452" spans="7:7" ht="14.25" customHeight="1" x14ac:dyDescent="0.2">
      <c r="G452" s="37"/>
    </row>
    <row r="453" spans="7:7" ht="14.25" customHeight="1" x14ac:dyDescent="0.2">
      <c r="G453" s="37"/>
    </row>
    <row r="454" spans="7:7" ht="14.25" customHeight="1" x14ac:dyDescent="0.2">
      <c r="G454" s="37"/>
    </row>
    <row r="455" spans="7:7" ht="14.25" customHeight="1" x14ac:dyDescent="0.2">
      <c r="G455" s="37"/>
    </row>
    <row r="456" spans="7:7" ht="14.25" customHeight="1" x14ac:dyDescent="0.2">
      <c r="G456" s="37"/>
    </row>
    <row r="457" spans="7:7" ht="14.25" customHeight="1" x14ac:dyDescent="0.2">
      <c r="G457" s="37"/>
    </row>
    <row r="458" spans="7:7" ht="14.25" customHeight="1" x14ac:dyDescent="0.2">
      <c r="G458" s="37"/>
    </row>
    <row r="459" spans="7:7" ht="14.25" customHeight="1" x14ac:dyDescent="0.2">
      <c r="G459" s="37"/>
    </row>
    <row r="460" spans="7:7" ht="14.25" customHeight="1" x14ac:dyDescent="0.2">
      <c r="G460" s="37"/>
    </row>
    <row r="461" spans="7:7" ht="14.25" customHeight="1" x14ac:dyDescent="0.2">
      <c r="G461" s="37"/>
    </row>
    <row r="462" spans="7:7" ht="14.25" customHeight="1" x14ac:dyDescent="0.2">
      <c r="G462" s="37"/>
    </row>
    <row r="463" spans="7:7" ht="14.25" customHeight="1" x14ac:dyDescent="0.2">
      <c r="G463" s="37"/>
    </row>
    <row r="464" spans="7:7" ht="14.25" customHeight="1" x14ac:dyDescent="0.2">
      <c r="G464" s="37"/>
    </row>
    <row r="465" spans="7:7" ht="14.25" customHeight="1" x14ac:dyDescent="0.2">
      <c r="G465" s="37"/>
    </row>
    <row r="466" spans="7:7" ht="14.25" customHeight="1" x14ac:dyDescent="0.2">
      <c r="G466" s="37"/>
    </row>
    <row r="467" spans="7:7" ht="14.25" customHeight="1" x14ac:dyDescent="0.2">
      <c r="G467" s="37"/>
    </row>
    <row r="468" spans="7:7" ht="14.25" customHeight="1" x14ac:dyDescent="0.2">
      <c r="G468" s="37"/>
    </row>
    <row r="469" spans="7:7" ht="14.25" customHeight="1" x14ac:dyDescent="0.2">
      <c r="G469" s="37"/>
    </row>
    <row r="470" spans="7:7" ht="14.25" customHeight="1" x14ac:dyDescent="0.2">
      <c r="G470" s="37"/>
    </row>
    <row r="471" spans="7:7" ht="14.25" customHeight="1" x14ac:dyDescent="0.2">
      <c r="G471" s="37"/>
    </row>
    <row r="472" spans="7:7" ht="14.25" customHeight="1" x14ac:dyDescent="0.2">
      <c r="G472" s="37"/>
    </row>
    <row r="473" spans="7:7" ht="14.25" customHeight="1" x14ac:dyDescent="0.2">
      <c r="G473" s="37"/>
    </row>
    <row r="474" spans="7:7" ht="14.25" customHeight="1" x14ac:dyDescent="0.2">
      <c r="G474" s="37"/>
    </row>
    <row r="475" spans="7:7" ht="14.25" customHeight="1" x14ac:dyDescent="0.2">
      <c r="G475" s="37"/>
    </row>
    <row r="476" spans="7:7" ht="14.25" customHeight="1" x14ac:dyDescent="0.2">
      <c r="G476" s="37"/>
    </row>
    <row r="477" spans="7:7" ht="14.25" customHeight="1" x14ac:dyDescent="0.2">
      <c r="G477" s="37"/>
    </row>
    <row r="478" spans="7:7" ht="14.25" customHeight="1" x14ac:dyDescent="0.2">
      <c r="G478" s="37"/>
    </row>
    <row r="479" spans="7:7" ht="14.25" customHeight="1" x14ac:dyDescent="0.2">
      <c r="G479" s="37"/>
    </row>
    <row r="480" spans="7:7" ht="14.25" customHeight="1" x14ac:dyDescent="0.2">
      <c r="G480" s="37"/>
    </row>
    <row r="481" spans="7:7" ht="14.25" customHeight="1" x14ac:dyDescent="0.2">
      <c r="G481" s="37"/>
    </row>
    <row r="482" spans="7:7" ht="14.25" customHeight="1" x14ac:dyDescent="0.2">
      <c r="G482" s="37"/>
    </row>
    <row r="483" spans="7:7" ht="14.25" customHeight="1" x14ac:dyDescent="0.2">
      <c r="G483" s="37"/>
    </row>
    <row r="484" spans="7:7" ht="14.25" customHeight="1" x14ac:dyDescent="0.2">
      <c r="G484" s="37"/>
    </row>
    <row r="485" spans="7:7" ht="14.25" customHeight="1" x14ac:dyDescent="0.2">
      <c r="G485" s="37"/>
    </row>
    <row r="486" spans="7:7" ht="14.25" customHeight="1" x14ac:dyDescent="0.2">
      <c r="G486" s="37"/>
    </row>
    <row r="487" spans="7:7" ht="14.25" customHeight="1" x14ac:dyDescent="0.2">
      <c r="G487" s="37"/>
    </row>
    <row r="488" spans="7:7" ht="14.25" customHeight="1" x14ac:dyDescent="0.2">
      <c r="G488" s="37"/>
    </row>
    <row r="489" spans="7:7" ht="14.25" customHeight="1" x14ac:dyDescent="0.2">
      <c r="G489" s="37"/>
    </row>
    <row r="490" spans="7:7" ht="14.25" customHeight="1" x14ac:dyDescent="0.2">
      <c r="G490" s="37"/>
    </row>
    <row r="491" spans="7:7" ht="14.25" customHeight="1" x14ac:dyDescent="0.2">
      <c r="G491" s="37"/>
    </row>
    <row r="492" spans="7:7" ht="14.25" customHeight="1" x14ac:dyDescent="0.2">
      <c r="G492" s="37"/>
    </row>
    <row r="493" spans="7:7" ht="14.25" customHeight="1" x14ac:dyDescent="0.2">
      <c r="G493" s="37"/>
    </row>
    <row r="494" spans="7:7" ht="14.25" customHeight="1" x14ac:dyDescent="0.2">
      <c r="G494" s="37"/>
    </row>
    <row r="495" spans="7:7" ht="14.25" customHeight="1" x14ac:dyDescent="0.2">
      <c r="G495" s="37"/>
    </row>
    <row r="496" spans="7:7" ht="14.25" customHeight="1" x14ac:dyDescent="0.2">
      <c r="G496" s="37"/>
    </row>
    <row r="497" spans="7:7" ht="14.25" customHeight="1" x14ac:dyDescent="0.2">
      <c r="G497" s="37"/>
    </row>
    <row r="498" spans="7:7" ht="14.25" customHeight="1" x14ac:dyDescent="0.2">
      <c r="G498" s="37"/>
    </row>
    <row r="499" spans="7:7" ht="14.25" customHeight="1" x14ac:dyDescent="0.2">
      <c r="G499" s="37"/>
    </row>
    <row r="500" spans="7:7" ht="14.25" customHeight="1" x14ac:dyDescent="0.2">
      <c r="G500" s="37"/>
    </row>
    <row r="501" spans="7:7" ht="14.25" customHeight="1" x14ac:dyDescent="0.2">
      <c r="G501" s="37"/>
    </row>
    <row r="502" spans="7:7" ht="14.25" customHeight="1" x14ac:dyDescent="0.2">
      <c r="G502" s="37"/>
    </row>
    <row r="503" spans="7:7" ht="14.25" customHeight="1" x14ac:dyDescent="0.2">
      <c r="G503" s="37"/>
    </row>
    <row r="504" spans="7:7" ht="14.25" customHeight="1" x14ac:dyDescent="0.2">
      <c r="G504" s="37"/>
    </row>
    <row r="505" spans="7:7" ht="14.25" customHeight="1" x14ac:dyDescent="0.2">
      <c r="G505" s="37"/>
    </row>
    <row r="506" spans="7:7" ht="14.25" customHeight="1" x14ac:dyDescent="0.2">
      <c r="G506" s="37"/>
    </row>
    <row r="507" spans="7:7" ht="14.25" customHeight="1" x14ac:dyDescent="0.2">
      <c r="G507" s="37"/>
    </row>
    <row r="508" spans="7:7" ht="14.25" customHeight="1" x14ac:dyDescent="0.2">
      <c r="G508" s="37"/>
    </row>
    <row r="509" spans="7:7" ht="14.25" customHeight="1" x14ac:dyDescent="0.2">
      <c r="G509" s="37"/>
    </row>
    <row r="510" spans="7:7" ht="14.25" customHeight="1" x14ac:dyDescent="0.2">
      <c r="G510" s="37"/>
    </row>
    <row r="511" spans="7:7" ht="14.25" customHeight="1" x14ac:dyDescent="0.2">
      <c r="G511" s="37"/>
    </row>
    <row r="512" spans="7:7" ht="14.25" customHeight="1" x14ac:dyDescent="0.2">
      <c r="G512" s="37"/>
    </row>
    <row r="513" spans="7:7" ht="14.25" customHeight="1" x14ac:dyDescent="0.2">
      <c r="G513" s="37"/>
    </row>
    <row r="514" spans="7:7" ht="14.25" customHeight="1" x14ac:dyDescent="0.2">
      <c r="G514" s="37"/>
    </row>
    <row r="515" spans="7:7" ht="14.25" customHeight="1" x14ac:dyDescent="0.2">
      <c r="G515" s="37"/>
    </row>
    <row r="516" spans="7:7" ht="14.25" customHeight="1" x14ac:dyDescent="0.2">
      <c r="G516" s="37"/>
    </row>
    <row r="517" spans="7:7" ht="14.25" customHeight="1" x14ac:dyDescent="0.2">
      <c r="G517" s="37"/>
    </row>
    <row r="518" spans="7:7" ht="14.25" customHeight="1" x14ac:dyDescent="0.2">
      <c r="G518" s="37"/>
    </row>
    <row r="519" spans="7:7" ht="14.25" customHeight="1" x14ac:dyDescent="0.2">
      <c r="G519" s="37"/>
    </row>
    <row r="520" spans="7:7" ht="14.25" customHeight="1" x14ac:dyDescent="0.2">
      <c r="G520" s="37"/>
    </row>
    <row r="521" spans="7:7" ht="14.25" customHeight="1" x14ac:dyDescent="0.2">
      <c r="G521" s="37"/>
    </row>
    <row r="522" spans="7:7" ht="14.25" customHeight="1" x14ac:dyDescent="0.2">
      <c r="G522" s="37"/>
    </row>
    <row r="523" spans="7:7" ht="14.25" customHeight="1" x14ac:dyDescent="0.2">
      <c r="G523" s="37"/>
    </row>
    <row r="524" spans="7:7" ht="14.25" customHeight="1" x14ac:dyDescent="0.2">
      <c r="G524" s="37"/>
    </row>
    <row r="525" spans="7:7" ht="14.25" customHeight="1" x14ac:dyDescent="0.2">
      <c r="G525" s="37"/>
    </row>
    <row r="526" spans="7:7" ht="14.25" customHeight="1" x14ac:dyDescent="0.2">
      <c r="G526" s="37"/>
    </row>
    <row r="527" spans="7:7" ht="14.25" customHeight="1" x14ac:dyDescent="0.2">
      <c r="G527" s="37"/>
    </row>
    <row r="528" spans="7:7" ht="14.25" customHeight="1" x14ac:dyDescent="0.2">
      <c r="G528" s="37"/>
    </row>
    <row r="529" spans="7:7" ht="14.25" customHeight="1" x14ac:dyDescent="0.2">
      <c r="G529" s="37"/>
    </row>
    <row r="530" spans="7:7" ht="14.25" customHeight="1" x14ac:dyDescent="0.2">
      <c r="G530" s="37"/>
    </row>
    <row r="531" spans="7:7" ht="14.25" customHeight="1" x14ac:dyDescent="0.2">
      <c r="G531" s="37"/>
    </row>
    <row r="532" spans="7:7" ht="14.25" customHeight="1" x14ac:dyDescent="0.2">
      <c r="G532" s="37"/>
    </row>
    <row r="533" spans="7:7" ht="14.25" customHeight="1" x14ac:dyDescent="0.2">
      <c r="G533" s="37"/>
    </row>
    <row r="534" spans="7:7" ht="14.25" customHeight="1" x14ac:dyDescent="0.2">
      <c r="G534" s="37"/>
    </row>
    <row r="535" spans="7:7" ht="14.25" customHeight="1" x14ac:dyDescent="0.2">
      <c r="G535" s="37"/>
    </row>
    <row r="536" spans="7:7" ht="14.25" customHeight="1" x14ac:dyDescent="0.2">
      <c r="G536" s="37"/>
    </row>
    <row r="537" spans="7:7" ht="14.25" customHeight="1" x14ac:dyDescent="0.2">
      <c r="G537" s="37"/>
    </row>
    <row r="538" spans="7:7" ht="14.25" customHeight="1" x14ac:dyDescent="0.2">
      <c r="G538" s="37"/>
    </row>
    <row r="539" spans="7:7" ht="14.25" customHeight="1" x14ac:dyDescent="0.2">
      <c r="G539" s="37"/>
    </row>
    <row r="540" spans="7:7" ht="14.25" customHeight="1" x14ac:dyDescent="0.2">
      <c r="G540" s="37"/>
    </row>
    <row r="541" spans="7:7" ht="14.25" customHeight="1" x14ac:dyDescent="0.2">
      <c r="G541" s="37"/>
    </row>
    <row r="542" spans="7:7" ht="14.25" customHeight="1" x14ac:dyDescent="0.2">
      <c r="G542" s="37"/>
    </row>
    <row r="543" spans="7:7" ht="14.25" customHeight="1" x14ac:dyDescent="0.2">
      <c r="G543" s="37"/>
    </row>
    <row r="544" spans="7:7" ht="14.25" customHeight="1" x14ac:dyDescent="0.2">
      <c r="G544" s="37"/>
    </row>
    <row r="545" spans="7:7" ht="14.25" customHeight="1" x14ac:dyDescent="0.2">
      <c r="G545" s="37"/>
    </row>
    <row r="546" spans="7:7" ht="14.25" customHeight="1" x14ac:dyDescent="0.2">
      <c r="G546" s="37"/>
    </row>
    <row r="547" spans="7:7" ht="14.25" customHeight="1" x14ac:dyDescent="0.2">
      <c r="G547" s="37"/>
    </row>
    <row r="548" spans="7:7" ht="14.25" customHeight="1" x14ac:dyDescent="0.2">
      <c r="G548" s="37"/>
    </row>
    <row r="549" spans="7:7" ht="14.25" customHeight="1" x14ac:dyDescent="0.2">
      <c r="G549" s="37"/>
    </row>
    <row r="550" spans="7:7" ht="14.25" customHeight="1" x14ac:dyDescent="0.2">
      <c r="G550" s="37"/>
    </row>
    <row r="551" spans="7:7" ht="14.25" customHeight="1" x14ac:dyDescent="0.2">
      <c r="G551" s="37"/>
    </row>
    <row r="552" spans="7:7" ht="14.25" customHeight="1" x14ac:dyDescent="0.2">
      <c r="G552" s="37"/>
    </row>
    <row r="553" spans="7:7" ht="14.25" customHeight="1" x14ac:dyDescent="0.2">
      <c r="G553" s="37"/>
    </row>
    <row r="554" spans="7:7" ht="14.25" customHeight="1" x14ac:dyDescent="0.2">
      <c r="G554" s="37"/>
    </row>
    <row r="555" spans="7:7" ht="14.25" customHeight="1" x14ac:dyDescent="0.2">
      <c r="G555" s="37"/>
    </row>
    <row r="556" spans="7:7" ht="14.25" customHeight="1" x14ac:dyDescent="0.2">
      <c r="G556" s="37"/>
    </row>
    <row r="557" spans="7:7" ht="14.25" customHeight="1" x14ac:dyDescent="0.2">
      <c r="G557" s="37"/>
    </row>
    <row r="558" spans="7:7" ht="14.25" customHeight="1" x14ac:dyDescent="0.2">
      <c r="G558" s="37"/>
    </row>
    <row r="559" spans="7:7" ht="14.25" customHeight="1" x14ac:dyDescent="0.2">
      <c r="G559" s="37"/>
    </row>
    <row r="560" spans="7:7" ht="14.25" customHeight="1" x14ac:dyDescent="0.2">
      <c r="G560" s="37"/>
    </row>
    <row r="561" spans="7:7" ht="14.25" customHeight="1" x14ac:dyDescent="0.2">
      <c r="G561" s="37"/>
    </row>
    <row r="562" spans="7:7" ht="14.25" customHeight="1" x14ac:dyDescent="0.2">
      <c r="G562" s="37"/>
    </row>
    <row r="563" spans="7:7" ht="14.25" customHeight="1" x14ac:dyDescent="0.2">
      <c r="G563" s="37"/>
    </row>
    <row r="564" spans="7:7" ht="14.25" customHeight="1" x14ac:dyDescent="0.2">
      <c r="G564" s="37"/>
    </row>
    <row r="565" spans="7:7" ht="14.25" customHeight="1" x14ac:dyDescent="0.2">
      <c r="G565" s="37"/>
    </row>
    <row r="566" spans="7:7" ht="14.25" customHeight="1" x14ac:dyDescent="0.2">
      <c r="G566" s="37"/>
    </row>
    <row r="567" spans="7:7" ht="14.25" customHeight="1" x14ac:dyDescent="0.2">
      <c r="G567" s="37"/>
    </row>
    <row r="568" spans="7:7" ht="14.25" customHeight="1" x14ac:dyDescent="0.2">
      <c r="G568" s="37"/>
    </row>
    <row r="569" spans="7:7" ht="14.25" customHeight="1" x14ac:dyDescent="0.2">
      <c r="G569" s="37"/>
    </row>
    <row r="570" spans="7:7" ht="14.25" customHeight="1" x14ac:dyDescent="0.2">
      <c r="G570" s="37"/>
    </row>
    <row r="571" spans="7:7" ht="14.25" customHeight="1" x14ac:dyDescent="0.2">
      <c r="G571" s="37"/>
    </row>
    <row r="572" spans="7:7" ht="14.25" customHeight="1" x14ac:dyDescent="0.2">
      <c r="G572" s="37"/>
    </row>
    <row r="573" spans="7:7" ht="14.25" customHeight="1" x14ac:dyDescent="0.2">
      <c r="G573" s="37"/>
    </row>
    <row r="574" spans="7:7" ht="14.25" customHeight="1" x14ac:dyDescent="0.2">
      <c r="G574" s="37"/>
    </row>
    <row r="575" spans="7:7" ht="14.25" customHeight="1" x14ac:dyDescent="0.2">
      <c r="G575" s="37"/>
    </row>
    <row r="576" spans="7:7" ht="14.25" customHeight="1" x14ac:dyDescent="0.2">
      <c r="G576" s="37"/>
    </row>
    <row r="577" spans="7:7" ht="14.25" customHeight="1" x14ac:dyDescent="0.2">
      <c r="G577" s="37"/>
    </row>
    <row r="578" spans="7:7" ht="14.25" customHeight="1" x14ac:dyDescent="0.2">
      <c r="G578" s="37"/>
    </row>
    <row r="579" spans="7:7" ht="14.25" customHeight="1" x14ac:dyDescent="0.2">
      <c r="G579" s="37"/>
    </row>
    <row r="580" spans="7:7" ht="14.25" customHeight="1" x14ac:dyDescent="0.2">
      <c r="G580" s="37"/>
    </row>
    <row r="581" spans="7:7" ht="14.25" customHeight="1" x14ac:dyDescent="0.2">
      <c r="G581" s="37"/>
    </row>
    <row r="582" spans="7:7" ht="14.25" customHeight="1" x14ac:dyDescent="0.2">
      <c r="G582" s="37"/>
    </row>
    <row r="583" spans="7:7" ht="14.25" customHeight="1" x14ac:dyDescent="0.2">
      <c r="G583" s="37"/>
    </row>
    <row r="584" spans="7:7" ht="14.25" customHeight="1" x14ac:dyDescent="0.2">
      <c r="G584" s="37"/>
    </row>
    <row r="585" spans="7:7" ht="14.25" customHeight="1" x14ac:dyDescent="0.2">
      <c r="G585" s="37"/>
    </row>
    <row r="586" spans="7:7" ht="14.25" customHeight="1" x14ac:dyDescent="0.2">
      <c r="G586" s="37"/>
    </row>
    <row r="587" spans="7:7" ht="14.25" customHeight="1" x14ac:dyDescent="0.2">
      <c r="G587" s="37"/>
    </row>
    <row r="588" spans="7:7" ht="14.25" customHeight="1" x14ac:dyDescent="0.2">
      <c r="G588" s="37"/>
    </row>
    <row r="589" spans="7:7" ht="14.25" customHeight="1" x14ac:dyDescent="0.2">
      <c r="G589" s="37"/>
    </row>
    <row r="590" spans="7:7" ht="14.25" customHeight="1" x14ac:dyDescent="0.2">
      <c r="G590" s="37"/>
    </row>
    <row r="591" spans="7:7" ht="14.25" customHeight="1" x14ac:dyDescent="0.2">
      <c r="G591" s="37"/>
    </row>
    <row r="592" spans="7:7" ht="14.25" customHeight="1" x14ac:dyDescent="0.2">
      <c r="G592" s="37"/>
    </row>
    <row r="593" spans="7:7" ht="14.25" customHeight="1" x14ac:dyDescent="0.2">
      <c r="G593" s="37"/>
    </row>
    <row r="594" spans="7:7" ht="14.25" customHeight="1" x14ac:dyDescent="0.2">
      <c r="G594" s="37"/>
    </row>
    <row r="595" spans="7:7" ht="14.25" customHeight="1" x14ac:dyDescent="0.2">
      <c r="G595" s="37"/>
    </row>
    <row r="596" spans="7:7" ht="14.25" customHeight="1" x14ac:dyDescent="0.2">
      <c r="G596" s="37"/>
    </row>
    <row r="597" spans="7:7" ht="14.25" customHeight="1" x14ac:dyDescent="0.2">
      <c r="G597" s="37"/>
    </row>
    <row r="598" spans="7:7" ht="14.25" customHeight="1" x14ac:dyDescent="0.2">
      <c r="G598" s="37"/>
    </row>
    <row r="599" spans="7:7" ht="14.25" customHeight="1" x14ac:dyDescent="0.2">
      <c r="G599" s="37"/>
    </row>
    <row r="600" spans="7:7" ht="14.25" customHeight="1" x14ac:dyDescent="0.2">
      <c r="G600" s="37"/>
    </row>
    <row r="601" spans="7:7" ht="14.25" customHeight="1" x14ac:dyDescent="0.2">
      <c r="G601" s="37"/>
    </row>
    <row r="602" spans="7:7" ht="14.25" customHeight="1" x14ac:dyDescent="0.2">
      <c r="G602" s="37"/>
    </row>
    <row r="603" spans="7:7" ht="14.25" customHeight="1" x14ac:dyDescent="0.2">
      <c r="G603" s="37"/>
    </row>
    <row r="604" spans="7:7" ht="14.25" customHeight="1" x14ac:dyDescent="0.2">
      <c r="G604" s="37"/>
    </row>
    <row r="605" spans="7:7" ht="14.25" customHeight="1" x14ac:dyDescent="0.2">
      <c r="G605" s="37"/>
    </row>
    <row r="606" spans="7:7" ht="14.25" customHeight="1" x14ac:dyDescent="0.2">
      <c r="G606" s="37"/>
    </row>
    <row r="607" spans="7:7" ht="14.25" customHeight="1" x14ac:dyDescent="0.2">
      <c r="G607" s="37"/>
    </row>
    <row r="608" spans="7:7" ht="14.25" customHeight="1" x14ac:dyDescent="0.2">
      <c r="G608" s="37"/>
    </row>
    <row r="609" spans="7:7" ht="14.25" customHeight="1" x14ac:dyDescent="0.2">
      <c r="G609" s="37"/>
    </row>
    <row r="610" spans="7:7" ht="14.25" customHeight="1" x14ac:dyDescent="0.2">
      <c r="G610" s="37"/>
    </row>
    <row r="611" spans="7:7" ht="14.25" customHeight="1" x14ac:dyDescent="0.2">
      <c r="G611" s="37"/>
    </row>
    <row r="612" spans="7:7" ht="14.25" customHeight="1" x14ac:dyDescent="0.2">
      <c r="G612" s="37"/>
    </row>
    <row r="613" spans="7:7" ht="14.25" customHeight="1" x14ac:dyDescent="0.2">
      <c r="G613" s="37"/>
    </row>
    <row r="614" spans="7:7" ht="14.25" customHeight="1" x14ac:dyDescent="0.2">
      <c r="G614" s="37"/>
    </row>
    <row r="615" spans="7:7" ht="14.25" customHeight="1" x14ac:dyDescent="0.2">
      <c r="G615" s="37"/>
    </row>
    <row r="616" spans="7:7" ht="14.25" customHeight="1" x14ac:dyDescent="0.2">
      <c r="G616" s="37"/>
    </row>
    <row r="617" spans="7:7" ht="14.25" customHeight="1" x14ac:dyDescent="0.2">
      <c r="G617" s="37"/>
    </row>
    <row r="618" spans="7:7" ht="14.25" customHeight="1" x14ac:dyDescent="0.2">
      <c r="G618" s="37"/>
    </row>
    <row r="619" spans="7:7" ht="14.25" customHeight="1" x14ac:dyDescent="0.2">
      <c r="G619" s="37"/>
    </row>
    <row r="620" spans="7:7" ht="14.25" customHeight="1" x14ac:dyDescent="0.2">
      <c r="G620" s="37"/>
    </row>
    <row r="621" spans="7:7" ht="14.25" customHeight="1" x14ac:dyDescent="0.2">
      <c r="G621" s="37"/>
    </row>
    <row r="622" spans="7:7" ht="14.25" customHeight="1" x14ac:dyDescent="0.2">
      <c r="G622" s="37"/>
    </row>
    <row r="623" spans="7:7" ht="14.25" customHeight="1" x14ac:dyDescent="0.2">
      <c r="G623" s="37"/>
    </row>
    <row r="624" spans="7:7" ht="14.25" customHeight="1" x14ac:dyDescent="0.2">
      <c r="G624" s="37"/>
    </row>
    <row r="625" spans="7:7" ht="14.25" customHeight="1" x14ac:dyDescent="0.2">
      <c r="G625" s="37"/>
    </row>
    <row r="626" spans="7:7" ht="14.25" customHeight="1" x14ac:dyDescent="0.2">
      <c r="G626" s="37"/>
    </row>
    <row r="627" spans="7:7" ht="14.25" customHeight="1" x14ac:dyDescent="0.2">
      <c r="G627" s="37"/>
    </row>
    <row r="628" spans="7:7" ht="14.25" customHeight="1" x14ac:dyDescent="0.2">
      <c r="G628" s="37"/>
    </row>
    <row r="629" spans="7:7" ht="14.25" customHeight="1" x14ac:dyDescent="0.2">
      <c r="G629" s="37"/>
    </row>
    <row r="630" spans="7:7" ht="14.25" customHeight="1" x14ac:dyDescent="0.2">
      <c r="G630" s="37"/>
    </row>
    <row r="631" spans="7:7" ht="14.25" customHeight="1" x14ac:dyDescent="0.2">
      <c r="G631" s="37"/>
    </row>
    <row r="632" spans="7:7" ht="14.25" customHeight="1" x14ac:dyDescent="0.2">
      <c r="G632" s="37"/>
    </row>
    <row r="633" spans="7:7" ht="14.25" customHeight="1" x14ac:dyDescent="0.2">
      <c r="G633" s="37"/>
    </row>
    <row r="634" spans="7:7" ht="14.25" customHeight="1" x14ac:dyDescent="0.2">
      <c r="G634" s="37"/>
    </row>
    <row r="635" spans="7:7" ht="14.25" customHeight="1" x14ac:dyDescent="0.2">
      <c r="G635" s="37"/>
    </row>
    <row r="636" spans="7:7" ht="14.25" customHeight="1" x14ac:dyDescent="0.2">
      <c r="G636" s="37"/>
    </row>
    <row r="637" spans="7:7" ht="14.25" customHeight="1" x14ac:dyDescent="0.2">
      <c r="G637" s="37"/>
    </row>
    <row r="638" spans="7:7" ht="14.25" customHeight="1" x14ac:dyDescent="0.2">
      <c r="G638" s="37"/>
    </row>
    <row r="639" spans="7:7" ht="14.25" customHeight="1" x14ac:dyDescent="0.2">
      <c r="G639" s="37"/>
    </row>
    <row r="640" spans="7:7" ht="14.25" customHeight="1" x14ac:dyDescent="0.2">
      <c r="G640" s="37"/>
    </row>
    <row r="641" spans="7:7" ht="14.25" customHeight="1" x14ac:dyDescent="0.2">
      <c r="G641" s="37"/>
    </row>
    <row r="642" spans="7:7" ht="14.25" customHeight="1" x14ac:dyDescent="0.2">
      <c r="G642" s="37"/>
    </row>
    <row r="643" spans="7:7" ht="14.25" customHeight="1" x14ac:dyDescent="0.2">
      <c r="G643" s="37"/>
    </row>
    <row r="644" spans="7:7" ht="14.25" customHeight="1" x14ac:dyDescent="0.2">
      <c r="G644" s="37"/>
    </row>
    <row r="645" spans="7:7" ht="14.25" customHeight="1" x14ac:dyDescent="0.2">
      <c r="G645" s="37"/>
    </row>
    <row r="646" spans="7:7" ht="14.25" customHeight="1" x14ac:dyDescent="0.2">
      <c r="G646" s="37"/>
    </row>
    <row r="647" spans="7:7" ht="14.25" customHeight="1" x14ac:dyDescent="0.2">
      <c r="G647" s="37"/>
    </row>
    <row r="648" spans="7:7" ht="14.25" customHeight="1" x14ac:dyDescent="0.2">
      <c r="G648" s="37"/>
    </row>
    <row r="649" spans="7:7" ht="14.25" customHeight="1" x14ac:dyDescent="0.2">
      <c r="G649" s="37"/>
    </row>
    <row r="650" spans="7:7" ht="14.25" customHeight="1" x14ac:dyDescent="0.2">
      <c r="G650" s="37"/>
    </row>
    <row r="651" spans="7:7" ht="14.25" customHeight="1" x14ac:dyDescent="0.2">
      <c r="G651" s="37"/>
    </row>
    <row r="652" spans="7:7" ht="14.25" customHeight="1" x14ac:dyDescent="0.2">
      <c r="G652" s="37"/>
    </row>
    <row r="653" spans="7:7" ht="14.25" customHeight="1" x14ac:dyDescent="0.2">
      <c r="G653" s="37"/>
    </row>
    <row r="654" spans="7:7" ht="14.25" customHeight="1" x14ac:dyDescent="0.2">
      <c r="G654" s="37"/>
    </row>
    <row r="655" spans="7:7" ht="14.25" customHeight="1" x14ac:dyDescent="0.2">
      <c r="G655" s="37"/>
    </row>
    <row r="656" spans="7:7" ht="14.25" customHeight="1" x14ac:dyDescent="0.2">
      <c r="G656" s="37"/>
    </row>
    <row r="657" spans="7:7" ht="14.25" customHeight="1" x14ac:dyDescent="0.2">
      <c r="G657" s="37"/>
    </row>
    <row r="658" spans="7:7" ht="14.25" customHeight="1" x14ac:dyDescent="0.2">
      <c r="G658" s="37"/>
    </row>
    <row r="659" spans="7:7" ht="14.25" customHeight="1" x14ac:dyDescent="0.2">
      <c r="G659" s="37"/>
    </row>
    <row r="660" spans="7:7" ht="14.25" customHeight="1" x14ac:dyDescent="0.2">
      <c r="G660" s="37"/>
    </row>
    <row r="661" spans="7:7" ht="14.25" customHeight="1" x14ac:dyDescent="0.2">
      <c r="G661" s="37"/>
    </row>
    <row r="662" spans="7:7" ht="14.25" customHeight="1" x14ac:dyDescent="0.2">
      <c r="G662" s="37"/>
    </row>
    <row r="663" spans="7:7" ht="14.25" customHeight="1" x14ac:dyDescent="0.2">
      <c r="G663" s="37"/>
    </row>
    <row r="664" spans="7:7" ht="14.25" customHeight="1" x14ac:dyDescent="0.2">
      <c r="G664" s="37"/>
    </row>
    <row r="665" spans="7:7" ht="14.25" customHeight="1" x14ac:dyDescent="0.2">
      <c r="G665" s="37"/>
    </row>
    <row r="666" spans="7:7" ht="14.25" customHeight="1" x14ac:dyDescent="0.2">
      <c r="G666" s="37"/>
    </row>
    <row r="667" spans="7:7" ht="14.25" customHeight="1" x14ac:dyDescent="0.2">
      <c r="G667" s="37"/>
    </row>
    <row r="668" spans="7:7" ht="14.25" customHeight="1" x14ac:dyDescent="0.2">
      <c r="G668" s="37"/>
    </row>
    <row r="669" spans="7:7" ht="14.25" customHeight="1" x14ac:dyDescent="0.2">
      <c r="G669" s="37"/>
    </row>
    <row r="670" spans="7:7" ht="14.25" customHeight="1" x14ac:dyDescent="0.2">
      <c r="G670" s="37"/>
    </row>
    <row r="671" spans="7:7" ht="14.25" customHeight="1" x14ac:dyDescent="0.2">
      <c r="G671" s="37"/>
    </row>
    <row r="672" spans="7:7" ht="14.25" customHeight="1" x14ac:dyDescent="0.2">
      <c r="G672" s="37"/>
    </row>
    <row r="673" spans="7:7" ht="14.25" customHeight="1" x14ac:dyDescent="0.2">
      <c r="G673" s="37"/>
    </row>
    <row r="674" spans="7:7" ht="14.25" customHeight="1" x14ac:dyDescent="0.2">
      <c r="G674" s="37"/>
    </row>
    <row r="675" spans="7:7" ht="14.25" customHeight="1" x14ac:dyDescent="0.2">
      <c r="G675" s="37"/>
    </row>
    <row r="676" spans="7:7" ht="14.25" customHeight="1" x14ac:dyDescent="0.2">
      <c r="G676" s="37"/>
    </row>
    <row r="677" spans="7:7" ht="14.25" customHeight="1" x14ac:dyDescent="0.2">
      <c r="G677" s="37"/>
    </row>
    <row r="678" spans="7:7" ht="14.25" customHeight="1" x14ac:dyDescent="0.2">
      <c r="G678" s="37"/>
    </row>
    <row r="679" spans="7:7" ht="14.25" customHeight="1" x14ac:dyDescent="0.2">
      <c r="G679" s="37"/>
    </row>
    <row r="680" spans="7:7" ht="14.25" customHeight="1" x14ac:dyDescent="0.2">
      <c r="G680" s="37"/>
    </row>
    <row r="681" spans="7:7" ht="14.25" customHeight="1" x14ac:dyDescent="0.2">
      <c r="G681" s="37"/>
    </row>
    <row r="682" spans="7:7" ht="14.25" customHeight="1" x14ac:dyDescent="0.2">
      <c r="G682" s="37"/>
    </row>
    <row r="683" spans="7:7" ht="14.25" customHeight="1" x14ac:dyDescent="0.2">
      <c r="G683" s="37"/>
    </row>
    <row r="684" spans="7:7" ht="14.25" customHeight="1" x14ac:dyDescent="0.2">
      <c r="G684" s="37"/>
    </row>
    <row r="685" spans="7:7" ht="14.25" customHeight="1" x14ac:dyDescent="0.2">
      <c r="G685" s="37"/>
    </row>
    <row r="686" spans="7:7" ht="14.25" customHeight="1" x14ac:dyDescent="0.2">
      <c r="G686" s="37"/>
    </row>
    <row r="687" spans="7:7" ht="14.25" customHeight="1" x14ac:dyDescent="0.2">
      <c r="G687" s="37"/>
    </row>
    <row r="688" spans="7:7" ht="14.25" customHeight="1" x14ac:dyDescent="0.2">
      <c r="G688" s="37"/>
    </row>
    <row r="689" spans="7:7" ht="14.25" customHeight="1" x14ac:dyDescent="0.2">
      <c r="G689" s="37"/>
    </row>
    <row r="690" spans="7:7" ht="14.25" customHeight="1" x14ac:dyDescent="0.2">
      <c r="G690" s="37"/>
    </row>
    <row r="691" spans="7:7" ht="14.25" customHeight="1" x14ac:dyDescent="0.2">
      <c r="G691" s="37"/>
    </row>
    <row r="692" spans="7:7" ht="14.25" customHeight="1" x14ac:dyDescent="0.2">
      <c r="G692" s="37"/>
    </row>
    <row r="693" spans="7:7" ht="14.25" customHeight="1" x14ac:dyDescent="0.2">
      <c r="G693" s="37"/>
    </row>
    <row r="694" spans="7:7" ht="14.25" customHeight="1" x14ac:dyDescent="0.2">
      <c r="G694" s="37"/>
    </row>
    <row r="695" spans="7:7" ht="14.25" customHeight="1" x14ac:dyDescent="0.2">
      <c r="G695" s="37"/>
    </row>
    <row r="696" spans="7:7" ht="14.25" customHeight="1" x14ac:dyDescent="0.2">
      <c r="G696" s="37"/>
    </row>
    <row r="697" spans="7:7" ht="14.25" customHeight="1" x14ac:dyDescent="0.2">
      <c r="G697" s="37"/>
    </row>
    <row r="698" spans="7:7" ht="14.25" customHeight="1" x14ac:dyDescent="0.2">
      <c r="G698" s="37"/>
    </row>
    <row r="699" spans="7:7" ht="14.25" customHeight="1" x14ac:dyDescent="0.2">
      <c r="G699" s="37"/>
    </row>
    <row r="700" spans="7:7" ht="14.25" customHeight="1" x14ac:dyDescent="0.2">
      <c r="G700" s="37"/>
    </row>
    <row r="701" spans="7:7" ht="14.25" customHeight="1" x14ac:dyDescent="0.2">
      <c r="G701" s="37"/>
    </row>
    <row r="702" spans="7:7" ht="14.25" customHeight="1" x14ac:dyDescent="0.2">
      <c r="G702" s="37"/>
    </row>
    <row r="703" spans="7:7" ht="14.25" customHeight="1" x14ac:dyDescent="0.2">
      <c r="G703" s="37"/>
    </row>
    <row r="704" spans="7:7" ht="14.25" customHeight="1" x14ac:dyDescent="0.2">
      <c r="G704" s="37"/>
    </row>
    <row r="705" spans="7:7" ht="14.25" customHeight="1" x14ac:dyDescent="0.2">
      <c r="G705" s="37"/>
    </row>
    <row r="706" spans="7:7" ht="14.25" customHeight="1" x14ac:dyDescent="0.2">
      <c r="G706" s="37"/>
    </row>
    <row r="707" spans="7:7" ht="14.25" customHeight="1" x14ac:dyDescent="0.2">
      <c r="G707" s="37"/>
    </row>
    <row r="708" spans="7:7" ht="14.25" customHeight="1" x14ac:dyDescent="0.2">
      <c r="G708" s="37"/>
    </row>
    <row r="709" spans="7:7" ht="14.25" customHeight="1" x14ac:dyDescent="0.2">
      <c r="G709" s="37"/>
    </row>
    <row r="710" spans="7:7" ht="14.25" customHeight="1" x14ac:dyDescent="0.2">
      <c r="G710" s="37"/>
    </row>
    <row r="711" spans="7:7" ht="14.25" customHeight="1" x14ac:dyDescent="0.2">
      <c r="G711" s="37"/>
    </row>
    <row r="712" spans="7:7" ht="14.25" customHeight="1" x14ac:dyDescent="0.2">
      <c r="G712" s="37"/>
    </row>
    <row r="713" spans="7:7" ht="14.25" customHeight="1" x14ac:dyDescent="0.2">
      <c r="G713" s="37"/>
    </row>
    <row r="714" spans="7:7" ht="14.25" customHeight="1" x14ac:dyDescent="0.2">
      <c r="G714" s="37"/>
    </row>
    <row r="715" spans="7:7" ht="14.25" customHeight="1" x14ac:dyDescent="0.2">
      <c r="G715" s="37"/>
    </row>
    <row r="716" spans="7:7" ht="14.25" customHeight="1" x14ac:dyDescent="0.2">
      <c r="G716" s="37"/>
    </row>
    <row r="717" spans="7:7" ht="14.25" customHeight="1" x14ac:dyDescent="0.2">
      <c r="G717" s="37"/>
    </row>
    <row r="718" spans="7:7" ht="14.25" customHeight="1" x14ac:dyDescent="0.2">
      <c r="G718" s="37"/>
    </row>
    <row r="719" spans="7:7" ht="14.25" customHeight="1" x14ac:dyDescent="0.2">
      <c r="G719" s="37"/>
    </row>
    <row r="720" spans="7:7" ht="14.25" customHeight="1" x14ac:dyDescent="0.2">
      <c r="G720" s="37"/>
    </row>
    <row r="721" spans="7:7" ht="14.25" customHeight="1" x14ac:dyDescent="0.2">
      <c r="G721" s="37"/>
    </row>
    <row r="722" spans="7:7" ht="14.25" customHeight="1" x14ac:dyDescent="0.2">
      <c r="G722" s="37"/>
    </row>
    <row r="723" spans="7:7" ht="14.25" customHeight="1" x14ac:dyDescent="0.2">
      <c r="G723" s="37"/>
    </row>
    <row r="724" spans="7:7" ht="14.25" customHeight="1" x14ac:dyDescent="0.2">
      <c r="G724" s="37"/>
    </row>
    <row r="725" spans="7:7" ht="14.25" customHeight="1" x14ac:dyDescent="0.2">
      <c r="G725" s="37"/>
    </row>
    <row r="726" spans="7:7" ht="14.25" customHeight="1" x14ac:dyDescent="0.2">
      <c r="G726" s="37"/>
    </row>
    <row r="727" spans="7:7" ht="14.25" customHeight="1" x14ac:dyDescent="0.2">
      <c r="G727" s="37"/>
    </row>
    <row r="728" spans="7:7" ht="14.25" customHeight="1" x14ac:dyDescent="0.2">
      <c r="G728" s="37"/>
    </row>
    <row r="729" spans="7:7" ht="14.25" customHeight="1" x14ac:dyDescent="0.2">
      <c r="G729" s="37"/>
    </row>
    <row r="730" spans="7:7" ht="14.25" customHeight="1" x14ac:dyDescent="0.2">
      <c r="G730" s="37"/>
    </row>
    <row r="731" spans="7:7" ht="14.25" customHeight="1" x14ac:dyDescent="0.2">
      <c r="G731" s="37"/>
    </row>
    <row r="732" spans="7:7" ht="14.25" customHeight="1" x14ac:dyDescent="0.2">
      <c r="G732" s="37"/>
    </row>
    <row r="733" spans="7:7" ht="14.25" customHeight="1" x14ac:dyDescent="0.2">
      <c r="G733" s="37"/>
    </row>
    <row r="734" spans="7:7" ht="14.25" customHeight="1" x14ac:dyDescent="0.2">
      <c r="G734" s="37"/>
    </row>
    <row r="735" spans="7:7" ht="14.25" customHeight="1" x14ac:dyDescent="0.2">
      <c r="G735" s="37"/>
    </row>
    <row r="736" spans="7:7" ht="14.25" customHeight="1" x14ac:dyDescent="0.2">
      <c r="G736" s="37"/>
    </row>
    <row r="737" spans="7:7" ht="14.25" customHeight="1" x14ac:dyDescent="0.2">
      <c r="G737" s="37"/>
    </row>
    <row r="738" spans="7:7" ht="14.25" customHeight="1" x14ac:dyDescent="0.2">
      <c r="G738" s="37"/>
    </row>
    <row r="739" spans="7:7" ht="14.25" customHeight="1" x14ac:dyDescent="0.2">
      <c r="G739" s="37"/>
    </row>
    <row r="740" spans="7:7" ht="14.25" customHeight="1" x14ac:dyDescent="0.2">
      <c r="G740" s="37"/>
    </row>
    <row r="741" spans="7:7" ht="14.25" customHeight="1" x14ac:dyDescent="0.2">
      <c r="G741" s="37"/>
    </row>
    <row r="742" spans="7:7" ht="14.25" customHeight="1" x14ac:dyDescent="0.2">
      <c r="G742" s="37"/>
    </row>
    <row r="743" spans="7:7" ht="14.25" customHeight="1" x14ac:dyDescent="0.2">
      <c r="G743" s="37"/>
    </row>
    <row r="744" spans="7:7" ht="14.25" customHeight="1" x14ac:dyDescent="0.2">
      <c r="G744" s="37"/>
    </row>
    <row r="745" spans="7:7" ht="14.25" customHeight="1" x14ac:dyDescent="0.2">
      <c r="G745" s="37"/>
    </row>
    <row r="746" spans="7:7" ht="14.25" customHeight="1" x14ac:dyDescent="0.2">
      <c r="G746" s="37"/>
    </row>
    <row r="747" spans="7:7" ht="14.25" customHeight="1" x14ac:dyDescent="0.2">
      <c r="G747" s="37"/>
    </row>
    <row r="748" spans="7:7" ht="14.25" customHeight="1" x14ac:dyDescent="0.2">
      <c r="G748" s="37"/>
    </row>
    <row r="749" spans="7:7" ht="14.25" customHeight="1" x14ac:dyDescent="0.2">
      <c r="G749" s="37"/>
    </row>
    <row r="750" spans="7:7" ht="14.25" customHeight="1" x14ac:dyDescent="0.2">
      <c r="G750" s="37"/>
    </row>
    <row r="751" spans="7:7" ht="14.25" customHeight="1" x14ac:dyDescent="0.2">
      <c r="G751" s="37"/>
    </row>
    <row r="752" spans="7:7" ht="14.25" customHeight="1" x14ac:dyDescent="0.2">
      <c r="G752" s="37"/>
    </row>
    <row r="753" spans="7:7" ht="14.25" customHeight="1" x14ac:dyDescent="0.2">
      <c r="G753" s="37"/>
    </row>
    <row r="754" spans="7:7" ht="14.25" customHeight="1" x14ac:dyDescent="0.2">
      <c r="G754" s="37"/>
    </row>
    <row r="755" spans="7:7" ht="14.25" customHeight="1" x14ac:dyDescent="0.2">
      <c r="G755" s="37"/>
    </row>
    <row r="756" spans="7:7" ht="14.25" customHeight="1" x14ac:dyDescent="0.2">
      <c r="G756" s="37"/>
    </row>
    <row r="757" spans="7:7" ht="14.25" customHeight="1" x14ac:dyDescent="0.2">
      <c r="G757" s="37"/>
    </row>
    <row r="758" spans="7:7" ht="14.25" customHeight="1" x14ac:dyDescent="0.2">
      <c r="G758" s="37"/>
    </row>
    <row r="759" spans="7:7" ht="14.25" customHeight="1" x14ac:dyDescent="0.2">
      <c r="G759" s="37"/>
    </row>
    <row r="760" spans="7:7" ht="14.25" customHeight="1" x14ac:dyDescent="0.2">
      <c r="G760" s="37"/>
    </row>
    <row r="761" spans="7:7" ht="14.25" customHeight="1" x14ac:dyDescent="0.2">
      <c r="G761" s="37"/>
    </row>
    <row r="762" spans="7:7" ht="14.25" customHeight="1" x14ac:dyDescent="0.2">
      <c r="G762" s="37"/>
    </row>
    <row r="763" spans="7:7" ht="14.25" customHeight="1" x14ac:dyDescent="0.2">
      <c r="G763" s="37"/>
    </row>
    <row r="764" spans="7:7" ht="14.25" customHeight="1" x14ac:dyDescent="0.2">
      <c r="G764" s="37"/>
    </row>
    <row r="765" spans="7:7" ht="14.25" customHeight="1" x14ac:dyDescent="0.2">
      <c r="G765" s="37"/>
    </row>
    <row r="766" spans="7:7" ht="14.25" customHeight="1" x14ac:dyDescent="0.2">
      <c r="G766" s="37"/>
    </row>
    <row r="767" spans="7:7" ht="14.25" customHeight="1" x14ac:dyDescent="0.2">
      <c r="G767" s="37"/>
    </row>
    <row r="768" spans="7:7" ht="14.25" customHeight="1" x14ac:dyDescent="0.2">
      <c r="G768" s="37"/>
    </row>
    <row r="769" spans="7:7" ht="14.25" customHeight="1" x14ac:dyDescent="0.2">
      <c r="G769" s="37"/>
    </row>
    <row r="770" spans="7:7" ht="14.25" customHeight="1" x14ac:dyDescent="0.2">
      <c r="G770" s="37"/>
    </row>
    <row r="771" spans="7:7" ht="14.25" customHeight="1" x14ac:dyDescent="0.2">
      <c r="G771" s="37"/>
    </row>
    <row r="772" spans="7:7" ht="14.25" customHeight="1" x14ac:dyDescent="0.2">
      <c r="G772" s="37"/>
    </row>
    <row r="773" spans="7:7" ht="14.25" customHeight="1" x14ac:dyDescent="0.2">
      <c r="G773" s="37"/>
    </row>
    <row r="774" spans="7:7" ht="14.25" customHeight="1" x14ac:dyDescent="0.2">
      <c r="G774" s="37"/>
    </row>
    <row r="775" spans="7:7" ht="14.25" customHeight="1" x14ac:dyDescent="0.2">
      <c r="G775" s="37"/>
    </row>
    <row r="776" spans="7:7" ht="14.25" customHeight="1" x14ac:dyDescent="0.2">
      <c r="G776" s="37"/>
    </row>
    <row r="777" spans="7:7" ht="14.25" customHeight="1" x14ac:dyDescent="0.2">
      <c r="G777" s="37"/>
    </row>
    <row r="778" spans="7:7" ht="14.25" customHeight="1" x14ac:dyDescent="0.2">
      <c r="G778" s="37"/>
    </row>
    <row r="779" spans="7:7" ht="14.25" customHeight="1" x14ac:dyDescent="0.2">
      <c r="G779" s="37"/>
    </row>
    <row r="780" spans="7:7" ht="14.25" customHeight="1" x14ac:dyDescent="0.2">
      <c r="G780" s="37"/>
    </row>
    <row r="781" spans="7:7" ht="14.25" customHeight="1" x14ac:dyDescent="0.2">
      <c r="G781" s="37"/>
    </row>
    <row r="782" spans="7:7" ht="14.25" customHeight="1" x14ac:dyDescent="0.2">
      <c r="G782" s="37"/>
    </row>
    <row r="783" spans="7:7" ht="14.25" customHeight="1" x14ac:dyDescent="0.2">
      <c r="G783" s="37"/>
    </row>
    <row r="784" spans="7:7" ht="14.25" customHeight="1" x14ac:dyDescent="0.2">
      <c r="G784" s="37"/>
    </row>
    <row r="785" spans="7:7" ht="14.25" customHeight="1" x14ac:dyDescent="0.2">
      <c r="G785" s="37"/>
    </row>
    <row r="786" spans="7:7" ht="14.25" customHeight="1" x14ac:dyDescent="0.2">
      <c r="G786" s="37"/>
    </row>
    <row r="787" spans="7:7" ht="14.25" customHeight="1" x14ac:dyDescent="0.2">
      <c r="G787" s="37"/>
    </row>
    <row r="788" spans="7:7" ht="14.25" customHeight="1" x14ac:dyDescent="0.2">
      <c r="G788" s="37"/>
    </row>
    <row r="789" spans="7:7" ht="14.25" customHeight="1" x14ac:dyDescent="0.2">
      <c r="G789" s="37"/>
    </row>
    <row r="790" spans="7:7" ht="14.25" customHeight="1" x14ac:dyDescent="0.2">
      <c r="G790" s="37"/>
    </row>
    <row r="791" spans="7:7" ht="14.25" customHeight="1" x14ac:dyDescent="0.2">
      <c r="G791" s="37"/>
    </row>
    <row r="792" spans="7:7" ht="14.25" customHeight="1" x14ac:dyDescent="0.2">
      <c r="G792" s="37"/>
    </row>
    <row r="793" spans="7:7" ht="14.25" customHeight="1" x14ac:dyDescent="0.2">
      <c r="G793" s="37"/>
    </row>
    <row r="794" spans="7:7" ht="14.25" customHeight="1" x14ac:dyDescent="0.2">
      <c r="G794" s="37"/>
    </row>
    <row r="795" spans="7:7" ht="14.25" customHeight="1" x14ac:dyDescent="0.2">
      <c r="G795" s="37"/>
    </row>
    <row r="796" spans="7:7" ht="14.25" customHeight="1" x14ac:dyDescent="0.2">
      <c r="G796" s="37"/>
    </row>
    <row r="797" spans="7:7" ht="14.25" customHeight="1" x14ac:dyDescent="0.2">
      <c r="G797" s="37"/>
    </row>
    <row r="798" spans="7:7" ht="14.25" customHeight="1" x14ac:dyDescent="0.2">
      <c r="G798" s="37"/>
    </row>
    <row r="799" spans="7:7" ht="14.25" customHeight="1" x14ac:dyDescent="0.2">
      <c r="G799" s="37"/>
    </row>
    <row r="800" spans="7:7" ht="14.25" customHeight="1" x14ac:dyDescent="0.2">
      <c r="G800" s="37"/>
    </row>
    <row r="801" spans="7:7" ht="14.25" customHeight="1" x14ac:dyDescent="0.2">
      <c r="G801" s="37"/>
    </row>
    <row r="802" spans="7:7" ht="14.25" customHeight="1" x14ac:dyDescent="0.2">
      <c r="G802" s="37"/>
    </row>
    <row r="803" spans="7:7" ht="14.25" customHeight="1" x14ac:dyDescent="0.2">
      <c r="G803" s="37"/>
    </row>
    <row r="804" spans="7:7" ht="14.25" customHeight="1" x14ac:dyDescent="0.2">
      <c r="G804" s="37"/>
    </row>
    <row r="805" spans="7:7" ht="14.25" customHeight="1" x14ac:dyDescent="0.2">
      <c r="G805" s="37"/>
    </row>
    <row r="806" spans="7:7" ht="14.25" customHeight="1" x14ac:dyDescent="0.2">
      <c r="G806" s="37"/>
    </row>
    <row r="807" spans="7:7" ht="14.25" customHeight="1" x14ac:dyDescent="0.2">
      <c r="G807" s="37"/>
    </row>
    <row r="808" spans="7:7" ht="14.25" customHeight="1" x14ac:dyDescent="0.2">
      <c r="G808" s="37"/>
    </row>
    <row r="809" spans="7:7" ht="14.25" customHeight="1" x14ac:dyDescent="0.2">
      <c r="G809" s="37"/>
    </row>
    <row r="810" spans="7:7" ht="14.25" customHeight="1" x14ac:dyDescent="0.2">
      <c r="G810" s="37"/>
    </row>
    <row r="811" spans="7:7" ht="14.25" customHeight="1" x14ac:dyDescent="0.2">
      <c r="G811" s="37"/>
    </row>
    <row r="812" spans="7:7" ht="14.25" customHeight="1" x14ac:dyDescent="0.2">
      <c r="G812" s="37"/>
    </row>
    <row r="813" spans="7:7" ht="14.25" customHeight="1" x14ac:dyDescent="0.2">
      <c r="G813" s="37"/>
    </row>
    <row r="814" spans="7:7" ht="14.25" customHeight="1" x14ac:dyDescent="0.2">
      <c r="G814" s="37"/>
    </row>
    <row r="815" spans="7:7" ht="14.25" customHeight="1" x14ac:dyDescent="0.2">
      <c r="G815" s="37"/>
    </row>
    <row r="816" spans="7:7" ht="14.25" customHeight="1" x14ac:dyDescent="0.2">
      <c r="G816" s="37"/>
    </row>
    <row r="817" spans="7:7" ht="14.25" customHeight="1" x14ac:dyDescent="0.2">
      <c r="G817" s="37"/>
    </row>
    <row r="818" spans="7:7" ht="14.25" customHeight="1" x14ac:dyDescent="0.2">
      <c r="G818" s="37"/>
    </row>
    <row r="819" spans="7:7" ht="14.25" customHeight="1" x14ac:dyDescent="0.2">
      <c r="G819" s="37"/>
    </row>
    <row r="820" spans="7:7" ht="14.25" customHeight="1" x14ac:dyDescent="0.2">
      <c r="G820" s="37"/>
    </row>
    <row r="821" spans="7:7" ht="14.25" customHeight="1" x14ac:dyDescent="0.2">
      <c r="G821" s="37"/>
    </row>
    <row r="822" spans="7:7" ht="14.25" customHeight="1" x14ac:dyDescent="0.2">
      <c r="G822" s="37"/>
    </row>
    <row r="823" spans="7:7" ht="14.25" customHeight="1" x14ac:dyDescent="0.2">
      <c r="G823" s="37"/>
    </row>
    <row r="824" spans="7:7" ht="14.25" customHeight="1" x14ac:dyDescent="0.2">
      <c r="G824" s="37"/>
    </row>
    <row r="825" spans="7:7" ht="14.25" customHeight="1" x14ac:dyDescent="0.2">
      <c r="G825" s="37"/>
    </row>
    <row r="826" spans="7:7" ht="14.25" customHeight="1" x14ac:dyDescent="0.2">
      <c r="G826" s="37"/>
    </row>
    <row r="827" spans="7:7" ht="14.25" customHeight="1" x14ac:dyDescent="0.2">
      <c r="G827" s="37"/>
    </row>
    <row r="828" spans="7:7" ht="14.25" customHeight="1" x14ac:dyDescent="0.2">
      <c r="G828" s="37"/>
    </row>
    <row r="829" spans="7:7" ht="14.25" customHeight="1" x14ac:dyDescent="0.2">
      <c r="G829" s="37"/>
    </row>
    <row r="830" spans="7:7" ht="14.25" customHeight="1" x14ac:dyDescent="0.2">
      <c r="G830" s="37"/>
    </row>
    <row r="831" spans="7:7" ht="14.25" customHeight="1" x14ac:dyDescent="0.2">
      <c r="G831" s="37"/>
    </row>
    <row r="832" spans="7:7" ht="14.25" customHeight="1" x14ac:dyDescent="0.2">
      <c r="G832" s="37"/>
    </row>
    <row r="833" spans="7:7" ht="14.25" customHeight="1" x14ac:dyDescent="0.2">
      <c r="G833" s="37"/>
    </row>
    <row r="834" spans="7:7" ht="14.25" customHeight="1" x14ac:dyDescent="0.2">
      <c r="G834" s="37"/>
    </row>
    <row r="835" spans="7:7" ht="14.25" customHeight="1" x14ac:dyDescent="0.2">
      <c r="G835" s="37"/>
    </row>
    <row r="836" spans="7:7" ht="14.25" customHeight="1" x14ac:dyDescent="0.2">
      <c r="G836" s="37"/>
    </row>
    <row r="837" spans="7:7" ht="14.25" customHeight="1" x14ac:dyDescent="0.2">
      <c r="G837" s="37"/>
    </row>
    <row r="838" spans="7:7" ht="14.25" customHeight="1" x14ac:dyDescent="0.2">
      <c r="G838" s="37"/>
    </row>
    <row r="839" spans="7:7" ht="14.25" customHeight="1" x14ac:dyDescent="0.2">
      <c r="G839" s="37"/>
    </row>
    <row r="840" spans="7:7" ht="14.25" customHeight="1" x14ac:dyDescent="0.2">
      <c r="G840" s="37"/>
    </row>
    <row r="841" spans="7:7" ht="14.25" customHeight="1" x14ac:dyDescent="0.2">
      <c r="G841" s="37"/>
    </row>
    <row r="842" spans="7:7" ht="14.25" customHeight="1" x14ac:dyDescent="0.2">
      <c r="G842" s="37"/>
    </row>
    <row r="843" spans="7:7" ht="14.25" customHeight="1" x14ac:dyDescent="0.2">
      <c r="G843" s="37"/>
    </row>
    <row r="844" spans="7:7" ht="14.25" customHeight="1" x14ac:dyDescent="0.2">
      <c r="G844" s="37"/>
    </row>
    <row r="845" spans="7:7" ht="14.25" customHeight="1" x14ac:dyDescent="0.2">
      <c r="G845" s="37"/>
    </row>
    <row r="846" spans="7:7" ht="14.25" customHeight="1" x14ac:dyDescent="0.2">
      <c r="G846" s="37"/>
    </row>
    <row r="847" spans="7:7" ht="14.25" customHeight="1" x14ac:dyDescent="0.2">
      <c r="G847" s="37"/>
    </row>
    <row r="848" spans="7:7" ht="14.25" customHeight="1" x14ac:dyDescent="0.2">
      <c r="G848" s="37"/>
    </row>
    <row r="849" spans="7:7" ht="14.25" customHeight="1" x14ac:dyDescent="0.2">
      <c r="G849" s="37"/>
    </row>
    <row r="850" spans="7:7" ht="14.25" customHeight="1" x14ac:dyDescent="0.2">
      <c r="G850" s="37"/>
    </row>
    <row r="851" spans="7:7" ht="14.25" customHeight="1" x14ac:dyDescent="0.2">
      <c r="G851" s="37"/>
    </row>
    <row r="852" spans="7:7" ht="14.25" customHeight="1" x14ac:dyDescent="0.2">
      <c r="G852" s="37"/>
    </row>
    <row r="853" spans="7:7" ht="14.25" customHeight="1" x14ac:dyDescent="0.2">
      <c r="G853" s="37"/>
    </row>
    <row r="854" spans="7:7" ht="14.25" customHeight="1" x14ac:dyDescent="0.2">
      <c r="G854" s="37"/>
    </row>
    <row r="855" spans="7:7" ht="14.25" customHeight="1" x14ac:dyDescent="0.2">
      <c r="G855" s="37"/>
    </row>
    <row r="856" spans="7:7" ht="14.25" customHeight="1" x14ac:dyDescent="0.2">
      <c r="G856" s="37"/>
    </row>
    <row r="857" spans="7:7" ht="14.25" customHeight="1" x14ac:dyDescent="0.2">
      <c r="G857" s="37"/>
    </row>
    <row r="858" spans="7:7" ht="14.25" customHeight="1" x14ac:dyDescent="0.2">
      <c r="G858" s="37"/>
    </row>
    <row r="859" spans="7:7" ht="14.25" customHeight="1" x14ac:dyDescent="0.2">
      <c r="G859" s="37"/>
    </row>
    <row r="860" spans="7:7" ht="14.25" customHeight="1" x14ac:dyDescent="0.2">
      <c r="G860" s="37"/>
    </row>
    <row r="861" spans="7:7" ht="14.25" customHeight="1" x14ac:dyDescent="0.2">
      <c r="G861" s="37"/>
    </row>
    <row r="862" spans="7:7" ht="14.25" customHeight="1" x14ac:dyDescent="0.2">
      <c r="G862" s="37"/>
    </row>
    <row r="863" spans="7:7" ht="14.25" customHeight="1" x14ac:dyDescent="0.2">
      <c r="G863" s="37"/>
    </row>
    <row r="864" spans="7:7" ht="14.25" customHeight="1" x14ac:dyDescent="0.2">
      <c r="G864" s="37"/>
    </row>
    <row r="865" spans="7:7" ht="14.25" customHeight="1" x14ac:dyDescent="0.2">
      <c r="G865" s="37"/>
    </row>
    <row r="866" spans="7:7" ht="14.25" customHeight="1" x14ac:dyDescent="0.2">
      <c r="G866" s="37"/>
    </row>
    <row r="867" spans="7:7" ht="14.25" customHeight="1" x14ac:dyDescent="0.2">
      <c r="G867" s="37"/>
    </row>
    <row r="868" spans="7:7" ht="14.25" customHeight="1" x14ac:dyDescent="0.2">
      <c r="G868" s="37"/>
    </row>
    <row r="869" spans="7:7" ht="14.25" customHeight="1" x14ac:dyDescent="0.2">
      <c r="G869" s="37"/>
    </row>
    <row r="870" spans="7:7" ht="14.25" customHeight="1" x14ac:dyDescent="0.2">
      <c r="G870" s="37"/>
    </row>
    <row r="871" spans="7:7" ht="14.25" customHeight="1" x14ac:dyDescent="0.2">
      <c r="G871" s="37"/>
    </row>
    <row r="872" spans="7:7" ht="14.25" customHeight="1" x14ac:dyDescent="0.2">
      <c r="G872" s="37"/>
    </row>
    <row r="873" spans="7:7" ht="14.25" customHeight="1" x14ac:dyDescent="0.2">
      <c r="G873" s="37"/>
    </row>
    <row r="874" spans="7:7" ht="14.25" customHeight="1" x14ac:dyDescent="0.2">
      <c r="G874" s="37"/>
    </row>
    <row r="875" spans="7:7" ht="14.25" customHeight="1" x14ac:dyDescent="0.2">
      <c r="G875" s="37"/>
    </row>
    <row r="876" spans="7:7" ht="14.25" customHeight="1" x14ac:dyDescent="0.2">
      <c r="G876" s="37"/>
    </row>
    <row r="877" spans="7:7" ht="14.25" customHeight="1" x14ac:dyDescent="0.2">
      <c r="G877" s="37"/>
    </row>
    <row r="878" spans="7:7" ht="14.25" customHeight="1" x14ac:dyDescent="0.2">
      <c r="G878" s="37"/>
    </row>
    <row r="879" spans="7:7" ht="14.25" customHeight="1" x14ac:dyDescent="0.2">
      <c r="G879" s="37"/>
    </row>
    <row r="880" spans="7:7" ht="14.25" customHeight="1" x14ac:dyDescent="0.2">
      <c r="G880" s="37"/>
    </row>
    <row r="881" spans="7:7" ht="14.25" customHeight="1" x14ac:dyDescent="0.2">
      <c r="G881" s="37"/>
    </row>
    <row r="882" spans="7:7" ht="14.25" customHeight="1" x14ac:dyDescent="0.2">
      <c r="G882" s="37"/>
    </row>
    <row r="883" spans="7:7" ht="14.25" customHeight="1" x14ac:dyDescent="0.2">
      <c r="G883" s="37"/>
    </row>
    <row r="884" spans="7:7" ht="14.25" customHeight="1" x14ac:dyDescent="0.2">
      <c r="G884" s="37"/>
    </row>
    <row r="885" spans="7:7" ht="14.25" customHeight="1" x14ac:dyDescent="0.2">
      <c r="G885" s="37"/>
    </row>
    <row r="886" spans="7:7" ht="14.25" customHeight="1" x14ac:dyDescent="0.2">
      <c r="G886" s="37"/>
    </row>
    <row r="887" spans="7:7" ht="14.25" customHeight="1" x14ac:dyDescent="0.2">
      <c r="G887" s="37"/>
    </row>
    <row r="888" spans="7:7" ht="14.25" customHeight="1" x14ac:dyDescent="0.2">
      <c r="G888" s="37"/>
    </row>
    <row r="889" spans="7:7" ht="14.25" customHeight="1" x14ac:dyDescent="0.2">
      <c r="G889" s="37"/>
    </row>
    <row r="890" spans="7:7" ht="14.25" customHeight="1" x14ac:dyDescent="0.2">
      <c r="G890" s="37"/>
    </row>
    <row r="891" spans="7:7" ht="14.25" customHeight="1" x14ac:dyDescent="0.2">
      <c r="G891" s="37"/>
    </row>
    <row r="892" spans="7:7" ht="14.25" customHeight="1" x14ac:dyDescent="0.2">
      <c r="G892" s="37"/>
    </row>
    <row r="893" spans="7:7" ht="14.25" customHeight="1" x14ac:dyDescent="0.2">
      <c r="G893" s="37"/>
    </row>
    <row r="894" spans="7:7" ht="14.25" customHeight="1" x14ac:dyDescent="0.2">
      <c r="G894" s="37"/>
    </row>
    <row r="895" spans="7:7" ht="14.25" customHeight="1" x14ac:dyDescent="0.2">
      <c r="G895" s="37"/>
    </row>
    <row r="896" spans="7:7" ht="14.25" customHeight="1" x14ac:dyDescent="0.2">
      <c r="G896" s="37"/>
    </row>
    <row r="897" spans="7:7" ht="14.25" customHeight="1" x14ac:dyDescent="0.2">
      <c r="G897" s="37"/>
    </row>
    <row r="898" spans="7:7" ht="14.25" customHeight="1" x14ac:dyDescent="0.2">
      <c r="G898" s="37"/>
    </row>
    <row r="899" spans="7:7" ht="14.25" customHeight="1" x14ac:dyDescent="0.2">
      <c r="G899" s="37"/>
    </row>
    <row r="900" spans="7:7" ht="14.25" customHeight="1" x14ac:dyDescent="0.2">
      <c r="G900" s="37"/>
    </row>
    <row r="901" spans="7:7" ht="14.25" customHeight="1" x14ac:dyDescent="0.2">
      <c r="G901" s="37"/>
    </row>
    <row r="902" spans="7:7" ht="14.25" customHeight="1" x14ac:dyDescent="0.2">
      <c r="G902" s="37"/>
    </row>
    <row r="903" spans="7:7" ht="14.25" customHeight="1" x14ac:dyDescent="0.2">
      <c r="G903" s="37"/>
    </row>
    <row r="904" spans="7:7" ht="14.25" customHeight="1" x14ac:dyDescent="0.2">
      <c r="G904" s="37"/>
    </row>
    <row r="905" spans="7:7" ht="14.25" customHeight="1" x14ac:dyDescent="0.2">
      <c r="G905" s="37"/>
    </row>
    <row r="906" spans="7:7" ht="14.25" customHeight="1" x14ac:dyDescent="0.2">
      <c r="G906" s="37"/>
    </row>
    <row r="907" spans="7:7" ht="14.25" customHeight="1" x14ac:dyDescent="0.2">
      <c r="G907" s="37"/>
    </row>
    <row r="908" spans="7:7" ht="14.25" customHeight="1" x14ac:dyDescent="0.2">
      <c r="G908" s="37"/>
    </row>
    <row r="909" spans="7:7" ht="14.25" customHeight="1" x14ac:dyDescent="0.2">
      <c r="G909" s="37"/>
    </row>
    <row r="910" spans="7:7" ht="14.25" customHeight="1" x14ac:dyDescent="0.2">
      <c r="G910" s="37"/>
    </row>
    <row r="911" spans="7:7" ht="14.25" customHeight="1" x14ac:dyDescent="0.2">
      <c r="G911" s="37"/>
    </row>
    <row r="912" spans="7:7" ht="14.25" customHeight="1" x14ac:dyDescent="0.2">
      <c r="G912" s="37"/>
    </row>
    <row r="913" spans="7:7" ht="14.25" customHeight="1" x14ac:dyDescent="0.2">
      <c r="G913" s="37"/>
    </row>
    <row r="914" spans="7:7" ht="14.25" customHeight="1" x14ac:dyDescent="0.2">
      <c r="G914" s="37"/>
    </row>
    <row r="915" spans="7:7" ht="14.25" customHeight="1" x14ac:dyDescent="0.2">
      <c r="G915" s="37"/>
    </row>
    <row r="916" spans="7:7" ht="14.25" customHeight="1" x14ac:dyDescent="0.2">
      <c r="G916" s="37"/>
    </row>
    <row r="917" spans="7:7" ht="14.25" customHeight="1" x14ac:dyDescent="0.2">
      <c r="G917" s="37"/>
    </row>
    <row r="918" spans="7:7" ht="14.25" customHeight="1" x14ac:dyDescent="0.2">
      <c r="G918" s="37"/>
    </row>
    <row r="919" spans="7:7" ht="14.25" customHeight="1" x14ac:dyDescent="0.2">
      <c r="G919" s="37"/>
    </row>
    <row r="920" spans="7:7" ht="14.25" customHeight="1" x14ac:dyDescent="0.2">
      <c r="G920" s="37"/>
    </row>
    <row r="921" spans="7:7" ht="14.25" customHeight="1" x14ac:dyDescent="0.2">
      <c r="G921" s="37"/>
    </row>
    <row r="922" spans="7:7" ht="14.25" customHeight="1" x14ac:dyDescent="0.2">
      <c r="G922" s="37"/>
    </row>
    <row r="923" spans="7:7" ht="14.25" customHeight="1" x14ac:dyDescent="0.2">
      <c r="G923" s="37"/>
    </row>
    <row r="924" spans="7:7" ht="14.25" customHeight="1" x14ac:dyDescent="0.2">
      <c r="G924" s="37"/>
    </row>
    <row r="925" spans="7:7" ht="14.25" customHeight="1" x14ac:dyDescent="0.2">
      <c r="G925" s="37"/>
    </row>
    <row r="926" spans="7:7" ht="14.25" customHeight="1" x14ac:dyDescent="0.2">
      <c r="G926" s="37"/>
    </row>
    <row r="927" spans="7:7" ht="14.25" customHeight="1" x14ac:dyDescent="0.2">
      <c r="G927" s="37"/>
    </row>
    <row r="928" spans="7:7" ht="14.25" customHeight="1" x14ac:dyDescent="0.2">
      <c r="G928" s="37"/>
    </row>
    <row r="929" spans="7:7" ht="14.25" customHeight="1" x14ac:dyDescent="0.2">
      <c r="G929" s="37"/>
    </row>
    <row r="930" spans="7:7" ht="14.25" customHeight="1" x14ac:dyDescent="0.2">
      <c r="G930" s="37"/>
    </row>
    <row r="931" spans="7:7" ht="14.25" customHeight="1" x14ac:dyDescent="0.2">
      <c r="G931" s="37"/>
    </row>
    <row r="932" spans="7:7" ht="14.25" customHeight="1" x14ac:dyDescent="0.2">
      <c r="G932" s="37"/>
    </row>
    <row r="933" spans="7:7" ht="14.25" customHeight="1" x14ac:dyDescent="0.2">
      <c r="G933" s="37"/>
    </row>
    <row r="934" spans="7:7" ht="14.25" customHeight="1" x14ac:dyDescent="0.2">
      <c r="G934" s="37"/>
    </row>
    <row r="935" spans="7:7" ht="14.25" customHeight="1" x14ac:dyDescent="0.2">
      <c r="G935" s="37"/>
    </row>
    <row r="936" spans="7:7" ht="14.25" customHeight="1" x14ac:dyDescent="0.2">
      <c r="G936" s="37"/>
    </row>
    <row r="937" spans="7:7" ht="14.25" customHeight="1" x14ac:dyDescent="0.2">
      <c r="G937" s="37"/>
    </row>
    <row r="938" spans="7:7" ht="14.25" customHeight="1" x14ac:dyDescent="0.2">
      <c r="G938" s="37"/>
    </row>
    <row r="939" spans="7:7" ht="14.25" customHeight="1" x14ac:dyDescent="0.2">
      <c r="G939" s="37"/>
    </row>
    <row r="940" spans="7:7" ht="14.25" customHeight="1" x14ac:dyDescent="0.2">
      <c r="G940" s="37"/>
    </row>
    <row r="941" spans="7:7" ht="14.25" customHeight="1" x14ac:dyDescent="0.2">
      <c r="G941" s="37"/>
    </row>
    <row r="942" spans="7:7" ht="14.25" customHeight="1" x14ac:dyDescent="0.2">
      <c r="G942" s="37"/>
    </row>
    <row r="943" spans="7:7" ht="14.25" customHeight="1" x14ac:dyDescent="0.2">
      <c r="G943" s="37"/>
    </row>
    <row r="944" spans="7:7" ht="14.25" customHeight="1" x14ac:dyDescent="0.2">
      <c r="G944" s="37"/>
    </row>
    <row r="945" spans="7:7" ht="14.25" customHeight="1" x14ac:dyDescent="0.2">
      <c r="G945" s="37"/>
    </row>
    <row r="946" spans="7:7" ht="14.25" customHeight="1" x14ac:dyDescent="0.2">
      <c r="G946" s="37"/>
    </row>
    <row r="947" spans="7:7" ht="14.25" customHeight="1" x14ac:dyDescent="0.2">
      <c r="G947" s="37"/>
    </row>
    <row r="948" spans="7:7" ht="14.25" customHeight="1" x14ac:dyDescent="0.2">
      <c r="G948" s="37"/>
    </row>
    <row r="949" spans="7:7" ht="14.25" customHeight="1" x14ac:dyDescent="0.2">
      <c r="G949" s="37"/>
    </row>
    <row r="950" spans="7:7" ht="14.25" customHeight="1" x14ac:dyDescent="0.2">
      <c r="G950" s="37"/>
    </row>
    <row r="951" spans="7:7" ht="14.25" customHeight="1" x14ac:dyDescent="0.2">
      <c r="G951" s="37"/>
    </row>
    <row r="952" spans="7:7" ht="14.25" customHeight="1" x14ac:dyDescent="0.2">
      <c r="G952" s="37"/>
    </row>
    <row r="953" spans="7:7" ht="14.25" customHeight="1" x14ac:dyDescent="0.2">
      <c r="G953" s="37"/>
    </row>
    <row r="954" spans="7:7" ht="14.25" customHeight="1" x14ac:dyDescent="0.2">
      <c r="G954" s="37"/>
    </row>
    <row r="955" spans="7:7" ht="14.25" customHeight="1" x14ac:dyDescent="0.2">
      <c r="G955" s="37"/>
    </row>
    <row r="956" spans="7:7" ht="14.25" customHeight="1" x14ac:dyDescent="0.2">
      <c r="G956" s="37"/>
    </row>
    <row r="957" spans="7:7" ht="14.25" customHeight="1" x14ac:dyDescent="0.2">
      <c r="G957" s="37"/>
    </row>
    <row r="958" spans="7:7" ht="14.25" customHeight="1" x14ac:dyDescent="0.2">
      <c r="G958" s="37"/>
    </row>
    <row r="959" spans="7:7" ht="14.25" customHeight="1" x14ac:dyDescent="0.2">
      <c r="G959" s="37"/>
    </row>
    <row r="960" spans="7:7" ht="14.25" customHeight="1" x14ac:dyDescent="0.2">
      <c r="G960" s="37"/>
    </row>
    <row r="961" spans="7:7" ht="14.25" customHeight="1" x14ac:dyDescent="0.2">
      <c r="G961" s="37"/>
    </row>
    <row r="962" spans="7:7" ht="14.25" customHeight="1" x14ac:dyDescent="0.2">
      <c r="G962" s="37"/>
    </row>
    <row r="963" spans="7:7" ht="14.25" customHeight="1" x14ac:dyDescent="0.2">
      <c r="G963" s="37"/>
    </row>
    <row r="964" spans="7:7" ht="14.25" customHeight="1" x14ac:dyDescent="0.2">
      <c r="G964" s="37"/>
    </row>
    <row r="965" spans="7:7" ht="14.25" customHeight="1" x14ac:dyDescent="0.2">
      <c r="G965" s="37"/>
    </row>
    <row r="966" spans="7:7" ht="14.25" customHeight="1" x14ac:dyDescent="0.2">
      <c r="G966" s="37"/>
    </row>
    <row r="967" spans="7:7" ht="14.25" customHeight="1" x14ac:dyDescent="0.2">
      <c r="G967" s="37"/>
    </row>
  </sheetData>
  <mergeCells count="20">
    <mergeCell ref="B17:E18"/>
    <mergeCell ref="B434:D434"/>
    <mergeCell ref="G12:I12"/>
    <mergeCell ref="G13:I14"/>
    <mergeCell ref="L12:M12"/>
    <mergeCell ref="G434:I434"/>
    <mergeCell ref="L434:M434"/>
    <mergeCell ref="L13:N14"/>
    <mergeCell ref="G1:N2"/>
    <mergeCell ref="G4:K5"/>
    <mergeCell ref="G6:K8"/>
    <mergeCell ref="G9:H9"/>
    <mergeCell ref="H10:I10"/>
    <mergeCell ref="J440:K440"/>
    <mergeCell ref="J436:L437"/>
    <mergeCell ref="J441:K441"/>
    <mergeCell ref="G17:J18"/>
    <mergeCell ref="L17:N18"/>
    <mergeCell ref="J438:K438"/>
    <mergeCell ref="J439:K439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2025-12-16T11:30:58Z</cp:lastPrinted>
  <dcterms:created xsi:type="dcterms:W3CDTF">2022-11-06T06:53:44Z</dcterms:created>
  <dcterms:modified xsi:type="dcterms:W3CDTF">2025-12-16T11:31:07Z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
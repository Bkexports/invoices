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9 BK049 March 25-26 AA Stone Investment Trading Company (VK)(Nam vu) Absolute Long (RJSL) (M)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F28" i="3" l="1"/>
  <c r="H28" i="3"/>
  <c r="Q20" i="5" l="1"/>
  <c r="Q19" i="5"/>
  <c r="O25" i="5" l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<sst xmlns="http://schemas.openxmlformats.org/spreadsheetml/2006/main" count="208" uniqueCount="169">
  <si>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</si>
  <si>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</si>
  <si>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</si>
  <si>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</si>
  <si>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</si>
  <si>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</si>
  <si>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</si>
  <si>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</si>
  <si>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</si>
  <si>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</si>
  <si>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</si>
  <si>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</si>
  <si>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</si>
  <si>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</si>
  <si>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</si>
  <si>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</si>
  <si>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</si>
  <si>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</si>
  <si>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</si>
  <si>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</si>
  <si>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</si>
  <si>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</si>
  <si>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</si>
  <si>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</si>
  <si>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</si>
  <si>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</si>
  <si>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</si>
  <si>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</si>
  <si>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</si>
  <si>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</si>
  <si>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</si>
  <si>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</si>
  <si>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</si>
  <si>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</si>
  <si>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</si>
  <si>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</si>
  <si>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</si>
  <si>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</si>
  <si>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</si>
  <si>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</si>
  <si>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</si>
  <si>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</si>
  <si>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</si>
  <si>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</si>
  <si>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</si>
  <si>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</si>
  <si>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</si>
  <si>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</si>
  <si>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</si>
  <si>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</si>
  <si>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</si>
  <si>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</si>
  <si>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</si>
  <si>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</si>
  <si>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</si>
  <si>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</si>
  <si>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</si>
  <si>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</si>
  <si>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</si>
  <si>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</si>
  <si>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</si>
  <si>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</si>
  <si>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</si>
  <si>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</si>
  <si>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</si>
  <si>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</si>
  <si>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</si>
  <si>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</si>
  <si>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</si>
  <si>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</si>
  <si>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</si>
  <si>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</si>
  <si>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</si>
  <si>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</si>
  <si>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</si>
  <si>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</si>
  <si>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</si>
  <si>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</si>
  <si>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</si>
  <si>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</si>
  <si>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</si>
  <si>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</si>
  <si>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</si>
  <si>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</si>
  <si>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</si>
  <si>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</si>
  <si>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</si>
  <si>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</si>
  <si>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</si>
  <si>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</si>
  <si>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</si>
  <si>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</si>
  <si>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</si>
  <si>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</si>
  <si>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</si>
  <si>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</si>
  <si>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</si>
  <si>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</si>
  <si>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</si>
  <si>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</si>
  <si>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</si>
  <si>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</si>
  <si>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</si>
  <si>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</si>
  <si>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</si>
  <si>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</si>
  <si>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</si>
  <si>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</si>
  <si>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</si>
  <si>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</si>
  <si>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</si>
  <si>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</si>
  <si>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</si>
  <si>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</si>
  <si>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</si>
  <si>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</si>
  <si>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</si>
  <si>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</si>
  <si>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</si>
  <si>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</si>
  <si>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</si>
  <si>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</si>
  <si>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</si>
  <si>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</si>
  <si>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</si>
  <si>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</si>
  <si>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</si>
  <si>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</si>
  <si>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</si>
  <si>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</si>
  <si>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</si>
  <si>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</si>
  <si>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</si>
  <si>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</si>
  <si>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</si>
  <si>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</si>
  <si>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</si>
  <si>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</si>
  <si>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</si>
  <si>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</si>
  <si>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</si>
  <si>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</si>
  <si>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</si>
  <si>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</si>
  <si>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</si>
  <si>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</si>
  <si>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</si>
  <si>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</si>
  <si>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</si>
  <si>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</si>
  <si>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</si>
  <si>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</si>
  <si>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</si>
  <si>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</si>
  <si>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</si>
  <si>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</si>
  <si>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</si>
  <si>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</si>
  <si>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</si>
  <si>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 xml:space="preserve"> A-A STONE INVESTMENT TRADING COMPANY 
LIMITED
 34/5 TRAN KHANH DU STREET, TAN DINH WARD, 
HOCHIMINH CITY, VIETNAM
 TAX:0317458134
 MAIL: AASTONEDOCS@GMAIL.COM</t>
  </si>
  <si>
    <t>DA NANG</t>
  </si>
  <si>
    <t>90UP</t>
  </si>
  <si>
    <t>SRI EKALAVYA GRANITES</t>
  </si>
  <si>
    <t>GST 0.1%</t>
  </si>
  <si>
    <t>Sy .NO 133/AA, 133/AA2, 133/E1, 133/E2 &amp; 133/E3
GURRALAPADU VILLAGE, KHAMMAM RURAL MANDAL KHAMMAM DIST, TELANGANA, CODE: 36
Mudigonda, Khammam.
GST: 36ABWFS8722N1Z3</t>
  </si>
  <si>
    <t>BANK DETAILS: 
ACCOUNT NAME : B K  EXPORTS
BANK NAME : BANK OF BARODA
ACCOUNT NUMBER : 14970400000500
SWIFT CODE : BARBINBBVAT
IFSC CODE : BARB0MANEAS (fifth digit zero)
BRANCH : MANINAGAR (EAST)</t>
  </si>
  <si>
    <t>49</t>
  </si>
  <si>
    <t>NYKU3715922</t>
  </si>
  <si>
    <t>PO049/25-26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</si>
</sst>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8" fillId="0" borderId="4" xfId="0" applyFont="1" applyBorder="1"/>
    <xf numFmtId="0" fontId="11" fillId="0" borderId="5" xfId="0" applyFont="1" applyBorder="1" applyAlignment="1">
      <alignment horizontal="center"/>
    </xf>
    <xf numFmtId="0" fontId="8" fillId="0" borderId="6" xfId="0" applyFont="1" applyBorder="1"/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8" fillId="0" borderId="7" xfId="0" applyFont="1" applyBorder="1"/>
    <xf numFmtId="0" fontId="8" fillId="0" borderId="8" xfId="0" applyFont="1" applyBorder="1"/>
    <xf numFmtId="0" fontId="12" fillId="0" borderId="5" xfId="0" applyFont="1" applyBorder="1" applyAlignment="1">
      <alignment horizontal="center" vertical="center"/>
    </xf>
    <xf numFmtId="0" fontId="8" fillId="0" borderId="1" xfId="0" applyFont="1" applyBorder="1"/>
    <xf numFmtId="0" fontId="4" fillId="0" borderId="5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143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144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6"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143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BK049/25-26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46094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7" t="s">
        <v>21</v>
      </c>
      <c r="B7" s="89" t="s">
        <v>159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8"/>
      <c r="B8" s="8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8"/>
      <c r="B9" s="8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8"/>
      <c r="B10" s="8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8"/>
      <c r="B11" s="8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8"/>
      <c r="B12" s="8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151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160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160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147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212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449.95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workbookViewId="0">
      <selection activeCell="M34" sqref="M34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8" t="s">
        <v>37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</row>
    <row r="3" spans="1:10" x14ac:dyDescent="0.25">
      <c r="A3" s="16" t="s">
        <v>38</v>
      </c>
      <c r="B3" s="17"/>
      <c r="C3" s="17"/>
      <c r="D3" s="18"/>
      <c r="E3" s="94" t="s">
        <v>39</v>
      </c>
      <c r="F3" s="95"/>
      <c r="G3" s="91"/>
      <c r="H3" s="94" t="s">
        <v>40</v>
      </c>
      <c r="I3" s="95"/>
      <c r="J3" s="91"/>
    </row>
    <row r="4" spans="1:10" x14ac:dyDescent="0.25">
      <c r="A4" s="19" t="s">
        <v>41</v>
      </c>
      <c r="B4" s="4"/>
      <c r="C4" s="4"/>
      <c r="D4" s="20"/>
      <c r="E4" s="119" t="str">
        <f>'input data'!B3</f>
        <v>BK049/25-26</v>
      </c>
      <c r="F4" s="101"/>
      <c r="G4" s="99"/>
      <c r="H4" s="120">
        <f>'input data'!B4</f>
        <v>46094</v>
      </c>
      <c r="I4" s="121"/>
      <c r="J4" s="122"/>
    </row>
    <row r="5" spans="1:10" x14ac:dyDescent="0.25">
      <c r="A5" s="21" t="s">
        <v>42</v>
      </c>
      <c r="B5" s="4"/>
      <c r="C5" s="4"/>
      <c r="D5" s="20"/>
      <c r="E5" s="94" t="s">
        <v>43</v>
      </c>
      <c r="F5" s="95"/>
      <c r="G5" s="91"/>
      <c r="H5" s="94" t="s">
        <v>44</v>
      </c>
      <c r="I5" s="95"/>
      <c r="J5" s="91"/>
    </row>
    <row r="6" spans="1:10" x14ac:dyDescent="0.25">
      <c r="A6" s="21" t="s">
        <v>45</v>
      </c>
      <c r="B6" s="4"/>
      <c r="C6" s="4"/>
      <c r="D6" s="20"/>
      <c r="E6" s="115"/>
      <c r="F6" s="101"/>
      <c r="G6" s="99"/>
      <c r="H6" s="116" t="str">
        <f>'input data'!B5</f>
        <v>AD2403250650768</v>
      </c>
      <c r="I6" s="101"/>
      <c r="J6" s="99"/>
    </row>
    <row r="7" spans="1:10" x14ac:dyDescent="0.25">
      <c r="A7" s="21" t="s">
        <v>46</v>
      </c>
      <c r="B7" s="4"/>
      <c r="C7" s="4"/>
      <c r="D7" s="20"/>
      <c r="E7" s="94" t="s">
        <v>47</v>
      </c>
      <c r="F7" s="95"/>
      <c r="G7" s="91"/>
      <c r="H7" s="94" t="s">
        <v>48</v>
      </c>
      <c r="I7" s="95"/>
      <c r="J7" s="91"/>
    </row>
    <row r="8" spans="1:10" x14ac:dyDescent="0.25">
      <c r="A8" s="19" t="s">
        <v>49</v>
      </c>
      <c r="B8" s="4"/>
      <c r="C8" s="4"/>
      <c r="D8" s="20"/>
      <c r="E8" s="115" t="s">
        <v>50</v>
      </c>
      <c r="F8" s="101"/>
      <c r="G8" s="99"/>
      <c r="H8" s="117" t="s">
        <v>51</v>
      </c>
      <c r="I8" s="101"/>
      <c r="J8" s="99"/>
    </row>
    <row r="9" spans="1:10" x14ac:dyDescent="0.25">
      <c r="A9" s="22" t="s">
        <v>52</v>
      </c>
      <c r="B9" s="4"/>
      <c r="C9" s="4"/>
      <c r="D9" s="20"/>
      <c r="E9" s="94" t="s">
        <v>53</v>
      </c>
      <c r="F9" s="95"/>
      <c r="G9" s="91"/>
      <c r="H9" s="94" t="s">
        <v>54</v>
      </c>
      <c r="I9" s="95"/>
      <c r="J9" s="91"/>
    </row>
    <row r="10" spans="1:10" x14ac:dyDescent="0.25">
      <c r="A10" s="22" t="s">
        <v>55</v>
      </c>
      <c r="B10" s="4"/>
      <c r="C10" s="4"/>
      <c r="D10" s="20"/>
      <c r="E10" s="114" t="str">
        <f>'input data'!B14</f>
        <v>Loose packing</v>
      </c>
      <c r="F10" s="88"/>
      <c r="G10" s="93"/>
      <c r="H10" s="114" t="str">
        <f>'input data'!B13 &amp; " " &amp; 'input data'!B15</f>
        <v>1 FCL</v>
      </c>
      <c r="I10" s="88"/>
      <c r="J10" s="93"/>
    </row>
    <row r="11" spans="1:10" x14ac:dyDescent="0.25">
      <c r="A11" s="111" t="s">
        <v>56</v>
      </c>
      <c r="B11" s="95"/>
      <c r="C11" s="95"/>
      <c r="D11" s="91"/>
      <c r="E11" s="112" t="s">
        <v>57</v>
      </c>
      <c r="F11" s="104"/>
      <c r="G11" s="105"/>
      <c r="H11" s="103" t="s">
        <v>58</v>
      </c>
      <c r="I11" s="104"/>
      <c r="J11" s="105"/>
    </row>
    <row r="12" spans="1:10" ht="15" customHeight="1" x14ac:dyDescent="0.25">
      <c r="A12" s="109" t="str">
        <f>'input data'!B6</f>
        <v>To the Order</v>
      </c>
      <c r="B12" s="88"/>
      <c r="C12" s="88"/>
      <c r="D12" s="93"/>
      <c r="E12" s="110" t="str">
        <f>'input data'!B16</f>
        <v>CNF</v>
      </c>
      <c r="F12" s="88"/>
      <c r="G12" s="93"/>
      <c r="H12" s="106" t="str">
        <f>'input data'!B17</f>
        <v>100% Against Documents</v>
      </c>
      <c r="I12" s="88"/>
      <c r="J12" s="93"/>
    </row>
    <row r="13" spans="1:10" x14ac:dyDescent="0.25">
      <c r="A13" s="19"/>
      <c r="B13" s="4"/>
      <c r="C13" s="4"/>
      <c r="D13" s="20"/>
      <c r="E13" s="98"/>
      <c r="F13" s="101"/>
      <c r="G13" s="99"/>
      <c r="H13" s="101"/>
      <c r="I13" s="101"/>
      <c r="J13" s="99"/>
    </row>
    <row r="14" spans="1:10" x14ac:dyDescent="0.25">
      <c r="A14" s="16" t="s">
        <v>59</v>
      </c>
      <c r="B14" s="17"/>
      <c r="C14" s="17"/>
      <c r="D14" s="18"/>
      <c r="E14" s="107" t="s">
        <v>165</v>
      </c>
      <c r="F14" s="95"/>
      <c r="G14" s="95"/>
      <c r="H14" s="95"/>
      <c r="I14" s="95"/>
      <c r="J14" s="91"/>
    </row>
    <row r="15" spans="1:10" x14ac:dyDescent="0.25">
      <c r="A15" s="113" t="str">
        <f>'input data'!B7</f>
        <v xml:space="preserve"> A-A STONE INVESTMENT TRADING COMPANY 
LIMITED
 34/5 TRAN KHANH DU STREET, TAN DINH WARD, 
HOCHIMINH CITY, VIETNAM
 TAX:0317458134
 MAIL: AASTONEDOCS@GMAIL.COM</v>
      </c>
      <c r="B15" s="88"/>
      <c r="C15" s="88"/>
      <c r="D15" s="93"/>
      <c r="E15" s="108"/>
      <c r="F15" s="88"/>
      <c r="G15" s="88"/>
      <c r="H15" s="88"/>
      <c r="I15" s="88"/>
      <c r="J15" s="93"/>
    </row>
    <row r="16" spans="1:10" x14ac:dyDescent="0.25">
      <c r="A16" s="108"/>
      <c r="B16" s="88"/>
      <c r="C16" s="88"/>
      <c r="D16" s="93"/>
      <c r="E16" s="108"/>
      <c r="F16" s="88"/>
      <c r="G16" s="88"/>
      <c r="H16" s="88"/>
      <c r="I16" s="88"/>
      <c r="J16" s="93"/>
    </row>
    <row r="17" spans="1:15" x14ac:dyDescent="0.25">
      <c r="A17" s="108"/>
      <c r="B17" s="88"/>
      <c r="C17" s="88"/>
      <c r="D17" s="93"/>
      <c r="E17" s="108"/>
      <c r="F17" s="88"/>
      <c r="G17" s="88"/>
      <c r="H17" s="88"/>
      <c r="I17" s="88"/>
      <c r="J17" s="93"/>
    </row>
    <row r="18" spans="1:15" x14ac:dyDescent="0.25">
      <c r="A18" s="108"/>
      <c r="B18" s="88"/>
      <c r="C18" s="88"/>
      <c r="D18" s="93"/>
      <c r="E18" s="108"/>
      <c r="F18" s="88"/>
      <c r="G18" s="88"/>
      <c r="H18" s="88"/>
      <c r="I18" s="88"/>
      <c r="J18" s="93"/>
    </row>
    <row r="19" spans="1:15" x14ac:dyDescent="0.25">
      <c r="A19" s="108"/>
      <c r="B19" s="88"/>
      <c r="C19" s="88"/>
      <c r="D19" s="93"/>
      <c r="E19" s="108"/>
      <c r="F19" s="88"/>
      <c r="G19" s="88"/>
      <c r="H19" s="88"/>
      <c r="I19" s="88"/>
      <c r="J19" s="93"/>
    </row>
    <row r="20" spans="1:15" ht="48" customHeight="1" x14ac:dyDescent="0.25">
      <c r="A20" s="98"/>
      <c r="B20" s="101"/>
      <c r="C20" s="101"/>
      <c r="D20" s="99"/>
      <c r="E20" s="98"/>
      <c r="F20" s="101"/>
      <c r="G20" s="101"/>
      <c r="H20" s="101"/>
      <c r="I20" s="101"/>
      <c r="J20" s="99"/>
    </row>
    <row r="21" spans="1:15" ht="15.75" customHeight="1" x14ac:dyDescent="0.25">
      <c r="A21" s="90" t="s">
        <v>60</v>
      </c>
      <c r="B21" s="91"/>
      <c r="C21" s="90" t="s">
        <v>28</v>
      </c>
      <c r="D21" s="91"/>
      <c r="E21" s="90" t="s">
        <v>61</v>
      </c>
      <c r="F21" s="95"/>
      <c r="G21" s="91"/>
      <c r="H21" s="90" t="s">
        <v>32</v>
      </c>
      <c r="I21" s="95"/>
      <c r="J21" s="91"/>
    </row>
    <row r="22" spans="1:15" ht="14.25" customHeight="1" x14ac:dyDescent="0.25">
      <c r="A22" s="92" t="s">
        <v>62</v>
      </c>
      <c r="B22" s="93"/>
      <c r="C22" s="97" t="str">
        <f>'input data'!B19</f>
        <v>CHENNAI</v>
      </c>
      <c r="D22" s="93"/>
      <c r="E22" s="100" t="s">
        <v>63</v>
      </c>
      <c r="F22" s="88"/>
      <c r="G22" s="93"/>
      <c r="H22" s="100" t="str">
        <f>'input data'!B23</f>
        <v>VIETNAM</v>
      </c>
      <c r="I22" s="88"/>
      <c r="J22" s="93"/>
    </row>
    <row r="23" spans="1:15" ht="15" customHeight="1" x14ac:dyDescent="0.25">
      <c r="A23" s="102"/>
      <c r="B23" s="93"/>
      <c r="C23" s="98"/>
      <c r="D23" s="99"/>
      <c r="E23" s="98"/>
      <c r="F23" s="101"/>
      <c r="G23" s="99"/>
      <c r="H23" s="98"/>
      <c r="I23" s="101"/>
      <c r="J23" s="99"/>
    </row>
    <row r="24" spans="1:15" ht="15.75" customHeight="1" x14ac:dyDescent="0.25">
      <c r="A24" s="94" t="s">
        <v>64</v>
      </c>
      <c r="B24" s="91"/>
      <c r="C24" s="96" t="s">
        <v>29</v>
      </c>
      <c r="D24" s="91"/>
      <c r="E24" s="94" t="s">
        <v>30</v>
      </c>
      <c r="F24" s="95"/>
      <c r="G24" s="91"/>
      <c r="H24" s="96" t="s">
        <v>31</v>
      </c>
      <c r="I24" s="95"/>
      <c r="J24" s="91"/>
    </row>
    <row r="25" spans="1:15" ht="15.75" customHeight="1" x14ac:dyDescent="0.25">
      <c r="A25" s="115"/>
      <c r="B25" s="99"/>
      <c r="C25" s="117" t="str">
        <f>'input data'!B20</f>
        <v>CHENNAI</v>
      </c>
      <c r="D25" s="99"/>
      <c r="E25" s="117" t="str">
        <f>'input data'!B21</f>
        <v>DA NANG</v>
      </c>
      <c r="F25" s="101"/>
      <c r="G25" s="99"/>
      <c r="H25" s="117" t="str">
        <f>'input data'!B22</f>
        <v>DA NANG</v>
      </c>
      <c r="I25" s="101"/>
      <c r="J25" s="99"/>
    </row>
    <row r="26" spans="1:15" ht="15.75" customHeight="1" x14ac:dyDescent="0.25">
      <c r="A26" s="136" t="s">
        <v>65</v>
      </c>
      <c r="B26" s="138" t="s">
        <v>66</v>
      </c>
      <c r="C26" s="95"/>
      <c r="D26" s="91"/>
      <c r="E26" s="136" t="s">
        <v>67</v>
      </c>
      <c r="F26" s="94" t="s">
        <v>68</v>
      </c>
      <c r="G26" s="91"/>
      <c r="H26" s="25" t="s">
        <v>36</v>
      </c>
      <c r="I26" s="94" t="s">
        <v>69</v>
      </c>
      <c r="J26" s="91"/>
    </row>
    <row r="27" spans="1:15" ht="15.75" customHeight="1" thickBot="1" x14ac:dyDescent="0.3">
      <c r="A27" s="137"/>
      <c r="B27" s="108"/>
      <c r="C27" s="88"/>
      <c r="D27" s="93"/>
      <c r="E27" s="137"/>
      <c r="F27" s="117" t="s">
        <v>70</v>
      </c>
      <c r="G27" s="99"/>
      <c r="H27" s="76" t="s">
        <v>70</v>
      </c>
      <c r="I27" s="117" t="s">
        <v>71</v>
      </c>
      <c r="J27" s="99"/>
    </row>
    <row r="28" spans="1:15" ht="15.75" customHeight="1" thickBot="1" x14ac:dyDescent="0.3">
      <c r="A28" s="27">
        <v>1</v>
      </c>
      <c r="B28" s="124" t="str">
        <f>'input data'!B18</f>
        <v>NATURAL POLISHED GRANITE SLABS</v>
      </c>
      <c r="C28" s="104"/>
      <c r="D28" s="105"/>
      <c r="E28" s="28">
        <v>68022390</v>
      </c>
      <c r="F28" s="125">
        <f>'input data'!B26</f>
        <v>449.95</v>
      </c>
      <c r="G28" s="104"/>
      <c r="H28" s="74">
        <f>'input data'!B27</f>
        <v>22.8</v>
      </c>
      <c r="I28" s="133">
        <f>H28*F28</f>
        <v>10258.86</v>
      </c>
      <c r="J28" s="105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72</v>
      </c>
      <c r="E29" s="4" t="s">
        <v>73</v>
      </c>
      <c r="F29" s="4"/>
      <c r="G29" s="69"/>
      <c r="H29" s="134" t="s">
        <v>150</v>
      </c>
      <c r="I29" s="69"/>
      <c r="J29" s="20"/>
    </row>
    <row r="30" spans="1:15" ht="15.75" customHeight="1" x14ac:dyDescent="0.25">
      <c r="A30" s="114" t="str">
        <f>UPPER('input data'!B24)</f>
        <v>NYKU3715922</v>
      </c>
      <c r="B30" s="88"/>
      <c r="C30" s="3">
        <f>'input data'!B25</f>
        <v>212</v>
      </c>
      <c r="D30" s="4" t="s">
        <v>74</v>
      </c>
      <c r="E30" s="4" t="s">
        <v>75</v>
      </c>
      <c r="F30" s="4"/>
      <c r="G30" s="69"/>
      <c r="H30" s="134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26"/>
      <c r="G31" s="127"/>
      <c r="H31" s="134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35"/>
      <c r="I32" s="131"/>
      <c r="J32" s="132"/>
    </row>
    <row r="33" spans="1:10" ht="15.75" customHeight="1" x14ac:dyDescent="0.25">
      <c r="A33" s="16" t="s">
        <v>76</v>
      </c>
      <c r="B33" s="17"/>
      <c r="C33" s="17"/>
      <c r="D33" s="17"/>
      <c r="E33" s="17"/>
      <c r="F33" s="17"/>
      <c r="G33" s="17"/>
      <c r="H33" s="71"/>
      <c r="I33" s="130">
        <f>SUM(I28:J32)</f>
        <v>10258.86</v>
      </c>
      <c r="J33" s="91"/>
    </row>
    <row r="34" spans="1:10" ht="15.75" customHeight="1" thickBot="1" x14ac:dyDescent="0.3">
      <c r="A34" s="33" t="str">
        <f>SpellNumberUSD(I33)</f>
        <v>Ten Thousand Two Hundred Fifty Eight Dollars and Eighty Six Cents</v>
      </c>
      <c r="B34" s="32"/>
      <c r="C34" s="32"/>
      <c r="D34" s="32"/>
      <c r="E34" s="32"/>
      <c r="F34" s="32"/>
      <c r="G34" s="32"/>
      <c r="H34" s="29"/>
      <c r="I34" s="98"/>
      <c r="J34" s="99"/>
    </row>
    <row r="35" spans="1:10" ht="15.75" customHeight="1" x14ac:dyDescent="0.25">
      <c r="A35" s="128" t="s">
        <v>77</v>
      </c>
      <c r="B35" s="95"/>
      <c r="C35" s="95"/>
      <c r="D35" s="91"/>
      <c r="E35" s="111" t="s">
        <v>78</v>
      </c>
      <c r="F35" s="95"/>
      <c r="G35" s="95"/>
      <c r="H35" s="95"/>
      <c r="I35" s="95"/>
      <c r="J35" s="91"/>
    </row>
    <row r="36" spans="1:10" ht="19.5" customHeight="1" x14ac:dyDescent="0.25">
      <c r="A36" s="129" t="s">
        <v>79</v>
      </c>
      <c r="B36" s="88"/>
      <c r="C36" s="88"/>
      <c r="D36" s="93"/>
      <c r="E36" s="19" t="s">
        <v>80</v>
      </c>
      <c r="F36" s="4"/>
      <c r="G36" s="4"/>
      <c r="H36" s="4"/>
      <c r="I36" s="4"/>
      <c r="J36" s="20"/>
    </row>
    <row r="37" spans="1:10" ht="19.5" customHeight="1" x14ac:dyDescent="0.25">
      <c r="A37" s="108"/>
      <c r="B37" s="88"/>
      <c r="C37" s="88"/>
      <c r="D37" s="93"/>
      <c r="E37" s="19"/>
      <c r="F37" s="4"/>
      <c r="G37" s="4"/>
      <c r="H37" s="4"/>
      <c r="I37" s="4"/>
      <c r="J37" s="20"/>
    </row>
    <row r="38" spans="1:10" ht="15.75" customHeight="1" x14ac:dyDescent="0.25">
      <c r="A38" s="123" t="s">
        <v>81</v>
      </c>
      <c r="B38" s="88"/>
      <c r="C38" s="88"/>
      <c r="D38" s="93"/>
      <c r="E38" s="19"/>
      <c r="F38" s="4"/>
      <c r="G38" s="4"/>
      <c r="H38" s="4"/>
      <c r="I38" s="4"/>
      <c r="J38" s="20"/>
    </row>
    <row r="39" spans="1:10" ht="18.75" customHeight="1" x14ac:dyDescent="0.25">
      <c r="A39" s="98"/>
      <c r="B39" s="101"/>
      <c r="C39" s="101"/>
      <c r="D39" s="99"/>
      <c r="E39" s="30" t="s">
        <v>82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topLeftCell="A19" workbookViewId="0">
      <selection activeCell="O32" sqref="O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7" t="s">
        <v>83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11" t="s">
        <v>84</v>
      </c>
      <c r="B2" s="95"/>
      <c r="C2" s="95"/>
      <c r="D2" s="95"/>
      <c r="E2" s="95"/>
      <c r="F2" s="91"/>
      <c r="G2" s="94" t="s">
        <v>39</v>
      </c>
      <c r="H2" s="91"/>
      <c r="I2" s="158" t="s">
        <v>40</v>
      </c>
      <c r="J2" s="91"/>
    </row>
    <row r="3" spans="1:10" ht="15.75" x14ac:dyDescent="0.25">
      <c r="A3" s="159" t="s">
        <v>85</v>
      </c>
      <c r="B3" s="88"/>
      <c r="C3" s="88"/>
      <c r="D3" s="88"/>
      <c r="E3" s="88"/>
      <c r="F3" s="93"/>
      <c r="G3" s="119" t="str">
        <f>Invoice!E4</f>
        <v>BK049/25-26</v>
      </c>
      <c r="H3" s="99"/>
      <c r="I3" s="120">
        <f>Invoice!H4</f>
        <v>46094</v>
      </c>
      <c r="J3" s="122"/>
    </row>
    <row r="4" spans="1:10" x14ac:dyDescent="0.25">
      <c r="A4" s="19" t="s">
        <v>86</v>
      </c>
      <c r="B4" s="4"/>
      <c r="C4" s="4"/>
      <c r="D4" s="4"/>
      <c r="E4" s="4"/>
      <c r="F4" s="20"/>
      <c r="G4" s="158" t="s">
        <v>44</v>
      </c>
      <c r="H4" s="95"/>
      <c r="I4" s="95"/>
      <c r="J4" s="91"/>
    </row>
    <row r="5" spans="1:10" x14ac:dyDescent="0.25">
      <c r="A5" s="19" t="s">
        <v>87</v>
      </c>
      <c r="B5" s="4"/>
      <c r="C5" s="4"/>
      <c r="D5" s="4"/>
      <c r="E5" s="4"/>
      <c r="F5" s="20"/>
      <c r="G5" s="117" t="str">
        <f>'input data'!B5</f>
        <v>AD2403250650768</v>
      </c>
      <c r="H5" s="101"/>
      <c r="I5" s="101"/>
      <c r="J5" s="99"/>
    </row>
    <row r="6" spans="1:10" x14ac:dyDescent="0.25">
      <c r="A6" s="160" t="s">
        <v>88</v>
      </c>
      <c r="B6" s="88"/>
      <c r="C6" s="88"/>
      <c r="D6" s="88"/>
      <c r="E6" s="88"/>
      <c r="F6" s="20"/>
      <c r="G6" s="24"/>
      <c r="H6" s="31"/>
      <c r="I6" s="31"/>
      <c r="J6" s="34"/>
    </row>
    <row r="7" spans="1:10" x14ac:dyDescent="0.25">
      <c r="A7" s="19" t="s">
        <v>89</v>
      </c>
      <c r="B7" s="4"/>
      <c r="C7" s="4"/>
      <c r="D7" s="4"/>
      <c r="E7" s="4"/>
      <c r="F7" s="20"/>
      <c r="G7" s="35" t="s">
        <v>90</v>
      </c>
      <c r="H7" s="17"/>
      <c r="I7" s="17"/>
      <c r="J7" s="18"/>
    </row>
    <row r="8" spans="1:10" ht="15.75" x14ac:dyDescent="0.25">
      <c r="A8" s="36" t="s">
        <v>91</v>
      </c>
      <c r="B8" s="4"/>
      <c r="C8" s="4"/>
      <c r="D8" s="4"/>
      <c r="E8" s="4"/>
      <c r="F8" s="20"/>
      <c r="G8" s="37" t="s">
        <v>92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93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61" t="s">
        <v>56</v>
      </c>
      <c r="B11" s="95"/>
      <c r="C11" s="95"/>
      <c r="D11" s="95"/>
      <c r="E11" s="95"/>
      <c r="F11" s="18"/>
      <c r="G11" s="35" t="s">
        <v>94</v>
      </c>
      <c r="H11" s="17"/>
      <c r="I11" s="17"/>
      <c r="J11" s="18"/>
    </row>
    <row r="12" spans="1:10" x14ac:dyDescent="0.25">
      <c r="A12" s="162" t="str">
        <f>'input data'!B6</f>
        <v>To the Order</v>
      </c>
      <c r="B12" s="88"/>
      <c r="C12" s="88"/>
      <c r="D12" s="88"/>
      <c r="E12" s="88"/>
      <c r="F12" s="20"/>
      <c r="G12" s="19"/>
      <c r="H12" s="4"/>
      <c r="I12" s="4"/>
      <c r="J12" s="20"/>
    </row>
    <row r="13" spans="1:10" x14ac:dyDescent="0.25">
      <c r="A13" s="98"/>
      <c r="B13" s="101"/>
      <c r="C13" s="101"/>
      <c r="D13" s="101"/>
      <c r="E13" s="101"/>
      <c r="F13" s="29"/>
      <c r="G13" s="19"/>
      <c r="H13" s="4"/>
      <c r="I13" s="4"/>
      <c r="J13" s="20"/>
    </row>
    <row r="14" spans="1:10" x14ac:dyDescent="0.25">
      <c r="A14" s="161" t="s">
        <v>59</v>
      </c>
      <c r="B14" s="95"/>
      <c r="C14" s="95"/>
      <c r="D14" s="95"/>
      <c r="E14" s="95"/>
      <c r="F14" s="91"/>
      <c r="G14" s="19"/>
      <c r="H14" s="4"/>
      <c r="I14" s="4"/>
      <c r="J14" s="20"/>
    </row>
    <row r="15" spans="1:10" x14ac:dyDescent="0.25">
      <c r="A15" s="113" t="str">
        <f>Invoice!A15</f>
        <v xml:space="preserve"> A-A STONE INVESTMENT TRADING COMPANY 
LIMITED
 34/5 TRAN KHANH DU STREET, TAN DINH WARD, 
HOCHIMINH CITY, VIETNAM
 TAX:0317458134
 MAIL: AASTONEDOCS@GMAIL.COM</v>
      </c>
      <c r="B15" s="88"/>
      <c r="C15" s="88"/>
      <c r="D15" s="88"/>
      <c r="E15" s="88"/>
      <c r="F15" s="93"/>
      <c r="G15" s="19"/>
      <c r="H15" s="4"/>
      <c r="I15" s="4"/>
      <c r="J15" s="20"/>
    </row>
    <row r="16" spans="1:10" x14ac:dyDescent="0.25">
      <c r="A16" s="108"/>
      <c r="B16" s="88"/>
      <c r="C16" s="88"/>
      <c r="D16" s="88"/>
      <c r="E16" s="88"/>
      <c r="F16" s="93"/>
      <c r="G16" s="19"/>
      <c r="H16" s="4"/>
      <c r="I16" s="4"/>
      <c r="J16" s="20"/>
    </row>
    <row r="17" spans="1:10" x14ac:dyDescent="0.25">
      <c r="A17" s="108"/>
      <c r="B17" s="88"/>
      <c r="C17" s="88"/>
      <c r="D17" s="88"/>
      <c r="E17" s="88"/>
      <c r="F17" s="93"/>
      <c r="G17" s="19"/>
      <c r="H17" s="4"/>
      <c r="I17" s="4"/>
      <c r="J17" s="20"/>
    </row>
    <row r="18" spans="1:10" ht="37.5" customHeight="1" x14ac:dyDescent="0.25">
      <c r="A18" s="108"/>
      <c r="B18" s="88"/>
      <c r="C18" s="88"/>
      <c r="D18" s="88"/>
      <c r="E18" s="88"/>
      <c r="F18" s="93"/>
      <c r="G18" s="154" t="s">
        <v>95</v>
      </c>
      <c r="H18" s="91"/>
      <c r="I18" s="155" t="s">
        <v>96</v>
      </c>
      <c r="J18" s="91"/>
    </row>
    <row r="19" spans="1:10" ht="15" customHeight="1" x14ac:dyDescent="0.25">
      <c r="A19" s="108"/>
      <c r="B19" s="88"/>
      <c r="C19" s="88"/>
      <c r="D19" s="88"/>
      <c r="E19" s="88"/>
      <c r="F19" s="93"/>
      <c r="G19" s="98"/>
      <c r="H19" s="99"/>
      <c r="I19" s="101"/>
      <c r="J19" s="99"/>
    </row>
    <row r="20" spans="1:10" ht="30.75" customHeight="1" x14ac:dyDescent="0.25">
      <c r="A20" s="98"/>
      <c r="B20" s="101"/>
      <c r="C20" s="101"/>
      <c r="D20" s="101"/>
      <c r="E20" s="101"/>
      <c r="F20" s="99"/>
      <c r="G20" s="156" t="s">
        <v>63</v>
      </c>
      <c r="H20" s="99"/>
      <c r="I20" s="156" t="str">
        <f>Invoice!H22</f>
        <v>VIETNAM</v>
      </c>
      <c r="J20" s="99"/>
    </row>
    <row r="21" spans="1:10" ht="15.75" customHeight="1" x14ac:dyDescent="0.25">
      <c r="A21" s="152" t="s">
        <v>97</v>
      </c>
      <c r="B21" s="95"/>
      <c r="C21" s="91"/>
      <c r="D21" s="152" t="s">
        <v>98</v>
      </c>
      <c r="E21" s="95"/>
      <c r="F21" s="91"/>
      <c r="G21" s="163" t="s">
        <v>99</v>
      </c>
      <c r="H21" s="104"/>
      <c r="I21" s="104"/>
      <c r="J21" s="105"/>
    </row>
    <row r="22" spans="1:10" ht="15.75" customHeight="1" x14ac:dyDescent="0.25">
      <c r="A22" s="115"/>
      <c r="B22" s="101"/>
      <c r="C22" s="99"/>
      <c r="D22" s="117" t="str">
        <f>Invoice!C22</f>
        <v>CHENNAI</v>
      </c>
      <c r="E22" s="101"/>
      <c r="F22" s="99"/>
      <c r="G22" s="153" t="str">
        <f>'input data'!B16</f>
        <v>CNF</v>
      </c>
      <c r="H22" s="101"/>
      <c r="I22" s="101"/>
      <c r="J22" s="99"/>
    </row>
    <row r="23" spans="1:10" ht="15.75" customHeight="1" x14ac:dyDescent="0.25">
      <c r="A23" s="152" t="s">
        <v>100</v>
      </c>
      <c r="B23" s="95"/>
      <c r="C23" s="91"/>
      <c r="D23" s="152" t="s">
        <v>101</v>
      </c>
      <c r="E23" s="95"/>
      <c r="F23" s="91"/>
      <c r="G23" s="42"/>
      <c r="H23" s="43"/>
      <c r="I23" s="43"/>
      <c r="J23" s="44"/>
    </row>
    <row r="24" spans="1:10" ht="15.75" customHeight="1" x14ac:dyDescent="0.25">
      <c r="A24" s="115"/>
      <c r="B24" s="101"/>
      <c r="C24" s="99"/>
      <c r="D24" s="117" t="str">
        <f>Invoice!C25</f>
        <v>CHENNAI</v>
      </c>
      <c r="E24" s="101"/>
      <c r="F24" s="99"/>
      <c r="G24" s="30"/>
      <c r="H24" s="32"/>
      <c r="I24" s="32"/>
      <c r="J24" s="29"/>
    </row>
    <row r="25" spans="1:10" ht="15.75" customHeight="1" x14ac:dyDescent="0.25">
      <c r="A25" s="152" t="s">
        <v>30</v>
      </c>
      <c r="B25" s="95"/>
      <c r="C25" s="91"/>
      <c r="D25" s="152" t="s">
        <v>31</v>
      </c>
      <c r="E25" s="95"/>
      <c r="F25" s="91"/>
      <c r="G25" s="139" t="s">
        <v>102</v>
      </c>
      <c r="H25" s="104"/>
      <c r="I25" s="104"/>
      <c r="J25" s="105"/>
    </row>
    <row r="26" spans="1:10" ht="15.75" customHeight="1" x14ac:dyDescent="0.25">
      <c r="A26" s="102" t="str">
        <f>Invoice!E25</f>
        <v>DA NANG</v>
      </c>
      <c r="B26" s="88"/>
      <c r="C26" s="93"/>
      <c r="D26" s="102" t="str">
        <f>Invoice!H25</f>
        <v>DA NANG</v>
      </c>
      <c r="E26" s="88"/>
      <c r="F26" s="93"/>
      <c r="G26" s="154" t="str">
        <f>'input data'!B17</f>
        <v>100% Against Documents</v>
      </c>
      <c r="H26" s="95"/>
      <c r="I26" s="95"/>
      <c r="J26" s="91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65</v>
      </c>
      <c r="B28" s="117" t="s">
        <v>103</v>
      </c>
      <c r="C28" s="99"/>
      <c r="D28" s="117" t="s">
        <v>66</v>
      </c>
      <c r="E28" s="101"/>
      <c r="F28" s="101"/>
      <c r="G28" s="48"/>
      <c r="H28" s="49"/>
      <c r="I28" s="117" t="s">
        <v>70</v>
      </c>
      <c r="J28" s="99"/>
    </row>
    <row r="29" spans="1:10" ht="15.75" customHeight="1" thickBot="1" x14ac:dyDescent="0.3">
      <c r="A29" s="27">
        <v>1</v>
      </c>
      <c r="B29" s="124">
        <f>Invoice!E28</f>
        <v>68022390</v>
      </c>
      <c r="C29" s="105"/>
      <c r="D29" s="149" t="str">
        <f>Invoice!B28</f>
        <v>NATURAL POLISHED GRANITE SLABS</v>
      </c>
      <c r="E29" s="104"/>
      <c r="F29" s="104"/>
      <c r="G29" s="104"/>
      <c r="H29" s="105"/>
      <c r="I29" s="150">
        <f>Invoice!F28</f>
        <v>449.95</v>
      </c>
      <c r="J29" s="105"/>
    </row>
    <row r="30" spans="1:10" ht="15.75" customHeight="1" thickBot="1" x14ac:dyDescent="0.3">
      <c r="A30" s="50" t="s">
        <v>104</v>
      </c>
      <c r="B30" s="46"/>
      <c r="C30" s="46"/>
      <c r="D30" s="46"/>
      <c r="E30" s="46"/>
      <c r="F30" s="46"/>
      <c r="G30" s="46"/>
      <c r="H30" s="46"/>
      <c r="I30" s="151">
        <f>SUM(I29:I29)</f>
        <v>449.95</v>
      </c>
      <c r="J30" s="105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02" t="s">
        <v>105</v>
      </c>
      <c r="B32" s="88"/>
      <c r="C32" s="31" t="s">
        <v>34</v>
      </c>
      <c r="D32" s="126" t="s">
        <v>72</v>
      </c>
      <c r="E32" s="88"/>
      <c r="F32" s="31" t="s">
        <v>73</v>
      </c>
      <c r="G32" s="31"/>
      <c r="H32" s="4"/>
      <c r="I32" s="31"/>
      <c r="J32" s="34"/>
    </row>
    <row r="33" spans="1:12" ht="15.75" customHeight="1" x14ac:dyDescent="0.25">
      <c r="A33" s="114" t="str">
        <f>Invoice!A30</f>
        <v>NYKU3715922</v>
      </c>
      <c r="B33" s="88"/>
      <c r="C33" s="51">
        <f>'input data'!B25</f>
        <v>212</v>
      </c>
      <c r="D33" s="147" t="s">
        <v>106</v>
      </c>
      <c r="E33" s="88"/>
      <c r="F33" s="51" t="s">
        <v>107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108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109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1" t="s">
        <v>110</v>
      </c>
      <c r="B38" s="95"/>
      <c r="C38" s="95"/>
      <c r="D38" s="95"/>
      <c r="E38" s="95"/>
      <c r="F38" s="91"/>
      <c r="G38" s="111" t="s">
        <v>78</v>
      </c>
      <c r="H38" s="95"/>
      <c r="I38" s="95"/>
      <c r="J38" s="91"/>
    </row>
    <row r="39" spans="1:12" ht="15.75" customHeight="1" x14ac:dyDescent="0.25">
      <c r="A39" s="148" t="s">
        <v>111</v>
      </c>
      <c r="B39" s="88"/>
      <c r="C39" s="88"/>
      <c r="D39" s="88"/>
      <c r="E39" s="88"/>
      <c r="F39" s="93"/>
      <c r="G39" s="19"/>
      <c r="H39" s="4"/>
      <c r="I39" s="4"/>
      <c r="J39" s="20"/>
    </row>
    <row r="40" spans="1:12" ht="15.75" customHeight="1" x14ac:dyDescent="0.25">
      <c r="A40" s="140" t="s">
        <v>112</v>
      </c>
      <c r="B40" s="141"/>
      <c r="C40" s="141"/>
      <c r="D40" s="141"/>
      <c r="E40" s="141"/>
      <c r="F40" s="142"/>
      <c r="G40" s="19"/>
      <c r="H40" s="4"/>
      <c r="I40" s="4"/>
      <c r="J40" s="20"/>
    </row>
    <row r="41" spans="1:12" ht="15.75" customHeight="1" x14ac:dyDescent="0.25">
      <c r="A41" s="143" t="s">
        <v>113</v>
      </c>
      <c r="B41" s="144"/>
      <c r="C41" s="144"/>
      <c r="D41" s="144"/>
      <c r="E41" s="144"/>
      <c r="F41" s="145"/>
      <c r="G41" s="146" t="s">
        <v>114</v>
      </c>
      <c r="H41" s="101"/>
      <c r="I41" s="101"/>
      <c r="J41" s="99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0" zoomScaleNormal="100" workbookViewId="0">
      <selection activeCell="Q13" sqref="Q13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84" t="s">
        <v>41</v>
      </c>
      <c r="C1" s="185"/>
      <c r="D1" s="185"/>
      <c r="E1" s="185"/>
      <c r="F1" s="185"/>
      <c r="G1" s="185"/>
      <c r="H1" s="185"/>
      <c r="I1" s="185"/>
      <c r="J1" s="185"/>
      <c r="K1" s="186"/>
      <c r="R1" s="190"/>
      <c r="S1" s="88"/>
      <c r="T1" s="88"/>
      <c r="U1" s="88"/>
      <c r="V1" s="88"/>
      <c r="W1" s="175"/>
      <c r="X1" s="88"/>
      <c r="Y1" s="88"/>
    </row>
    <row r="2" spans="1:25" ht="36.75" thickBot="1" x14ac:dyDescent="0.6">
      <c r="A2" s="57"/>
      <c r="B2" s="187"/>
      <c r="C2" s="188"/>
      <c r="D2" s="188"/>
      <c r="E2" s="188"/>
      <c r="F2" s="188"/>
      <c r="G2" s="188"/>
      <c r="H2" s="188"/>
      <c r="I2" s="188"/>
      <c r="J2" s="188"/>
      <c r="K2" s="189"/>
    </row>
    <row r="3" spans="1:25" x14ac:dyDescent="0.25">
      <c r="A3" s="58"/>
      <c r="B3" s="191" t="s">
        <v>115</v>
      </c>
      <c r="C3" s="95"/>
      <c r="D3" s="95"/>
      <c r="E3" s="95"/>
      <c r="F3" s="95"/>
      <c r="G3" s="95"/>
      <c r="H3" s="95"/>
      <c r="I3" s="95"/>
      <c r="J3" s="95"/>
      <c r="K3" s="91"/>
    </row>
    <row r="4" spans="1:25" x14ac:dyDescent="0.25">
      <c r="A4" s="58"/>
      <c r="B4" s="192" t="s">
        <v>116</v>
      </c>
      <c r="C4" s="88"/>
      <c r="D4" s="88"/>
      <c r="E4" s="88"/>
      <c r="F4" s="88"/>
      <c r="G4" s="88"/>
      <c r="H4" s="88"/>
      <c r="I4" s="88"/>
      <c r="J4" s="88"/>
      <c r="K4" s="93"/>
    </row>
    <row r="5" spans="1:25" x14ac:dyDescent="0.25">
      <c r="A5" s="51"/>
      <c r="B5" s="115" t="s">
        <v>117</v>
      </c>
      <c r="C5" s="101"/>
      <c r="D5" s="101"/>
      <c r="E5" s="101"/>
      <c r="F5" s="101"/>
      <c r="G5" s="101"/>
      <c r="H5" s="101"/>
      <c r="I5" s="101"/>
      <c r="J5" s="101"/>
      <c r="K5" s="99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93" t="s">
        <v>118</v>
      </c>
      <c r="C7" s="88"/>
      <c r="D7" s="88"/>
      <c r="E7" s="88"/>
      <c r="F7" s="88"/>
      <c r="G7" s="88"/>
      <c r="H7" s="88"/>
      <c r="I7" s="88"/>
      <c r="J7" s="88"/>
      <c r="K7" s="93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119</v>
      </c>
      <c r="C9" s="195">
        <v>46094</v>
      </c>
      <c r="D9" s="195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120</v>
      </c>
      <c r="C10" s="60" t="s">
        <v>168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121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29" t="s">
        <v>162</v>
      </c>
      <c r="C13" s="88"/>
      <c r="D13" s="88"/>
      <c r="E13" s="88"/>
      <c r="F13" s="88"/>
      <c r="G13" s="88"/>
      <c r="H13" s="4"/>
      <c r="I13" s="4"/>
      <c r="J13" s="4"/>
      <c r="K13" s="20"/>
    </row>
    <row r="14" spans="1:25" x14ac:dyDescent="0.25">
      <c r="A14" s="61"/>
      <c r="B14" s="113" t="s">
        <v>164</v>
      </c>
      <c r="C14" s="88"/>
      <c r="D14" s="88"/>
      <c r="E14" s="88"/>
      <c r="F14" s="88"/>
      <c r="G14" s="88"/>
      <c r="H14" s="4"/>
      <c r="I14" s="4"/>
      <c r="J14" s="4"/>
      <c r="K14" s="20"/>
    </row>
    <row r="15" spans="1:25" ht="63.75" customHeight="1" x14ac:dyDescent="0.25">
      <c r="A15" s="61"/>
      <c r="B15" s="108"/>
      <c r="C15" s="88"/>
      <c r="D15" s="88"/>
      <c r="E15" s="88"/>
      <c r="F15" s="88"/>
      <c r="G15" s="88"/>
      <c r="H15" s="4"/>
      <c r="I15" s="4"/>
      <c r="J15" s="4"/>
      <c r="K15" s="20"/>
    </row>
    <row r="16" spans="1:25" x14ac:dyDescent="0.25">
      <c r="A16" s="4"/>
      <c r="B16" s="19" t="s">
        <v>122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152</v>
      </c>
      <c r="P17" t="s">
        <v>153</v>
      </c>
      <c r="Q17" t="s">
        <v>104</v>
      </c>
    </row>
    <row r="18" spans="1:18" ht="15.75" thickBot="1" x14ac:dyDescent="0.3">
      <c r="A18" s="52"/>
      <c r="B18" s="112" t="s">
        <v>123</v>
      </c>
      <c r="C18" s="103"/>
      <c r="D18" s="103"/>
      <c r="E18" s="194"/>
      <c r="F18" s="112" t="s">
        <v>124</v>
      </c>
      <c r="G18" s="105"/>
      <c r="H18" s="112" t="s">
        <v>125</v>
      </c>
      <c r="I18" s="105"/>
      <c r="J18" s="112" t="s">
        <v>126</v>
      </c>
      <c r="K18" s="105"/>
      <c r="N18" t="s">
        <v>161</v>
      </c>
      <c r="O18">
        <v>0</v>
      </c>
      <c r="P18">
        <v>165</v>
      </c>
      <c r="Q18">
        <f>O18*P18</f>
        <v>0</v>
      </c>
    </row>
    <row r="19" spans="1:18" ht="15.75" customHeight="1" thickBot="1" x14ac:dyDescent="0.3">
      <c r="A19" s="3"/>
      <c r="B19" s="149" t="s">
        <v>151</v>
      </c>
      <c r="C19" s="180"/>
      <c r="D19" s="180"/>
      <c r="E19" s="181"/>
      <c r="F19" s="171">
        <v>156.55000000000001</v>
      </c>
      <c r="G19" s="172"/>
      <c r="H19" s="173">
        <v>4841.46</v>
      </c>
      <c r="I19" s="105"/>
      <c r="J19" s="178">
        <f>H19*F19</f>
        <v>757930.56300000008</v>
      </c>
      <c r="K19" s="105"/>
      <c r="N19" t="s">
        <v>154</v>
      </c>
      <c r="O19">
        <v>4737</v>
      </c>
      <c r="P19">
        <v>160</v>
      </c>
      <c r="Q19" s="73">
        <f>O19*P19</f>
        <v>757920</v>
      </c>
    </row>
    <row r="20" spans="1:18" ht="15.75" customHeight="1" x14ac:dyDescent="0.25">
      <c r="A20" s="51"/>
      <c r="B20" s="114"/>
      <c r="C20" s="88"/>
      <c r="D20" s="88"/>
      <c r="E20" s="88"/>
      <c r="F20" s="175"/>
      <c r="G20" s="179"/>
      <c r="H20" s="164" t="s">
        <v>163</v>
      </c>
      <c r="I20" s="165"/>
      <c r="J20" s="182">
        <f>J19*0.001</f>
        <v>757.93056300000012</v>
      </c>
      <c r="K20" s="183"/>
      <c r="M20" s="75"/>
      <c r="O20" s="80">
        <v>0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46"/>
      <c r="C21" s="101"/>
      <c r="D21" s="101"/>
      <c r="E21" s="101"/>
      <c r="F21" s="32"/>
      <c r="G21" s="62"/>
      <c r="H21" s="167" t="s">
        <v>104</v>
      </c>
      <c r="I21" s="168"/>
      <c r="J21" s="169">
        <f>SUM(J19:K20)</f>
        <v>758688.49356300011</v>
      </c>
      <c r="K21" s="170"/>
      <c r="Q21" s="72">
        <f>Q18+Q19+Q20</f>
        <v>757920</v>
      </c>
    </row>
    <row r="22" spans="1:18" ht="15.75" customHeight="1" thickBot="1" x14ac:dyDescent="0.3">
      <c r="A22" s="51"/>
      <c r="B22" s="114"/>
      <c r="C22" s="88"/>
      <c r="D22" s="88"/>
      <c r="E22" s="88"/>
      <c r="F22" s="4"/>
      <c r="G22" s="4"/>
      <c r="H22" s="174"/>
      <c r="I22" s="88"/>
      <c r="J22" s="175"/>
      <c r="K22" s="93"/>
      <c r="N22" s="75"/>
    </row>
    <row r="23" spans="1:18" ht="15.75" customHeight="1" thickBot="1" x14ac:dyDescent="0.3">
      <c r="A23" s="52"/>
      <c r="B23" s="176" t="s">
        <v>127</v>
      </c>
      <c r="C23" s="104"/>
      <c r="D23" s="46"/>
      <c r="E23" s="46"/>
      <c r="F23" s="46"/>
      <c r="G23" s="46"/>
      <c r="H23" s="46"/>
      <c r="I23" s="46"/>
      <c r="J23" s="177">
        <f>J21</f>
        <v>758688.49356300011</v>
      </c>
      <c r="K23" s="105"/>
      <c r="Q23" s="84">
        <f>Q21/O25</f>
        <v>156.54775355047713</v>
      </c>
      <c r="R23" s="83" t="s">
        <v>153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66" t="s">
        <v>128</v>
      </c>
      <c r="C25" s="88"/>
      <c r="D25" s="4"/>
      <c r="E25" s="4"/>
      <c r="F25" s="4"/>
      <c r="G25" s="4"/>
      <c r="H25" s="4"/>
      <c r="I25" s="4"/>
      <c r="J25" s="4"/>
      <c r="K25" s="20"/>
      <c r="M25" t="s">
        <v>156</v>
      </c>
      <c r="N25" s="79">
        <v>449.95</v>
      </c>
      <c r="O25" s="86">
        <f>N25*10.76</f>
        <v>4841.4619999999995</v>
      </c>
      <c r="P25" s="83" t="s">
        <v>158</v>
      </c>
    </row>
    <row r="26" spans="1:18" ht="15.75" customHeight="1" x14ac:dyDescent="0.25">
      <c r="A26" s="4"/>
      <c r="B26" s="19" t="s">
        <v>129</v>
      </c>
      <c r="C26" s="4"/>
      <c r="D26" s="4" t="s">
        <v>148</v>
      </c>
      <c r="E26" s="4"/>
      <c r="F26" s="4"/>
      <c r="G26" s="4"/>
      <c r="H26" s="4"/>
      <c r="I26" s="4"/>
      <c r="J26" s="4"/>
      <c r="K26" s="20"/>
      <c r="M26" t="s">
        <v>157</v>
      </c>
      <c r="O26">
        <v>4737</v>
      </c>
    </row>
    <row r="27" spans="1:18" ht="15.75" customHeight="1" x14ac:dyDescent="0.25">
      <c r="A27" s="4"/>
      <c r="B27" s="19" t="s">
        <v>130</v>
      </c>
      <c r="C27" s="4"/>
      <c r="D27" s="4"/>
      <c r="E27" s="4"/>
      <c r="F27" s="4"/>
      <c r="G27" s="4"/>
      <c r="H27" s="4"/>
      <c r="I27" s="4"/>
      <c r="J27" s="4"/>
      <c r="K27" s="20"/>
      <c r="M27" t="s">
        <v>155</v>
      </c>
      <c r="O27" s="80">
        <f>O25-O26</f>
        <v>104.46199999999953</v>
      </c>
    </row>
    <row r="28" spans="1:18" ht="15.75" customHeight="1" x14ac:dyDescent="0.25">
      <c r="A28" s="4"/>
      <c r="B28" s="19" t="s">
        <v>131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132</v>
      </c>
      <c r="C29" s="4"/>
      <c r="D29" s="4" t="s">
        <v>149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133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134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135</v>
      </c>
      <c r="C32" s="4"/>
      <c r="D32" s="4" t="s">
        <v>136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137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138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59" t="s">
        <v>139</v>
      </c>
      <c r="C35" s="88"/>
      <c r="D35" s="88"/>
      <c r="E35" s="88"/>
      <c r="F35" s="88"/>
      <c r="G35" s="88"/>
      <c r="H35" s="4"/>
      <c r="I35" s="4"/>
      <c r="J35" s="4"/>
      <c r="K35" s="20"/>
    </row>
    <row r="36" spans="1:11" ht="15.75" customHeight="1" x14ac:dyDescent="0.25">
      <c r="A36" s="64"/>
      <c r="B36" s="159" t="s">
        <v>140</v>
      </c>
      <c r="C36" s="88"/>
      <c r="D36" s="88"/>
      <c r="E36" s="88"/>
      <c r="F36" s="88"/>
      <c r="G36" s="88"/>
      <c r="H36" s="4"/>
      <c r="I36" s="4"/>
      <c r="J36" s="4"/>
      <c r="K36" s="20"/>
    </row>
    <row r="37" spans="1:11" ht="15.75" customHeight="1" x14ac:dyDescent="0.25">
      <c r="A37" s="38"/>
      <c r="B37" s="37" t="s">
        <v>141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142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2026-03-13T10:45:24Z</cp:lastPrinted>
  <dcterms:created xsi:type="dcterms:W3CDTF">2022-11-23T06:47:43Z</dcterms:created>
  <dcterms:modified xsi:type="dcterms:W3CDTF">2026-03-13T10:45:34Z</dcterms:modified>
</cp:coreProperties>
</file>
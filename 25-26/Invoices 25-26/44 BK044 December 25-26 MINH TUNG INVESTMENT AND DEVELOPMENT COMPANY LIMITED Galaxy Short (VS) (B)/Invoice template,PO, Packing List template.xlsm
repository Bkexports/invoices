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 K EXPORTS\Downloads\"/>
    </mc:Choice>
  </mc:AlternateContent>
  <xr:revisionPtr revIDLastSave="0" documentId="13_ncr:1_{8497CDD2-E18F-4EC7-BD5B-5AD51C137E6C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company data" sheetId="1" r:id="rId1"/>
    <sheet name="input data" sheetId="2" r:id="rId2"/>
    <sheet name="Invoice" sheetId="3" r:id="rId3"/>
    <sheet name="Sheet1" sheetId="6" r:id="rId4"/>
    <sheet name="Peacking List" sheetId="4" r:id="rId5"/>
    <sheet name="PO" sheetId="5" r:id="rId6"/>
  </sheets>
  <definedNames>
    <definedName name="_xlnm.Print_Area" localSheetId="5">PO!$A$1:$K$42</definedName>
  </definedNames>
  <calcPr calcId="191029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O20" i="5" l="1"/>
  <c r="D3" i="6"/>
  <c r="D4" i="6" s="1"/>
  <c r="D6" i="6" s="1"/>
  <c r="F28" i="3" l="1"/>
  <c r="H28" i="3"/>
  <c r="Q20" i="5" l="1"/>
  <c r="Q19" i="5"/>
  <c r="O25" i="5" l="1"/>
  <c r="O27" i="5" l="1"/>
  <c r="Q18" i="5" l="1"/>
  <c r="Q21" i="5" s="1"/>
  <c r="Q23" i="5" s="1"/>
  <c r="J19" i="5" l="1"/>
  <c r="J20" i="5" s="1"/>
  <c r="C33" i="4" l="1"/>
  <c r="A12" i="4"/>
  <c r="A12" i="3"/>
  <c r="A15" i="3" l="1"/>
  <c r="B3" i="2" l="1"/>
  <c r="B5" i="2"/>
  <c r="G5" i="4" l="1"/>
  <c r="C37" i="5"/>
  <c r="H6" i="3"/>
  <c r="I29" i="4"/>
  <c r="I30" i="4" s="1"/>
  <c r="C35" i="4"/>
  <c r="B29" i="4"/>
  <c r="G26" i="4"/>
  <c r="G22" i="4"/>
  <c r="C30" i="3"/>
  <c r="A30" i="3"/>
  <c r="A33" i="4" s="1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  <c r="I28" i="3"/>
  <c r="I33" i="3" s="1"/>
</calcChain>
</file>

<file path=xl/sharedStrings.xml><?xml version="1.0" encoding="utf-8"?>
<sst xmlns="http://schemas.openxmlformats.org/spreadsheetml/2006/main" count="218" uniqueCount="178">
  <si>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</si>
  <si>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</si>
  <si>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</si>
  <si>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</si>
  <si>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</si>
  <si>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</si>
  <si>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</si>
  <si>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</si>
  <si>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</si>
  <si>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</si>
  <si>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</si>
  <si>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</si>
  <si>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</si>
  <si>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</si>
  <si>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</si>
  <si>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</si>
  <si>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</si>
  <si>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</si>
  <si>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</si>
  <si>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</si>
  <si>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</si>
  <si>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</si>
  <si>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</si>
  <si>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</si>
  <si>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</si>
  <si>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</si>
  <si>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</si>
  <si>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</si>
  <si>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</si>
  <si>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</si>
  <si>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</si>
  <si>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</si>
  <si>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</si>
  <si>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</si>
  <si>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</si>
  <si>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</si>
  <si>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</si>
  <si>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INVOICE 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</si>
  <si>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</si>
  <si>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</si>
  <si>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</si>
  <si>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</si>
  <si>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</si>
  <si>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</si>
  <si>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</si>
  <si>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</si>
  <si>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</si>
  <si>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</si>
  <si>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</si>
  <si>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</si>
  <si>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</si>
  <si>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</si>
  <si>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</si>
  <si>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</si>
  <si>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</si>
  <si>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</si>
  <si>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</si>
  <si>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</si>
  <si>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</si>
  <si>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</si>
  <si>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BANK DETAILS: 
ACCOUNT NAME : B K  EXPORTS
BANK NAME : BANK OF BARODA
ACCOUNT NUMBER : 14970200000658
SWIFT CODE : BARBINBBVAT
IFSC CODE : BARB0MANEAS (fifth digit zero)
BRANCH : MANINAGAR (EAST)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</si>
  <si>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</si>
  <si>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</si>
  <si>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</si>
  <si>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</si>
  <si>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</si>
  <si>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</si>
  <si>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</si>
  <si>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</si>
  <si>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</si>
  <si>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</si>
  <si>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</si>
  <si>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</si>
  <si>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</si>
  <si>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</si>
  <si>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</si>
  <si>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</si>
  <si>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</si>
  <si>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</si>
  <si>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</si>
  <si>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</si>
  <si>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</si>
  <si>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</si>
  <si>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</si>
  <si>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</si>
  <si>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</si>
  <si>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</si>
  <si>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</si>
  <si>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</si>
  <si>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</si>
  <si>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</si>
  <si>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</si>
  <si>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</si>
  <si>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</si>
  <si>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</si>
  <si>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</si>
  <si>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</si>
  <si>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</si>
  <si>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</si>
  <si>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</si>
  <si>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</si>
  <si>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</si>
  <si>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</si>
  <si>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</si>
  <si>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</si>
  <si>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</si>
  <si>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</si>
  <si>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</si>
  <si>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</si>
  <si>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</si>
  <si>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</si>
  <si>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</si>
  <si>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</si>
  <si>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</si>
  <si>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</si>
  <si>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</si>
  <si>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</si>
  <si>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</si>
  <si>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</si>
  <si>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</si>
  <si>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</si>
  <si>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</si>
  <si>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</si>
  <si>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</si>
  <si>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</si>
  <si>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</si>
  <si>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</si>
  <si>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</si>
  <si>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</si>
  <si>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</si>
  <si>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</si>
  <si>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</si>
  <si>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</si>
  <si>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</si>
  <si>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</si>
  <si>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</si>
  <si>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</si>
  <si>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</si>
  <si>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</si>
  <si>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</si>
  <si>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</si>
  <si>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</si>
  <si>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</si>
  <si>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</si>
  <si>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25-26</t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</si>
  <si>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</si>
  <si>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</si>
  <si>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</si>
  <si>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</si>
  <si>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</si>
  <si>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</si>
  <si>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</si>
  <si>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</si>
  <si>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</si>
  <si>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</si>
  <si>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short</t>
  </si>
  <si>
    <t>long</t>
  </si>
  <si>
    <t>extra</t>
  </si>
  <si>
    <t>buyer</t>
  </si>
  <si>
    <t>supplier</t>
  </si>
  <si>
    <t>SQ FEET</t>
  </si>
  <si>
    <t>GST 0.1%</t>
  </si>
  <si>
    <t>sr no</t>
  </si>
  <si>
    <t>qty</t>
  </si>
  <si>
    <t>rate</t>
  </si>
  <si>
    <t>total</t>
  </si>
  <si>
    <t>BK042 Account</t>
  </si>
  <si>
    <t>at port (70%)</t>
  </si>
  <si>
    <t>After inspection (30%)</t>
  </si>
  <si>
    <t>44</t>
  </si>
  <si>
    <t xml:space="preserve">MINH TUNG INVESTMENT AND 
DEVELOPMENT COMPANY LIMITED 
NO.46, LANE 90/132 ,GIA QUAT STREET,  BO DE PRECINCT , HANOI .
 TAX CODE: 0109399992
Mail: mtstone2020@gmail.com
</t>
  </si>
  <si>
    <t>HAI PHONG</t>
  </si>
  <si>
    <t>DFSU1228154</t>
  </si>
  <si>
    <t>21-12-2025</t>
  </si>
  <si>
    <t>PO044/25-26</t>
  </si>
  <si>
    <t>LAKSHMI VENKATESWARA GRANITES</t>
  </si>
  <si>
    <t>Sy .NO 237, GROUND FLOOR, ONGOLE-NANDHYAL ROAD,
BUDAWADA, PRAKASAM DIST,
ANDHRA PRADESH -523226
GST NO : 37EBLPB9838K1ZZ</t>
  </si>
  <si>
    <t>Five Thousand Nine Hundred Four Dollar and Thirty 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</si>
</sst>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&quot; / &quot;"/>
    <numFmt numFmtId="165" formatCode="d/m/yyyy"/>
    <numFmt numFmtId="166" formatCode="_-[$$-409]* #,##0.00_ ;_-[$$-409]* \-#,##0.00\ ;_-[$$-409]* &quot;-&quot;??_ ;_-@_ "/>
    <numFmt numFmtId="168" formatCode="[$-14009]dd/mm/yyyy;@"/>
    <numFmt numFmtId="169" formatCode="0.0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3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5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3" fillId="0" borderId="0" xfId="0" applyFont="1"/>
    <xf numFmtId="0" fontId="2" fillId="0" borderId="0" xfId="0" applyFo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166" fontId="6" fillId="0" borderId="34" xfId="0" applyNumberFormat="1" applyFont="1" applyBorder="1" applyAlignment="1">
      <alignment horizontal="center"/>
    </xf>
    <xf numFmtId="0" fontId="4" fillId="0" borderId="35" xfId="0" applyFont="1" applyBorder="1" applyAlignment="1">
      <alignment horizontal="center"/>
    </xf>
    <xf numFmtId="166" fontId="0" fillId="0" borderId="0" xfId="0" applyNumberFormat="1"/>
    <xf numFmtId="0" fontId="6" fillId="0" borderId="0" xfId="0" applyFont="1" applyAlignment="1">
      <alignment horizontal="left" wrapText="1"/>
    </xf>
    <xf numFmtId="2" fontId="0" fillId="0" borderId="0" xfId="0" applyNumberFormat="1"/>
    <xf numFmtId="169" fontId="0" fillId="0" borderId="0" xfId="0" applyNumberFormat="1"/>
    <xf numFmtId="0" fontId="1" fillId="3" borderId="0" xfId="0" applyFont="1" applyFill="1"/>
    <xf numFmtId="0" fontId="24" fillId="3" borderId="0" xfId="0" applyFont="1" applyFill="1"/>
    <xf numFmtId="2" fontId="24" fillId="3" borderId="0" xfId="0" applyNumberFormat="1" applyFont="1" applyFill="1"/>
    <xf numFmtId="0" fontId="0" fillId="0" borderId="36" xfId="0" applyBorder="1"/>
    <xf numFmtId="0" fontId="4" fillId="0" borderId="0" xfId="0" applyFont="1" applyAlignment="1">
      <alignment horizontal="left" vertical="center"/>
    </xf>
    <xf numFmtId="0" fontId="0" fillId="0" borderId="0" xfId="0"/>
    <xf numFmtId="0" fontId="6" fillId="0" borderId="0" xfId="0" applyFont="1" applyAlignment="1">
      <alignment horizontal="left" vertical="top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4" fillId="0" borderId="2" xfId="0" applyFont="1" applyBorder="1" applyAlignment="1">
      <alignment horizontal="center" vertical="center"/>
    </xf>
    <xf numFmtId="0" fontId="8" fillId="0" borderId="3" xfId="0" applyFont="1" applyBorder="1"/>
    <xf numFmtId="0" fontId="8" fillId="0" borderId="4" xfId="0" applyFont="1" applyBorder="1"/>
    <xf numFmtId="0" fontId="8" fillId="0" borderId="5" xfId="0" applyFont="1" applyBorder="1"/>
    <xf numFmtId="0" fontId="8" fillId="0" borderId="6" xfId="0" applyFont="1" applyBorder="1"/>
    <xf numFmtId="0" fontId="6" fillId="0" borderId="7" xfId="0" applyFont="1" applyBorder="1" applyAlignment="1">
      <alignment horizontal="center"/>
    </xf>
    <xf numFmtId="0" fontId="15" fillId="0" borderId="5" xfId="0" applyFont="1" applyBorder="1" applyAlignment="1">
      <alignment horizontal="left" vertical="top" wrapText="1"/>
    </xf>
    <xf numFmtId="0" fontId="8" fillId="0" borderId="7" xfId="0" applyFont="1" applyBorder="1"/>
    <xf numFmtId="0" fontId="6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2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7" xfId="0" applyBorder="1"/>
    <xf numFmtId="0" fontId="6" fillId="0" borderId="5" xfId="0" applyFont="1" applyBorder="1" applyAlignment="1">
      <alignment horizontal="center"/>
    </xf>
    <xf numFmtId="0" fontId="14" fillId="0" borderId="2" xfId="0" applyFont="1" applyBorder="1" applyAlignment="1">
      <alignment horizontal="left"/>
    </xf>
    <xf numFmtId="0" fontId="6" fillId="0" borderId="5" xfId="0" applyFont="1" applyBorder="1" applyAlignment="1">
      <alignment horizontal="left" wrapText="1"/>
    </xf>
    <xf numFmtId="166" fontId="13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left"/>
    </xf>
    <xf numFmtId="166" fontId="6" fillId="0" borderId="11" xfId="0" applyNumberFormat="1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7" fillId="0" borderId="0" xfId="0" applyFont="1" applyAlignment="1">
      <alignment horizontal="center" vertical="center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1" xfId="0" applyNumberFormat="1" applyFont="1" applyBorder="1"/>
    <xf numFmtId="168" fontId="8" fillId="0" borderId="8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4" fillId="0" borderId="10" xfId="0" applyFont="1" applyBorder="1" applyAlignment="1">
      <alignment horizontal="center"/>
    </xf>
    <xf numFmtId="0" fontId="6" fillId="0" borderId="5" xfId="0" applyFont="1" applyBorder="1" applyAlignment="1">
      <alignment horizontal="left" vertical="top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/>
    </xf>
    <xf numFmtId="0" fontId="0" fillId="0" borderId="36" xfId="0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8" fillId="0" borderId="17" xfId="0" applyFont="1" applyBorder="1"/>
    <xf numFmtId="0" fontId="8" fillId="0" borderId="18" xfId="0" applyFont="1" applyBorder="1"/>
    <xf numFmtId="0" fontId="15" fillId="2" borderId="19" xfId="0" applyFont="1" applyFill="1" applyBorder="1" applyAlignment="1">
      <alignment horizontal="left" vertical="top"/>
    </xf>
    <xf numFmtId="0" fontId="8" fillId="0" borderId="20" xfId="0" applyFont="1" applyBorder="1"/>
    <xf numFmtId="0" fontId="8" fillId="0" borderId="21" xfId="0" applyFont="1" applyBorder="1"/>
    <xf numFmtId="0" fontId="6" fillId="0" borderId="7" xfId="0" applyFont="1" applyBorder="1" applyAlignment="1">
      <alignment horizontal="left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14" fontId="6" fillId="0" borderId="0" xfId="0" applyNumberFormat="1" applyFont="1" applyAlignment="1">
      <alignment horizontal="center"/>
    </xf>
  </cellXfs>
  <cellStyles count="1">
    <cellStyle name="Normal" xfId="0" builtinId="0"/>
  </cellStyles>
  <dxfs count="5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9</xdr:col>
      <xdr:colOff>95250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000"/>
  <sheetViews>
    <sheetView workbookViewId="0">
      <selection activeCell="E14" sqref="E14"/>
    </sheetView>
  </sheetViews>
  <sheetFormatPr defaultColWidth="14.44140625" defaultRowHeight="15" customHeight="1" x14ac:dyDescent="0.3"/>
  <cols>
    <col min="1" max="1" width="12.88671875" customWidth="1"/>
    <col min="2" max="2" width="18" customWidth="1"/>
    <col min="3" max="4" width="16.33203125" customWidth="1"/>
    <col min="5" max="5" width="39.33203125" customWidth="1"/>
    <col min="6" max="26" width="8.6640625" customWidth="1"/>
  </cols>
  <sheetData>
    <row r="1" spans="1:5" ht="14.4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t="14.4" x14ac:dyDescent="0.3">
      <c r="A2" s="62" t="s">
        <v>144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ht="14.4" x14ac:dyDescent="0.3">
      <c r="B3" s="2" t="s">
        <v>9</v>
      </c>
      <c r="D3" s="2" t="s">
        <v>10</v>
      </c>
      <c r="E3" s="2" t="s">
        <v>11</v>
      </c>
    </row>
    <row r="4" spans="1:5" ht="14.4" x14ac:dyDescent="0.3">
      <c r="B4" s="2" t="s">
        <v>12</v>
      </c>
      <c r="D4" s="2" t="s">
        <v>13</v>
      </c>
      <c r="E4" s="2" t="s">
        <v>14</v>
      </c>
    </row>
    <row r="5" spans="1:5" ht="14.4" x14ac:dyDescent="0.3">
      <c r="E5" s="2" t="s">
        <v>15</v>
      </c>
    </row>
    <row r="6" spans="1:5" ht="15" customHeight="1" x14ac:dyDescent="0.3">
      <c r="E6" s="63" t="s">
        <v>145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1001"/>
  <sheetViews>
    <sheetView topLeftCell="A10" workbookViewId="0">
      <selection activeCell="B30" sqref="B30"/>
    </sheetView>
  </sheetViews>
  <sheetFormatPr defaultColWidth="14.44140625" defaultRowHeight="15" customHeight="1" x14ac:dyDescent="0.3"/>
  <cols>
    <col min="1" max="1" width="20.33203125" customWidth="1"/>
    <col min="2" max="2" width="39.5546875" customWidth="1"/>
    <col min="3" max="14" width="9.109375" customWidth="1"/>
    <col min="15" max="26" width="8.6640625" customWidth="1"/>
  </cols>
  <sheetData>
    <row r="1" spans="1:26" ht="14.4" x14ac:dyDescent="0.3">
      <c r="A1" s="1" t="s">
        <v>16</v>
      </c>
      <c r="B1" s="3" t="s">
        <v>144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4.4" x14ac:dyDescent="0.3">
      <c r="A2" s="1" t="s">
        <v>17</v>
      </c>
      <c r="B2" s="5" t="s">
        <v>169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4.4" x14ac:dyDescent="0.3">
      <c r="A3" s="1" t="s">
        <v>18</v>
      </c>
      <c r="B3" s="6" t="str">
        <f>"BK0" &amp; B2 &amp; "/" &amp; B1</f>
        <v>BK044/25-26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4.4" x14ac:dyDescent="0.3">
      <c r="A4" s="1" t="s">
        <v>19</v>
      </c>
      <c r="B4" s="7">
        <v>46012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4.4" x14ac:dyDescent="0.3">
      <c r="A5" s="1" t="s">
        <v>20</v>
      </c>
      <c r="B5" s="7" t="str">
        <f>IF(B1="24-25","AD240424008317F",IF(B1="23-24","AD240322004861M",IF(B1="25-26","AD2403250650768",IF(B1="","select the financial year"))))</f>
        <v>AD2403250650768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.4" x14ac:dyDescent="0.3">
      <c r="A6" s="1" t="s">
        <v>56</v>
      </c>
      <c r="B6" s="7" t="s">
        <v>146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3">
      <c r="A7" s="77" t="s">
        <v>21</v>
      </c>
      <c r="B7" s="79" t="s">
        <v>170</v>
      </c>
      <c r="C7" s="10"/>
      <c r="D7" s="10"/>
      <c r="E7" s="10"/>
      <c r="F7" s="10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3">
      <c r="A8" s="78"/>
      <c r="B8" s="78"/>
      <c r="C8" s="10"/>
      <c r="D8" s="10"/>
      <c r="E8" s="10"/>
      <c r="F8" s="10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3">
      <c r="A9" s="78"/>
      <c r="B9" s="78"/>
      <c r="C9" s="10"/>
      <c r="D9" s="10"/>
      <c r="E9" s="10"/>
      <c r="F9" s="10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4.4" x14ac:dyDescent="0.3">
      <c r="A10" s="78"/>
      <c r="B10" s="78"/>
      <c r="C10" s="10"/>
      <c r="D10" s="10"/>
      <c r="E10" s="10"/>
      <c r="F10" s="10"/>
      <c r="G10" s="4"/>
      <c r="H10" s="4"/>
      <c r="I10" s="4"/>
      <c r="J10" s="4"/>
      <c r="K10" s="4"/>
      <c r="L10" s="4"/>
      <c r="M10" s="4"/>
      <c r="N10" s="11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4.4" x14ac:dyDescent="0.3">
      <c r="A11" s="78"/>
      <c r="B11" s="78"/>
      <c r="C11" s="10"/>
      <c r="D11" s="10"/>
      <c r="E11" s="10"/>
      <c r="F11" s="10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3">
      <c r="A12" s="78"/>
      <c r="B12" s="78"/>
      <c r="C12" s="10"/>
      <c r="D12" s="10"/>
      <c r="E12" s="10"/>
      <c r="F12" s="10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3">
      <c r="A13" s="8" t="s">
        <v>22</v>
      </c>
      <c r="B13" s="9">
        <v>1</v>
      </c>
      <c r="C13" s="10"/>
      <c r="D13" s="10"/>
      <c r="E13" s="10"/>
      <c r="F13" s="10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4.4" x14ac:dyDescent="0.3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4.4" x14ac:dyDescent="0.3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4.4" x14ac:dyDescent="0.3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4.4" x14ac:dyDescent="0.3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4.4" x14ac:dyDescent="0.3">
      <c r="A18" s="1" t="s">
        <v>27</v>
      </c>
      <c r="B18" s="3" t="s">
        <v>152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28.8" x14ac:dyDescent="0.3">
      <c r="A19" s="12" t="s">
        <v>28</v>
      </c>
      <c r="B19" s="3" t="s">
        <v>147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4.4" x14ac:dyDescent="0.3">
      <c r="A20" s="12" t="s">
        <v>29</v>
      </c>
      <c r="B20" s="3" t="s">
        <v>147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4.4" x14ac:dyDescent="0.3">
      <c r="A21" s="12" t="s">
        <v>30</v>
      </c>
      <c r="B21" s="4" t="s">
        <v>171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3">
      <c r="A22" s="12" t="s">
        <v>31</v>
      </c>
      <c r="B22" s="4" t="s">
        <v>171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3">
      <c r="A23" s="13" t="s">
        <v>32</v>
      </c>
      <c r="B23" s="3" t="s">
        <v>148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3">
      <c r="A24" s="1" t="s">
        <v>33</v>
      </c>
      <c r="B24" s="70" t="s">
        <v>172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3">
      <c r="A25" s="1" t="s">
        <v>34</v>
      </c>
      <c r="B25" s="3">
        <v>485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3">
      <c r="A26" s="1" t="s">
        <v>35</v>
      </c>
      <c r="B26" s="3">
        <v>450.71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3">
      <c r="A27" s="4" t="s">
        <v>36</v>
      </c>
      <c r="B27" s="3">
        <v>13.1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3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3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3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3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3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3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3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3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3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3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3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3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3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3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3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3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3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3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3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3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3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3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3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3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3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3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3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3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3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3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3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3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3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3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3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3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3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3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3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3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3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3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3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3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3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3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3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3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3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3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3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3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3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3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3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3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3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3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3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3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3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3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3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3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3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3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3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3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3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3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3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3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3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3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3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3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3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3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3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3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3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3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3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3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3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3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3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3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3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3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3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3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3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3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3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3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3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3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3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3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3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3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3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3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3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3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3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3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3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3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3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3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3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3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3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3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3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3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3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3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3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3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3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3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3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3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3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3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3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3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3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3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3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3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3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3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3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3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3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3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3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3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3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3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3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3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3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3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3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3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3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3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3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3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3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3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3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3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3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3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3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3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3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3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3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3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3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3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3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3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3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3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3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3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3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3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3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3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3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3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3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3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3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3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3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3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3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3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3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3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3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3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3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3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3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3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3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3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3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3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3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3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3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3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3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3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3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3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3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3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3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3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3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3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3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3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3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3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3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3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3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3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3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3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3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3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3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3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3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3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3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3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3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3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3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3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3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3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3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3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3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3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3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3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3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3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3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3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3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3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3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3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3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3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3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3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3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3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3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3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3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3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3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3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3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3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3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3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3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3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3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3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3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3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3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3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3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3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3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3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3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3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3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3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3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3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3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3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3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3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3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3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3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3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3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3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3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3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3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3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3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3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3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3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3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3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3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3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3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3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3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3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3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3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3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3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3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3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3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3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3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3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3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3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3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3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3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3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3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3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3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3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3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3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3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3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3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3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3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3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3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3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3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3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3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3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3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3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3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3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3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3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3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3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3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3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3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3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3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3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3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3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3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3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3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3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3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3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3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3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3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3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3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3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3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3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3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3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3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3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3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3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3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3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3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3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3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3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3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3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3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3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3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3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3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3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3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3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3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3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3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3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3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3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3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3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3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3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3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3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3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3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3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3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3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3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3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3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3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3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3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3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3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3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3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3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3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3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3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3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3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3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3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3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3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3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3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3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3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3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3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3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3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3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3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3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3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3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3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3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3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3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3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3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3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3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3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3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3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3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3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3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3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3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3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3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3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3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3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3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3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3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3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3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3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3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3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3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3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3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3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3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3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3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3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3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3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3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3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3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3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3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3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3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3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3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3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3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3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3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3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3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3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3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3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3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3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3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3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3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3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3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3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3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3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3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3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3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3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3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3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3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3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3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3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3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3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3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3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3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3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3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3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3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3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3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3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3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3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3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3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3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3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3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3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3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3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3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3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3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3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3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3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3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3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3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3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3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3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3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3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3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3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3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3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3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3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3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3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3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3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3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3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3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3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3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3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3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3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3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3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3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3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3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3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3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3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3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3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3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3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3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3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3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3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3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3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3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3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3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3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3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3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3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3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3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3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3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3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3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3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3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3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3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3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3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3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3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3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3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3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3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3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3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3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3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3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3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3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3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3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3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3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3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3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3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3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3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3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3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3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3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3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3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3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3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3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3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3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3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3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3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3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3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3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3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3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3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3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3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3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3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3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3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3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3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3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3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3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3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3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3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3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3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3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3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3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3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3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3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3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3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3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3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3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3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3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3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3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3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3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3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3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3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3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3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3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3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3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3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3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3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3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3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3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3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3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3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3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3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3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3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3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3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3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3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3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3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3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3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3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3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3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3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3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3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3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3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3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3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3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3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3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3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3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3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3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3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3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3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3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3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3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3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3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3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3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3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3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3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3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3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3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3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3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3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3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3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3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3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3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3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3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3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3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3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3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3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3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3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3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3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3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3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3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3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3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3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3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3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3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3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3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3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3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3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3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3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3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3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3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3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3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3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3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3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3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3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3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3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3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3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3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3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3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3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3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3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3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3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3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3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3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3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3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3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3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3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3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3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3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3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3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3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3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3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3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3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3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3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3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3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3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3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3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3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3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3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3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3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3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3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3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3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3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3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3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3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3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3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3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3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3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3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3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3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3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3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3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3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3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3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3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3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3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3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3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3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3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3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3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3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3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3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3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3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3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3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3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3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3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3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3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3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3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3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3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3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3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3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3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3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3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3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3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3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3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3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3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3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3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3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3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3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3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3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3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3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3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3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3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3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3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3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3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3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3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3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3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3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3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3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3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3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3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3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3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3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3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3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3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3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3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3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3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3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3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3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3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3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3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3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3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3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3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3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3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3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3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3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3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3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3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3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3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3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3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3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3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3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3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3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3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3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3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3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3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3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3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3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3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3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3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3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4" priority="1">
      <formula>LEN(TRIM(B1))=0</formula>
    </cfRule>
  </conditionalFormatting>
  <conditionalFormatting sqref="B5:B6">
    <cfRule type="containsText" dxfId="3" priority="2" operator="containsText" text="FALSE">
      <formula>NOT(ISERROR(SEARCH(("FALSE"),(B5))))</formula>
    </cfRule>
  </conditionalFormatting>
  <conditionalFormatting sqref="B5:B6">
    <cfRule type="containsText" dxfId="2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 xr:uid="{00000000-0002-0000-0100-000000000000}">
      <formula1>1</formula1>
      <formula2>100</formula2>
    </dataValidation>
    <dataValidation type="date" operator="greaterThan" allowBlank="1" showInputMessage="1" showErrorMessage="1" prompt="kindly enter date" sqref="B4" xr:uid="{00000000-0002-0000-0100-000001000000}">
      <formula1>44927</formula1>
    </dataValidation>
    <dataValidation type="decimal" allowBlank="1" showInputMessage="1" showErrorMessage="1" prompt="kindly enter numeric values only" sqref="B25:B27" xr:uid="{00000000-0002-0000-0100-000002000000}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00000000-0002-0000-0100-000003000000}">
          <x14:formula1>
            <xm:f>'company data'!$B$2:$B$13</xm:f>
          </x14:formula1>
          <xm:sqref>B14</xm:sqref>
        </x14:dataValidation>
        <x14:dataValidation type="list" allowBlank="1" showErrorMessage="1" xr:uid="{00000000-0002-0000-0100-000004000000}">
          <x14:formula1>
            <xm:f>'company data'!$D$2:$D$23</xm:f>
          </x14:formula1>
          <xm:sqref>B16</xm:sqref>
        </x14:dataValidation>
        <x14:dataValidation type="list" allowBlank="1" showErrorMessage="1" xr:uid="{00000000-0002-0000-0100-000005000000}">
          <x14:formula1>
            <xm:f>'company data'!$A$2:$A$7</xm:f>
          </x14:formula1>
          <xm:sqref>B1</xm:sqref>
        </x14:dataValidation>
        <x14:dataValidation type="list" allowBlank="1" showErrorMessage="1" xr:uid="{00000000-0002-0000-0100-000006000000}">
          <x14:formula1>
            <xm:f>'company data'!$E$2:$E$18</xm:f>
          </x14:formula1>
          <xm:sqref>B17</xm:sqref>
        </x14:dataValidation>
        <x14:dataValidation type="list" allowBlank="1" showErrorMessage="1" xr:uid="{00000000-0002-0000-0100-000007000000}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O997"/>
  <sheetViews>
    <sheetView topLeftCell="A20" workbookViewId="0">
      <selection activeCell="J31" sqref="J31"/>
    </sheetView>
  </sheetViews>
  <sheetFormatPr defaultColWidth="14.44140625" defaultRowHeight="15" customHeight="1" x14ac:dyDescent="0.3"/>
  <cols>
    <col min="1" max="1" width="8.6640625" customWidth="1"/>
    <col min="2" max="2" width="8.33203125" customWidth="1"/>
    <col min="3" max="3" width="8.6640625" customWidth="1"/>
    <col min="4" max="4" width="18.33203125" customWidth="1"/>
    <col min="5" max="5" width="9.6640625" customWidth="1"/>
    <col min="6" max="6" width="6.5546875" customWidth="1"/>
    <col min="7" max="7" width="4.6640625" customWidth="1"/>
    <col min="8" max="8" width="10.109375" customWidth="1"/>
    <col min="9" max="9" width="8.6640625" customWidth="1"/>
    <col min="10" max="10" width="6.5546875" customWidth="1"/>
    <col min="11" max="26" width="8.6640625" customWidth="1"/>
  </cols>
  <sheetData>
    <row r="1" spans="1:10" ht="14.4" x14ac:dyDescent="0.3">
      <c r="A1" s="108" t="s">
        <v>37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4.4" x14ac:dyDescent="0.3">
      <c r="A2" s="82"/>
      <c r="B2" s="82"/>
      <c r="C2" s="82"/>
      <c r="D2" s="82"/>
      <c r="E2" s="82"/>
      <c r="F2" s="82"/>
      <c r="G2" s="82"/>
      <c r="H2" s="82"/>
      <c r="I2" s="82"/>
      <c r="J2" s="82"/>
    </row>
    <row r="3" spans="1:10" ht="14.4" x14ac:dyDescent="0.3">
      <c r="A3" s="14" t="s">
        <v>38</v>
      </c>
      <c r="B3" s="15"/>
      <c r="C3" s="15"/>
      <c r="D3" s="16"/>
      <c r="E3" s="96" t="s">
        <v>39</v>
      </c>
      <c r="F3" s="86"/>
      <c r="G3" s="87"/>
      <c r="H3" s="96" t="s">
        <v>40</v>
      </c>
      <c r="I3" s="86"/>
      <c r="J3" s="87"/>
    </row>
    <row r="4" spans="1:10" ht="14.4" x14ac:dyDescent="0.3">
      <c r="A4" s="17" t="s">
        <v>41</v>
      </c>
      <c r="B4" s="4"/>
      <c r="C4" s="4"/>
      <c r="D4" s="18"/>
      <c r="E4" s="109" t="str">
        <f>'input data'!B3</f>
        <v>BK044/25-26</v>
      </c>
      <c r="F4" s="82"/>
      <c r="G4" s="81"/>
      <c r="H4" s="110">
        <f>'input data'!B4</f>
        <v>46012</v>
      </c>
      <c r="I4" s="111"/>
      <c r="J4" s="112"/>
    </row>
    <row r="5" spans="1:10" ht="14.4" x14ac:dyDescent="0.3">
      <c r="A5" s="19" t="s">
        <v>42</v>
      </c>
      <c r="B5" s="4"/>
      <c r="C5" s="4"/>
      <c r="D5" s="18"/>
      <c r="E5" s="96" t="s">
        <v>43</v>
      </c>
      <c r="F5" s="86"/>
      <c r="G5" s="87"/>
      <c r="H5" s="96" t="s">
        <v>44</v>
      </c>
      <c r="I5" s="86"/>
      <c r="J5" s="87"/>
    </row>
    <row r="6" spans="1:10" ht="14.4" x14ac:dyDescent="0.3">
      <c r="A6" s="19" t="s">
        <v>45</v>
      </c>
      <c r="B6" s="4"/>
      <c r="C6" s="4"/>
      <c r="D6" s="18"/>
      <c r="E6" s="90"/>
      <c r="F6" s="82"/>
      <c r="G6" s="81"/>
      <c r="H6" s="113" t="str">
        <f>'input data'!B5</f>
        <v>AD2403250650768</v>
      </c>
      <c r="I6" s="82"/>
      <c r="J6" s="81"/>
    </row>
    <row r="7" spans="1:10" ht="14.4" x14ac:dyDescent="0.3">
      <c r="A7" s="19" t="s">
        <v>46</v>
      </c>
      <c r="B7" s="4"/>
      <c r="C7" s="4"/>
      <c r="D7" s="18"/>
      <c r="E7" s="96" t="s">
        <v>47</v>
      </c>
      <c r="F7" s="86"/>
      <c r="G7" s="87"/>
      <c r="H7" s="96" t="s">
        <v>48</v>
      </c>
      <c r="I7" s="86"/>
      <c r="J7" s="87"/>
    </row>
    <row r="8" spans="1:10" ht="14.4" x14ac:dyDescent="0.3">
      <c r="A8" s="17" t="s">
        <v>49</v>
      </c>
      <c r="B8" s="4"/>
      <c r="C8" s="4"/>
      <c r="D8" s="18"/>
      <c r="E8" s="90" t="s">
        <v>50</v>
      </c>
      <c r="F8" s="82"/>
      <c r="G8" s="81"/>
      <c r="H8" s="80" t="s">
        <v>51</v>
      </c>
      <c r="I8" s="82"/>
      <c r="J8" s="81"/>
    </row>
    <row r="9" spans="1:10" ht="14.4" x14ac:dyDescent="0.3">
      <c r="A9" s="20" t="s">
        <v>52</v>
      </c>
      <c r="B9" s="4"/>
      <c r="C9" s="4"/>
      <c r="D9" s="18"/>
      <c r="E9" s="96" t="s">
        <v>53</v>
      </c>
      <c r="F9" s="86"/>
      <c r="G9" s="87"/>
      <c r="H9" s="96" t="s">
        <v>54</v>
      </c>
      <c r="I9" s="86"/>
      <c r="J9" s="87"/>
    </row>
    <row r="10" spans="1:10" ht="14.4" x14ac:dyDescent="0.3">
      <c r="A10" s="20" t="s">
        <v>55</v>
      </c>
      <c r="B10" s="4"/>
      <c r="C10" s="4"/>
      <c r="D10" s="18"/>
      <c r="E10" s="100" t="str">
        <f>'input data'!B14</f>
        <v>Loose packing</v>
      </c>
      <c r="F10" s="78"/>
      <c r="G10" s="89"/>
      <c r="H10" s="100" t="str">
        <f>'input data'!B13 &amp; " " &amp; 'input data'!B15</f>
        <v>1 FCL</v>
      </c>
      <c r="I10" s="78"/>
      <c r="J10" s="89"/>
    </row>
    <row r="11" spans="1:10" ht="14.4" x14ac:dyDescent="0.3">
      <c r="A11" s="104" t="s">
        <v>56</v>
      </c>
      <c r="B11" s="86"/>
      <c r="C11" s="86"/>
      <c r="D11" s="87"/>
      <c r="E11" s="119" t="s">
        <v>57</v>
      </c>
      <c r="F11" s="94"/>
      <c r="G11" s="95"/>
      <c r="H11" s="114" t="s">
        <v>58</v>
      </c>
      <c r="I11" s="94"/>
      <c r="J11" s="95"/>
    </row>
    <row r="12" spans="1:10" ht="15" customHeight="1" x14ac:dyDescent="0.3">
      <c r="A12" s="117" t="str">
        <f>'input data'!B6</f>
        <v>To the Order</v>
      </c>
      <c r="B12" s="78"/>
      <c r="C12" s="78"/>
      <c r="D12" s="89"/>
      <c r="E12" s="118" t="str">
        <f>'input data'!B16</f>
        <v>CNF</v>
      </c>
      <c r="F12" s="78"/>
      <c r="G12" s="89"/>
      <c r="H12" s="115" t="str">
        <f>'input data'!B17</f>
        <v>100% Against Documents</v>
      </c>
      <c r="I12" s="78"/>
      <c r="J12" s="89"/>
    </row>
    <row r="13" spans="1:10" ht="14.4" x14ac:dyDescent="0.3">
      <c r="A13" s="17"/>
      <c r="B13" s="4"/>
      <c r="C13" s="4"/>
      <c r="D13" s="18"/>
      <c r="E13" s="92"/>
      <c r="F13" s="82"/>
      <c r="G13" s="81"/>
      <c r="H13" s="82"/>
      <c r="I13" s="82"/>
      <c r="J13" s="81"/>
    </row>
    <row r="14" spans="1:10" ht="14.4" x14ac:dyDescent="0.3">
      <c r="A14" s="14" t="s">
        <v>59</v>
      </c>
      <c r="B14" s="15"/>
      <c r="C14" s="15"/>
      <c r="D14" s="16"/>
      <c r="E14" s="116" t="s">
        <v>60</v>
      </c>
      <c r="F14" s="86"/>
      <c r="G14" s="86"/>
      <c r="H14" s="86"/>
      <c r="I14" s="86"/>
      <c r="J14" s="87"/>
    </row>
    <row r="15" spans="1:10" ht="14.4" x14ac:dyDescent="0.3">
      <c r="A15" s="120" t="str">
        <f>'input data'!B7</f>
        <v xml:space="preserve">MINH TUNG INVESTMENT AND 
DEVELOPMENT COMPANY LIMITED 
NO.46, LANE 90/132 ,GIA QUAT STREET,  BO DE PRECINCT , HANOI .
 TAX CODE: 0109399992
Mail: mtstone2020@gmail.com
</v>
      </c>
      <c r="B15" s="78"/>
      <c r="C15" s="78"/>
      <c r="D15" s="89"/>
      <c r="E15" s="88"/>
      <c r="F15" s="78"/>
      <c r="G15" s="78"/>
      <c r="H15" s="78"/>
      <c r="I15" s="78"/>
      <c r="J15" s="89"/>
    </row>
    <row r="16" spans="1:10" ht="14.4" x14ac:dyDescent="0.3">
      <c r="A16" s="88"/>
      <c r="B16" s="78"/>
      <c r="C16" s="78"/>
      <c r="D16" s="89"/>
      <c r="E16" s="88"/>
      <c r="F16" s="78"/>
      <c r="G16" s="78"/>
      <c r="H16" s="78"/>
      <c r="I16" s="78"/>
      <c r="J16" s="89"/>
    </row>
    <row r="17" spans="1:15" ht="14.4" x14ac:dyDescent="0.3">
      <c r="A17" s="88"/>
      <c r="B17" s="78"/>
      <c r="C17" s="78"/>
      <c r="D17" s="89"/>
      <c r="E17" s="88"/>
      <c r="F17" s="78"/>
      <c r="G17" s="78"/>
      <c r="H17" s="78"/>
      <c r="I17" s="78"/>
      <c r="J17" s="89"/>
    </row>
    <row r="18" spans="1:15" ht="14.4" x14ac:dyDescent="0.3">
      <c r="A18" s="88"/>
      <c r="B18" s="78"/>
      <c r="C18" s="78"/>
      <c r="D18" s="89"/>
      <c r="E18" s="88"/>
      <c r="F18" s="78"/>
      <c r="G18" s="78"/>
      <c r="H18" s="78"/>
      <c r="I18" s="78"/>
      <c r="J18" s="89"/>
    </row>
    <row r="19" spans="1:15" ht="14.4" x14ac:dyDescent="0.3">
      <c r="A19" s="88"/>
      <c r="B19" s="78"/>
      <c r="C19" s="78"/>
      <c r="D19" s="89"/>
      <c r="E19" s="88"/>
      <c r="F19" s="78"/>
      <c r="G19" s="78"/>
      <c r="H19" s="78"/>
      <c r="I19" s="78"/>
      <c r="J19" s="89"/>
    </row>
    <row r="20" spans="1:15" ht="48" customHeight="1" x14ac:dyDescent="0.3">
      <c r="A20" s="92"/>
      <c r="B20" s="82"/>
      <c r="C20" s="82"/>
      <c r="D20" s="81"/>
      <c r="E20" s="92"/>
      <c r="F20" s="82"/>
      <c r="G20" s="82"/>
      <c r="H20" s="82"/>
      <c r="I20" s="82"/>
      <c r="J20" s="81"/>
    </row>
    <row r="21" spans="1:15" ht="15.75" customHeight="1" x14ac:dyDescent="0.3">
      <c r="A21" s="121" t="s">
        <v>61</v>
      </c>
      <c r="B21" s="87"/>
      <c r="C21" s="121" t="s">
        <v>28</v>
      </c>
      <c r="D21" s="87"/>
      <c r="E21" s="121" t="s">
        <v>62</v>
      </c>
      <c r="F21" s="86"/>
      <c r="G21" s="87"/>
      <c r="H21" s="121" t="s">
        <v>32</v>
      </c>
      <c r="I21" s="86"/>
      <c r="J21" s="87"/>
    </row>
    <row r="22" spans="1:15" ht="14.25" customHeight="1" x14ac:dyDescent="0.3">
      <c r="A22" s="122" t="s">
        <v>63</v>
      </c>
      <c r="B22" s="89"/>
      <c r="C22" s="124" t="str">
        <f>'input data'!B19</f>
        <v>CHENNAI</v>
      </c>
      <c r="D22" s="89"/>
      <c r="E22" s="125" t="s">
        <v>64</v>
      </c>
      <c r="F22" s="78"/>
      <c r="G22" s="89"/>
      <c r="H22" s="125" t="str">
        <f>'input data'!B23</f>
        <v>VIETNAM</v>
      </c>
      <c r="I22" s="78"/>
      <c r="J22" s="89"/>
    </row>
    <row r="23" spans="1:15" ht="15" customHeight="1" x14ac:dyDescent="0.3">
      <c r="A23" s="126"/>
      <c r="B23" s="89"/>
      <c r="C23" s="92"/>
      <c r="D23" s="81"/>
      <c r="E23" s="92"/>
      <c r="F23" s="82"/>
      <c r="G23" s="81"/>
      <c r="H23" s="92"/>
      <c r="I23" s="82"/>
      <c r="J23" s="81"/>
    </row>
    <row r="24" spans="1:15" ht="15.75" customHeight="1" x14ac:dyDescent="0.3">
      <c r="A24" s="96" t="s">
        <v>65</v>
      </c>
      <c r="B24" s="87"/>
      <c r="C24" s="123" t="s">
        <v>29</v>
      </c>
      <c r="D24" s="87"/>
      <c r="E24" s="96" t="s">
        <v>30</v>
      </c>
      <c r="F24" s="86"/>
      <c r="G24" s="87"/>
      <c r="H24" s="123" t="s">
        <v>31</v>
      </c>
      <c r="I24" s="86"/>
      <c r="J24" s="87"/>
    </row>
    <row r="25" spans="1:15" ht="15.75" customHeight="1" x14ac:dyDescent="0.3">
      <c r="A25" s="90"/>
      <c r="B25" s="81"/>
      <c r="C25" s="80" t="str">
        <f>'input data'!B20</f>
        <v>CHENNAI</v>
      </c>
      <c r="D25" s="81"/>
      <c r="E25" s="80" t="str">
        <f>'input data'!B21</f>
        <v>HAI PHONG</v>
      </c>
      <c r="F25" s="82"/>
      <c r="G25" s="81"/>
      <c r="H25" s="80" t="str">
        <f>'input data'!B22</f>
        <v>HAI PHONG</v>
      </c>
      <c r="I25" s="82"/>
      <c r="J25" s="81"/>
    </row>
    <row r="26" spans="1:15" ht="15.75" customHeight="1" x14ac:dyDescent="0.3">
      <c r="A26" s="83" t="s">
        <v>66</v>
      </c>
      <c r="B26" s="85" t="s">
        <v>67</v>
      </c>
      <c r="C26" s="86"/>
      <c r="D26" s="87"/>
      <c r="E26" s="83" t="s">
        <v>68</v>
      </c>
      <c r="F26" s="96" t="s">
        <v>69</v>
      </c>
      <c r="G26" s="87"/>
      <c r="H26" s="23" t="s">
        <v>36</v>
      </c>
      <c r="I26" s="96" t="s">
        <v>70</v>
      </c>
      <c r="J26" s="87"/>
    </row>
    <row r="27" spans="1:15" ht="15.75" customHeight="1" thickBot="1" x14ac:dyDescent="0.35">
      <c r="A27" s="84"/>
      <c r="B27" s="88"/>
      <c r="C27" s="78"/>
      <c r="D27" s="89"/>
      <c r="E27" s="84"/>
      <c r="F27" s="80" t="s">
        <v>71</v>
      </c>
      <c r="G27" s="81"/>
      <c r="H27" s="68" t="s">
        <v>71</v>
      </c>
      <c r="I27" s="80" t="s">
        <v>72</v>
      </c>
      <c r="J27" s="81"/>
    </row>
    <row r="28" spans="1:15" ht="15.75" customHeight="1" thickBot="1" x14ac:dyDescent="0.35">
      <c r="A28" s="25">
        <v>1</v>
      </c>
      <c r="B28" s="93" t="str">
        <f>'input data'!B18</f>
        <v>NATURAL POLISHED GRANITE SLABS</v>
      </c>
      <c r="C28" s="94"/>
      <c r="D28" s="95"/>
      <c r="E28" s="26">
        <v>68022390</v>
      </c>
      <c r="F28" s="97">
        <f>'input data'!B26</f>
        <v>450.71</v>
      </c>
      <c r="G28" s="94"/>
      <c r="H28" s="67">
        <f>'input data'!B27</f>
        <v>13.1</v>
      </c>
      <c r="I28" s="105">
        <f>H28*F28</f>
        <v>5904.3009999999995</v>
      </c>
      <c r="J28" s="95"/>
      <c r="O28" s="69"/>
    </row>
    <row r="29" spans="1:15" ht="15.75" customHeight="1" x14ac:dyDescent="0.3">
      <c r="A29" s="17" t="s">
        <v>33</v>
      </c>
      <c r="B29" s="4"/>
      <c r="C29" s="4" t="s">
        <v>34</v>
      </c>
      <c r="D29" s="4" t="s">
        <v>73</v>
      </c>
      <c r="E29" s="4" t="s">
        <v>74</v>
      </c>
      <c r="F29" s="4"/>
      <c r="G29" s="64"/>
      <c r="H29" s="106" t="s">
        <v>151</v>
      </c>
      <c r="I29" s="64"/>
      <c r="J29" s="18"/>
    </row>
    <row r="30" spans="1:15" ht="15.75" customHeight="1" x14ac:dyDescent="0.3">
      <c r="A30" s="100" t="str">
        <f>UPPER('input data'!B24)</f>
        <v>DFSU1228154</v>
      </c>
      <c r="B30" s="78"/>
      <c r="C30" s="3">
        <f>'input data'!B25</f>
        <v>485</v>
      </c>
      <c r="D30" s="4" t="s">
        <v>75</v>
      </c>
      <c r="E30" s="4" t="s">
        <v>76</v>
      </c>
      <c r="F30" s="4"/>
      <c r="G30" s="64"/>
      <c r="H30" s="106"/>
      <c r="I30" s="64"/>
      <c r="J30" s="18"/>
    </row>
    <row r="31" spans="1:15" ht="15.75" customHeight="1" thickBot="1" x14ac:dyDescent="0.35">
      <c r="A31" s="17"/>
      <c r="B31" s="4"/>
      <c r="C31" s="4"/>
      <c r="D31" s="4"/>
      <c r="E31" s="4"/>
      <c r="F31" s="98"/>
      <c r="G31" s="99"/>
      <c r="H31" s="106"/>
      <c r="I31" s="64"/>
      <c r="J31" s="18"/>
    </row>
    <row r="32" spans="1:15" ht="15.75" customHeight="1" thickBot="1" x14ac:dyDescent="0.35">
      <c r="A32" s="28"/>
      <c r="B32" s="30"/>
      <c r="C32" s="30"/>
      <c r="D32" s="30"/>
      <c r="E32" s="30"/>
      <c r="F32" s="30"/>
      <c r="G32" s="65"/>
      <c r="H32" s="107"/>
      <c r="I32" s="97"/>
      <c r="J32" s="95"/>
    </row>
    <row r="33" spans="1:10" ht="15.75" customHeight="1" x14ac:dyDescent="0.3">
      <c r="A33" s="14" t="s">
        <v>77</v>
      </c>
      <c r="B33" s="15"/>
      <c r="C33" s="15"/>
      <c r="D33" s="15"/>
      <c r="E33" s="15"/>
      <c r="F33" s="15"/>
      <c r="G33" s="15"/>
      <c r="H33" s="66"/>
      <c r="I33" s="103">
        <f>SUM(I28:J32)</f>
        <v>5904.3009999999995</v>
      </c>
      <c r="J33" s="87"/>
    </row>
    <row r="34" spans="1:10" ht="15.75" customHeight="1" thickBot="1" x14ac:dyDescent="0.35">
      <c r="A34" s="31" t="s">
        <v>177</v>
      </c>
      <c r="B34" s="30"/>
      <c r="C34" s="30"/>
      <c r="D34" s="30"/>
      <c r="E34" s="30"/>
      <c r="F34" s="30"/>
      <c r="G34" s="30"/>
      <c r="H34" s="27"/>
      <c r="I34" s="92"/>
      <c r="J34" s="81"/>
    </row>
    <row r="35" spans="1:10" ht="15.75" customHeight="1" x14ac:dyDescent="0.3">
      <c r="A35" s="101" t="s">
        <v>78</v>
      </c>
      <c r="B35" s="86"/>
      <c r="C35" s="86"/>
      <c r="D35" s="87"/>
      <c r="E35" s="104" t="s">
        <v>79</v>
      </c>
      <c r="F35" s="86"/>
      <c r="G35" s="86"/>
      <c r="H35" s="86"/>
      <c r="I35" s="86"/>
      <c r="J35" s="87"/>
    </row>
    <row r="36" spans="1:10" ht="19.5" customHeight="1" x14ac:dyDescent="0.3">
      <c r="A36" s="102" t="s">
        <v>80</v>
      </c>
      <c r="B36" s="78"/>
      <c r="C36" s="78"/>
      <c r="D36" s="89"/>
      <c r="E36" s="17" t="s">
        <v>81</v>
      </c>
      <c r="F36" s="4"/>
      <c r="G36" s="4"/>
      <c r="H36" s="4"/>
      <c r="I36" s="4"/>
      <c r="J36" s="18"/>
    </row>
    <row r="37" spans="1:10" ht="19.5" customHeight="1" x14ac:dyDescent="0.3">
      <c r="A37" s="88"/>
      <c r="B37" s="78"/>
      <c r="C37" s="78"/>
      <c r="D37" s="89"/>
      <c r="E37" s="17"/>
      <c r="F37" s="4"/>
      <c r="G37" s="4"/>
      <c r="H37" s="4"/>
      <c r="I37" s="4"/>
      <c r="J37" s="18"/>
    </row>
    <row r="38" spans="1:10" ht="15.75" customHeight="1" x14ac:dyDescent="0.3">
      <c r="A38" s="91" t="s">
        <v>82</v>
      </c>
      <c r="B38" s="78"/>
      <c r="C38" s="78"/>
      <c r="D38" s="89"/>
      <c r="E38" s="17"/>
      <c r="F38" s="4"/>
      <c r="G38" s="4"/>
      <c r="H38" s="4"/>
      <c r="I38" s="4"/>
      <c r="J38" s="18"/>
    </row>
    <row r="39" spans="1:10" ht="18.75" customHeight="1" x14ac:dyDescent="0.3">
      <c r="A39" s="92"/>
      <c r="B39" s="82"/>
      <c r="C39" s="82"/>
      <c r="D39" s="81"/>
      <c r="E39" s="28" t="s">
        <v>83</v>
      </c>
      <c r="F39" s="30"/>
      <c r="G39" s="30"/>
      <c r="H39" s="30"/>
      <c r="I39" s="30"/>
      <c r="J39" s="27"/>
    </row>
    <row r="40" spans="1:10" ht="15.75" customHeight="1" x14ac:dyDescent="0.3"/>
    <row r="41" spans="1:10" ht="15.75" customHeight="1" x14ac:dyDescent="0.3"/>
    <row r="42" spans="1:10" ht="15.75" customHeight="1" x14ac:dyDescent="0.3"/>
    <row r="43" spans="1:10" ht="15.75" customHeight="1" x14ac:dyDescent="0.3"/>
    <row r="44" spans="1:10" ht="15.75" customHeight="1" x14ac:dyDescent="0.3"/>
    <row r="45" spans="1:10" ht="15.75" customHeight="1" x14ac:dyDescent="0.3"/>
    <row r="46" spans="1:10" ht="15.75" customHeight="1" x14ac:dyDescent="0.3"/>
    <row r="47" spans="1:10" ht="15.75" customHeight="1" x14ac:dyDescent="0.3"/>
    <row r="48" spans="1:10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 xr:uid="{00000000-0004-0000-0200-000000000000}"/>
    <hyperlink ref="A10" r:id="rId2" xr:uid="{00000000-0004-0000-0200-000001000000}"/>
  </hyperlinks>
  <pageMargins left="0.7" right="0.7" top="0.75" bottom="0.75" header="0" footer="0"/>
  <pageSetup orientation="portrait" r:id="rId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D6"/>
  <sheetViews>
    <sheetView workbookViewId="0">
      <selection activeCell="F13" sqref="F13"/>
    </sheetView>
  </sheetViews>
  <sheetFormatPr defaultRowHeight="14.4" x14ac:dyDescent="0.3"/>
  <sheetData>
    <row r="1" spans="1:4" x14ac:dyDescent="0.3">
      <c r="A1" s="127" t="s">
        <v>166</v>
      </c>
      <c r="B1" s="127"/>
      <c r="C1" s="127"/>
      <c r="D1" s="127"/>
    </row>
    <row r="2" spans="1:4" x14ac:dyDescent="0.3">
      <c r="A2" s="76" t="s">
        <v>162</v>
      </c>
      <c r="B2" s="76" t="s">
        <v>163</v>
      </c>
      <c r="C2" s="76" t="s">
        <v>164</v>
      </c>
      <c r="D2" s="76" t="s">
        <v>165</v>
      </c>
    </row>
    <row r="3" spans="1:4" x14ac:dyDescent="0.3">
      <c r="A3" s="76">
        <v>1</v>
      </c>
      <c r="B3" s="76">
        <v>431.5</v>
      </c>
      <c r="C3" s="76">
        <v>26.1</v>
      </c>
      <c r="D3" s="76">
        <f>B3*C3</f>
        <v>11262.150000000001</v>
      </c>
    </row>
    <row r="4" spans="1:4" x14ac:dyDescent="0.3">
      <c r="A4" s="127" t="s">
        <v>165</v>
      </c>
      <c r="B4" s="127"/>
      <c r="C4" s="127"/>
      <c r="D4" s="76">
        <f>D3</f>
        <v>11262.150000000001</v>
      </c>
    </row>
    <row r="5" spans="1:4" x14ac:dyDescent="0.3">
      <c r="A5" s="127" t="s">
        <v>167</v>
      </c>
      <c r="B5" s="127"/>
      <c r="C5" s="127"/>
      <c r="D5" s="76">
        <v>7883.5</v>
      </c>
    </row>
    <row r="6" spans="1:4" x14ac:dyDescent="0.3">
      <c r="A6" s="127" t="s">
        <v>168</v>
      </c>
      <c r="B6" s="127"/>
      <c r="C6" s="127"/>
      <c r="D6" s="76">
        <f>D4-D5</f>
        <v>3378.6500000000015</v>
      </c>
    </row>
  </sheetData>
  <mergeCells count="4">
    <mergeCell ref="A1:D1"/>
    <mergeCell ref="A4:C4"/>
    <mergeCell ref="A5:C5"/>
    <mergeCell ref="A6:C6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J998"/>
  <sheetViews>
    <sheetView tabSelected="1" topLeftCell="A22" workbookViewId="0">
      <selection activeCell="L44" sqref="L44"/>
    </sheetView>
  </sheetViews>
  <sheetFormatPr defaultColWidth="14.44140625" defaultRowHeight="15" customHeight="1" x14ac:dyDescent="0.3"/>
  <cols>
    <col min="1" max="4" width="8.6640625" customWidth="1"/>
    <col min="5" max="5" width="7" customWidth="1"/>
    <col min="6" max="6" width="10.88671875" customWidth="1"/>
    <col min="7" max="26" width="8.6640625" customWidth="1"/>
  </cols>
  <sheetData>
    <row r="1" spans="1:10" ht="21" x14ac:dyDescent="0.4">
      <c r="A1" s="135" t="s">
        <v>84</v>
      </c>
      <c r="B1" s="78"/>
      <c r="C1" s="78"/>
      <c r="D1" s="78"/>
      <c r="E1" s="78"/>
      <c r="F1" s="78"/>
      <c r="G1" s="78"/>
      <c r="H1" s="78"/>
      <c r="I1" s="78"/>
      <c r="J1" s="78"/>
    </row>
    <row r="2" spans="1:10" ht="14.4" x14ac:dyDescent="0.3">
      <c r="A2" s="104" t="s">
        <v>85</v>
      </c>
      <c r="B2" s="86"/>
      <c r="C2" s="86"/>
      <c r="D2" s="86"/>
      <c r="E2" s="86"/>
      <c r="F2" s="87"/>
      <c r="G2" s="96" t="s">
        <v>39</v>
      </c>
      <c r="H2" s="87"/>
      <c r="I2" s="128" t="s">
        <v>40</v>
      </c>
      <c r="J2" s="87"/>
    </row>
    <row r="3" spans="1:10" ht="15.6" x14ac:dyDescent="0.3">
      <c r="A3" s="136" t="s">
        <v>86</v>
      </c>
      <c r="B3" s="78"/>
      <c r="C3" s="78"/>
      <c r="D3" s="78"/>
      <c r="E3" s="78"/>
      <c r="F3" s="89"/>
      <c r="G3" s="109" t="str">
        <f>Invoice!E4</f>
        <v>BK044/25-26</v>
      </c>
      <c r="H3" s="81"/>
      <c r="I3" s="110">
        <f>Invoice!H4</f>
        <v>46012</v>
      </c>
      <c r="J3" s="112"/>
    </row>
    <row r="4" spans="1:10" ht="14.4" x14ac:dyDescent="0.3">
      <c r="A4" s="17" t="s">
        <v>87</v>
      </c>
      <c r="B4" s="4"/>
      <c r="C4" s="4"/>
      <c r="D4" s="4"/>
      <c r="E4" s="4"/>
      <c r="F4" s="18"/>
      <c r="G4" s="128" t="s">
        <v>44</v>
      </c>
      <c r="H4" s="86"/>
      <c r="I4" s="86"/>
      <c r="J4" s="87"/>
    </row>
    <row r="5" spans="1:10" ht="14.4" x14ac:dyDescent="0.3">
      <c r="A5" s="17" t="s">
        <v>88</v>
      </c>
      <c r="B5" s="4"/>
      <c r="C5" s="4"/>
      <c r="D5" s="4"/>
      <c r="E5" s="4"/>
      <c r="F5" s="18"/>
      <c r="G5" s="80" t="str">
        <f>'input data'!B5</f>
        <v>AD2403250650768</v>
      </c>
      <c r="H5" s="82"/>
      <c r="I5" s="82"/>
      <c r="J5" s="81"/>
    </row>
    <row r="6" spans="1:10" ht="14.4" x14ac:dyDescent="0.3">
      <c r="A6" s="130" t="s">
        <v>89</v>
      </c>
      <c r="B6" s="78"/>
      <c r="C6" s="78"/>
      <c r="D6" s="78"/>
      <c r="E6" s="78"/>
      <c r="F6" s="18"/>
      <c r="G6" s="22"/>
      <c r="H6" s="29"/>
      <c r="I6" s="29"/>
      <c r="J6" s="32"/>
    </row>
    <row r="7" spans="1:10" ht="14.4" x14ac:dyDescent="0.3">
      <c r="A7" s="17" t="s">
        <v>90</v>
      </c>
      <c r="B7" s="4"/>
      <c r="C7" s="4"/>
      <c r="D7" s="4"/>
      <c r="E7" s="4"/>
      <c r="F7" s="18"/>
      <c r="G7" s="33" t="s">
        <v>91</v>
      </c>
      <c r="H7" s="15"/>
      <c r="I7" s="15"/>
      <c r="J7" s="16"/>
    </row>
    <row r="8" spans="1:10" ht="15.6" x14ac:dyDescent="0.3">
      <c r="A8" s="34" t="s">
        <v>92</v>
      </c>
      <c r="B8" s="4"/>
      <c r="C8" s="4"/>
      <c r="D8" s="4"/>
      <c r="E8" s="4"/>
      <c r="F8" s="18"/>
      <c r="G8" s="35" t="s">
        <v>93</v>
      </c>
      <c r="H8" s="36"/>
      <c r="I8" s="36"/>
      <c r="J8" s="37"/>
    </row>
    <row r="9" spans="1:10" ht="15.6" x14ac:dyDescent="0.3">
      <c r="A9" s="38" t="s">
        <v>52</v>
      </c>
      <c r="B9" s="4"/>
      <c r="C9" s="4"/>
      <c r="D9" s="4"/>
      <c r="E9" s="4"/>
      <c r="F9" s="18"/>
      <c r="G9" s="35" t="s">
        <v>94</v>
      </c>
      <c r="H9" s="36"/>
      <c r="I9" s="36"/>
      <c r="J9" s="37"/>
    </row>
    <row r="10" spans="1:10" ht="14.4" x14ac:dyDescent="0.3">
      <c r="A10" s="39" t="s">
        <v>55</v>
      </c>
      <c r="B10" s="30"/>
      <c r="C10" s="30"/>
      <c r="D10" s="30"/>
      <c r="E10" s="30"/>
      <c r="F10" s="27"/>
      <c r="G10" s="28"/>
      <c r="H10" s="30"/>
      <c r="I10" s="30"/>
      <c r="J10" s="27"/>
    </row>
    <row r="11" spans="1:10" ht="14.4" x14ac:dyDescent="0.3">
      <c r="A11" s="131" t="s">
        <v>56</v>
      </c>
      <c r="B11" s="86"/>
      <c r="C11" s="86"/>
      <c r="D11" s="86"/>
      <c r="E11" s="86"/>
      <c r="F11" s="16"/>
      <c r="G11" s="33" t="s">
        <v>95</v>
      </c>
      <c r="H11" s="15"/>
      <c r="I11" s="15"/>
      <c r="J11" s="16"/>
    </row>
    <row r="12" spans="1:10" ht="14.4" x14ac:dyDescent="0.3">
      <c r="A12" s="132" t="str">
        <f>'input data'!B6</f>
        <v>To the Order</v>
      </c>
      <c r="B12" s="78"/>
      <c r="C12" s="78"/>
      <c r="D12" s="78"/>
      <c r="E12" s="78"/>
      <c r="F12" s="18"/>
      <c r="G12" s="17"/>
      <c r="H12" s="4"/>
      <c r="I12" s="4"/>
      <c r="J12" s="18"/>
    </row>
    <row r="13" spans="1:10" ht="14.4" x14ac:dyDescent="0.3">
      <c r="A13" s="92"/>
      <c r="B13" s="82"/>
      <c r="C13" s="82"/>
      <c r="D13" s="82"/>
      <c r="E13" s="82"/>
      <c r="F13" s="27"/>
      <c r="G13" s="17"/>
      <c r="H13" s="4"/>
      <c r="I13" s="4"/>
      <c r="J13" s="18"/>
    </row>
    <row r="14" spans="1:10" ht="14.4" x14ac:dyDescent="0.3">
      <c r="A14" s="131" t="s">
        <v>59</v>
      </c>
      <c r="B14" s="86"/>
      <c r="C14" s="86"/>
      <c r="D14" s="86"/>
      <c r="E14" s="86"/>
      <c r="F14" s="87"/>
      <c r="G14" s="17"/>
      <c r="H14" s="4"/>
      <c r="I14" s="4"/>
      <c r="J14" s="18"/>
    </row>
    <row r="15" spans="1:10" ht="14.4" x14ac:dyDescent="0.3">
      <c r="A15" s="120" t="str">
        <f>Invoice!A15</f>
        <v xml:space="preserve">MINH TUNG INVESTMENT AND 
DEVELOPMENT COMPANY LIMITED 
NO.46, LANE 90/132 ,GIA QUAT STREET,  BO DE PRECINCT , HANOI .
 TAX CODE: 0109399992
Mail: mtstone2020@gmail.com
</v>
      </c>
      <c r="B15" s="78"/>
      <c r="C15" s="78"/>
      <c r="D15" s="78"/>
      <c r="E15" s="78"/>
      <c r="F15" s="89"/>
      <c r="G15" s="17"/>
      <c r="H15" s="4"/>
      <c r="I15" s="4"/>
      <c r="J15" s="18"/>
    </row>
    <row r="16" spans="1:10" ht="14.4" x14ac:dyDescent="0.3">
      <c r="A16" s="88"/>
      <c r="B16" s="78"/>
      <c r="C16" s="78"/>
      <c r="D16" s="78"/>
      <c r="E16" s="78"/>
      <c r="F16" s="89"/>
      <c r="G16" s="17"/>
      <c r="H16" s="4"/>
      <c r="I16" s="4"/>
      <c r="J16" s="18"/>
    </row>
    <row r="17" spans="1:10" ht="14.4" x14ac:dyDescent="0.3">
      <c r="A17" s="88"/>
      <c r="B17" s="78"/>
      <c r="C17" s="78"/>
      <c r="D17" s="78"/>
      <c r="E17" s="78"/>
      <c r="F17" s="89"/>
      <c r="G17" s="17"/>
      <c r="H17" s="4"/>
      <c r="I17" s="4"/>
      <c r="J17" s="18"/>
    </row>
    <row r="18" spans="1:10" ht="37.5" customHeight="1" x14ac:dyDescent="0.3">
      <c r="A18" s="88"/>
      <c r="B18" s="78"/>
      <c r="C18" s="78"/>
      <c r="D18" s="78"/>
      <c r="E18" s="78"/>
      <c r="F18" s="89"/>
      <c r="G18" s="129" t="s">
        <v>96</v>
      </c>
      <c r="H18" s="87"/>
      <c r="I18" s="138" t="s">
        <v>97</v>
      </c>
      <c r="J18" s="87"/>
    </row>
    <row r="19" spans="1:10" ht="15" customHeight="1" x14ac:dyDescent="0.3">
      <c r="A19" s="88"/>
      <c r="B19" s="78"/>
      <c r="C19" s="78"/>
      <c r="D19" s="78"/>
      <c r="E19" s="78"/>
      <c r="F19" s="89"/>
      <c r="G19" s="92"/>
      <c r="H19" s="81"/>
      <c r="I19" s="82"/>
      <c r="J19" s="81"/>
    </row>
    <row r="20" spans="1:10" ht="30.75" customHeight="1" x14ac:dyDescent="0.3">
      <c r="A20" s="92"/>
      <c r="B20" s="82"/>
      <c r="C20" s="82"/>
      <c r="D20" s="82"/>
      <c r="E20" s="82"/>
      <c r="F20" s="81"/>
      <c r="G20" s="139" t="s">
        <v>64</v>
      </c>
      <c r="H20" s="81"/>
      <c r="I20" s="139" t="str">
        <f>Invoice!H22</f>
        <v>VIETNAM</v>
      </c>
      <c r="J20" s="81"/>
    </row>
    <row r="21" spans="1:10" ht="15.75" customHeight="1" x14ac:dyDescent="0.3">
      <c r="A21" s="133" t="s">
        <v>98</v>
      </c>
      <c r="B21" s="86"/>
      <c r="C21" s="87"/>
      <c r="D21" s="133" t="s">
        <v>99</v>
      </c>
      <c r="E21" s="86"/>
      <c r="F21" s="87"/>
      <c r="G21" s="134" t="s">
        <v>100</v>
      </c>
      <c r="H21" s="94"/>
      <c r="I21" s="94"/>
      <c r="J21" s="95"/>
    </row>
    <row r="22" spans="1:10" ht="15.75" customHeight="1" x14ac:dyDescent="0.3">
      <c r="A22" s="90"/>
      <c r="B22" s="82"/>
      <c r="C22" s="81"/>
      <c r="D22" s="80" t="str">
        <f>Invoice!C22</f>
        <v>CHENNAI</v>
      </c>
      <c r="E22" s="82"/>
      <c r="F22" s="81"/>
      <c r="G22" s="137" t="str">
        <f>'input data'!B16</f>
        <v>CNF</v>
      </c>
      <c r="H22" s="82"/>
      <c r="I22" s="82"/>
      <c r="J22" s="81"/>
    </row>
    <row r="23" spans="1:10" ht="15.75" customHeight="1" x14ac:dyDescent="0.3">
      <c r="A23" s="133" t="s">
        <v>101</v>
      </c>
      <c r="B23" s="86"/>
      <c r="C23" s="87"/>
      <c r="D23" s="133" t="s">
        <v>102</v>
      </c>
      <c r="E23" s="86"/>
      <c r="F23" s="87"/>
      <c r="G23" s="40"/>
      <c r="H23" s="41"/>
      <c r="I23" s="41"/>
      <c r="J23" s="42"/>
    </row>
    <row r="24" spans="1:10" ht="15.75" customHeight="1" x14ac:dyDescent="0.3">
      <c r="A24" s="90"/>
      <c r="B24" s="82"/>
      <c r="C24" s="81"/>
      <c r="D24" s="80" t="str">
        <f>Invoice!C25</f>
        <v>CHENNAI</v>
      </c>
      <c r="E24" s="82"/>
      <c r="F24" s="81"/>
      <c r="G24" s="28"/>
      <c r="H24" s="30"/>
      <c r="I24" s="30"/>
      <c r="J24" s="27"/>
    </row>
    <row r="25" spans="1:10" ht="15.75" customHeight="1" x14ac:dyDescent="0.3">
      <c r="A25" s="133" t="s">
        <v>30</v>
      </c>
      <c r="B25" s="86"/>
      <c r="C25" s="87"/>
      <c r="D25" s="133" t="s">
        <v>31</v>
      </c>
      <c r="E25" s="86"/>
      <c r="F25" s="87"/>
      <c r="G25" s="140" t="s">
        <v>103</v>
      </c>
      <c r="H25" s="94"/>
      <c r="I25" s="94"/>
      <c r="J25" s="95"/>
    </row>
    <row r="26" spans="1:10" ht="15.75" customHeight="1" x14ac:dyDescent="0.3">
      <c r="A26" s="126" t="str">
        <f>Invoice!E25</f>
        <v>HAI PHONG</v>
      </c>
      <c r="B26" s="78"/>
      <c r="C26" s="89"/>
      <c r="D26" s="126" t="str">
        <f>Invoice!H25</f>
        <v>HAI PHONG</v>
      </c>
      <c r="E26" s="78"/>
      <c r="F26" s="89"/>
      <c r="G26" s="129" t="str">
        <f>'input data'!B17</f>
        <v>100% Against Documents</v>
      </c>
      <c r="H26" s="86"/>
      <c r="I26" s="86"/>
      <c r="J26" s="87"/>
    </row>
    <row r="27" spans="1:10" ht="15.75" customHeight="1" x14ac:dyDescent="0.3">
      <c r="A27" s="43"/>
      <c r="B27" s="44"/>
      <c r="C27" s="44"/>
      <c r="D27" s="44"/>
      <c r="E27" s="44"/>
      <c r="F27" s="44"/>
      <c r="G27" s="44"/>
      <c r="H27" s="44"/>
      <c r="I27" s="44"/>
      <c r="J27" s="45"/>
    </row>
    <row r="28" spans="1:10" ht="15.75" customHeight="1" x14ac:dyDescent="0.3">
      <c r="A28" s="24" t="s">
        <v>66</v>
      </c>
      <c r="B28" s="80" t="s">
        <v>104</v>
      </c>
      <c r="C28" s="81"/>
      <c r="D28" s="80" t="s">
        <v>67</v>
      </c>
      <c r="E28" s="82"/>
      <c r="F28" s="82"/>
      <c r="G28" s="46"/>
      <c r="H28" s="47"/>
      <c r="I28" s="80" t="s">
        <v>71</v>
      </c>
      <c r="J28" s="81"/>
    </row>
    <row r="29" spans="1:10" ht="15.75" customHeight="1" thickBot="1" x14ac:dyDescent="0.35">
      <c r="A29" s="25">
        <v>1</v>
      </c>
      <c r="B29" s="93">
        <f>Invoice!E28</f>
        <v>68022390</v>
      </c>
      <c r="C29" s="95"/>
      <c r="D29" s="150" t="str">
        <f>Invoice!B28</f>
        <v>NATURAL POLISHED GRANITE SLABS</v>
      </c>
      <c r="E29" s="94"/>
      <c r="F29" s="94"/>
      <c r="G29" s="94"/>
      <c r="H29" s="95"/>
      <c r="I29" s="151">
        <f>Invoice!F28</f>
        <v>450.71</v>
      </c>
      <c r="J29" s="95"/>
    </row>
    <row r="30" spans="1:10" ht="15.75" customHeight="1" thickBot="1" x14ac:dyDescent="0.35">
      <c r="A30" s="48" t="s">
        <v>105</v>
      </c>
      <c r="B30" s="44"/>
      <c r="C30" s="44"/>
      <c r="D30" s="44"/>
      <c r="E30" s="44"/>
      <c r="F30" s="44"/>
      <c r="G30" s="44"/>
      <c r="H30" s="44"/>
      <c r="I30" s="152">
        <f>SUM(I29:I29)</f>
        <v>450.71</v>
      </c>
      <c r="J30" s="95"/>
    </row>
    <row r="31" spans="1:10" ht="15.75" customHeight="1" x14ac:dyDescent="0.3">
      <c r="A31" s="34"/>
      <c r="B31" s="4"/>
      <c r="C31" s="4"/>
      <c r="D31" s="4"/>
      <c r="E31" s="4"/>
      <c r="F31" s="4"/>
      <c r="G31" s="4"/>
      <c r="H31" s="4"/>
      <c r="I31" s="29"/>
      <c r="J31" s="32"/>
    </row>
    <row r="32" spans="1:10" ht="15.75" customHeight="1" x14ac:dyDescent="0.3">
      <c r="A32" s="126" t="s">
        <v>106</v>
      </c>
      <c r="B32" s="78"/>
      <c r="C32" s="29" t="s">
        <v>34</v>
      </c>
      <c r="D32" s="98" t="s">
        <v>73</v>
      </c>
      <c r="E32" s="78"/>
      <c r="F32" s="29" t="s">
        <v>74</v>
      </c>
      <c r="G32" s="29"/>
      <c r="H32" s="4"/>
      <c r="I32" s="29"/>
      <c r="J32" s="32"/>
    </row>
    <row r="33" spans="1:10" ht="15.75" customHeight="1" x14ac:dyDescent="0.3">
      <c r="A33" s="100" t="str">
        <f>Invoice!A30</f>
        <v>DFSU1228154</v>
      </c>
      <c r="B33" s="78"/>
      <c r="C33" s="49">
        <f>'input data'!B25</f>
        <v>485</v>
      </c>
      <c r="D33" s="148" t="s">
        <v>107</v>
      </c>
      <c r="E33" s="78"/>
      <c r="F33" s="49" t="s">
        <v>108</v>
      </c>
      <c r="G33" s="49"/>
      <c r="H33" s="4"/>
      <c r="I33" s="4"/>
      <c r="J33" s="18"/>
    </row>
    <row r="34" spans="1:10" ht="15.75" customHeight="1" x14ac:dyDescent="0.3">
      <c r="A34" s="21"/>
      <c r="B34" s="50"/>
      <c r="C34" s="50"/>
      <c r="D34" s="50"/>
      <c r="E34" s="50"/>
      <c r="F34" s="50"/>
      <c r="G34" s="50"/>
      <c r="H34" s="50"/>
      <c r="I34" s="50"/>
      <c r="J34" s="51"/>
    </row>
    <row r="35" spans="1:10" ht="15.75" customHeight="1" x14ac:dyDescent="0.3">
      <c r="A35" s="21" t="s">
        <v>109</v>
      </c>
      <c r="B35" s="50"/>
      <c r="C35" s="50" t="str">
        <f>'input data'!B14</f>
        <v>Loose packing</v>
      </c>
      <c r="D35" s="50"/>
      <c r="E35" s="50"/>
      <c r="F35" s="50"/>
      <c r="G35" s="50"/>
      <c r="H35" s="50"/>
      <c r="I35" s="50"/>
      <c r="J35" s="51"/>
    </row>
    <row r="36" spans="1:10" ht="15.75" customHeight="1" x14ac:dyDescent="0.3">
      <c r="A36" s="21" t="s">
        <v>110</v>
      </c>
      <c r="B36" s="50"/>
      <c r="C36" s="50"/>
      <c r="D36" s="50"/>
      <c r="E36" s="50"/>
      <c r="F36" s="50"/>
      <c r="G36" s="50"/>
      <c r="H36" s="50"/>
      <c r="I36" s="50"/>
      <c r="J36" s="51"/>
    </row>
    <row r="37" spans="1:10" ht="15.75" customHeight="1" x14ac:dyDescent="0.3">
      <c r="A37" s="52"/>
      <c r="B37" s="53"/>
      <c r="C37" s="53"/>
      <c r="D37" s="53"/>
      <c r="E37" s="53"/>
      <c r="F37" s="53"/>
      <c r="G37" s="53"/>
      <c r="H37" s="53"/>
      <c r="I37" s="53"/>
      <c r="J37" s="54"/>
    </row>
    <row r="38" spans="1:10" ht="15.75" customHeight="1" x14ac:dyDescent="0.3">
      <c r="A38" s="104" t="s">
        <v>111</v>
      </c>
      <c r="B38" s="86"/>
      <c r="C38" s="86"/>
      <c r="D38" s="86"/>
      <c r="E38" s="86"/>
      <c r="F38" s="87"/>
      <c r="G38" s="104" t="s">
        <v>79</v>
      </c>
      <c r="H38" s="86"/>
      <c r="I38" s="86"/>
      <c r="J38" s="87"/>
    </row>
    <row r="39" spans="1:10" ht="15.75" customHeight="1" x14ac:dyDescent="0.3">
      <c r="A39" s="149" t="s">
        <v>112</v>
      </c>
      <c r="B39" s="78"/>
      <c r="C39" s="78"/>
      <c r="D39" s="78"/>
      <c r="E39" s="78"/>
      <c r="F39" s="89"/>
      <c r="G39" s="17"/>
      <c r="H39" s="4"/>
      <c r="I39" s="4"/>
      <c r="J39" s="18"/>
    </row>
    <row r="40" spans="1:10" ht="15.75" customHeight="1" x14ac:dyDescent="0.3">
      <c r="A40" s="141" t="s">
        <v>113</v>
      </c>
      <c r="B40" s="142"/>
      <c r="C40" s="142"/>
      <c r="D40" s="142"/>
      <c r="E40" s="142"/>
      <c r="F40" s="143"/>
      <c r="G40" s="17"/>
      <c r="H40" s="4"/>
      <c r="I40" s="4"/>
      <c r="J40" s="18"/>
    </row>
    <row r="41" spans="1:10" ht="15.75" customHeight="1" x14ac:dyDescent="0.3">
      <c r="A41" s="144" t="s">
        <v>114</v>
      </c>
      <c r="B41" s="145"/>
      <c r="C41" s="145"/>
      <c r="D41" s="145"/>
      <c r="E41" s="145"/>
      <c r="F41" s="146"/>
      <c r="G41" s="147" t="s">
        <v>115</v>
      </c>
      <c r="H41" s="82"/>
      <c r="I41" s="82"/>
      <c r="J41" s="81"/>
    </row>
    <row r="42" spans="1:10" ht="15.75" customHeight="1" x14ac:dyDescent="0.3"/>
    <row r="43" spans="1:10" ht="15.75" customHeight="1" x14ac:dyDescent="0.3"/>
    <row r="44" spans="1:10" ht="15.75" customHeight="1" x14ac:dyDescent="0.3"/>
    <row r="45" spans="1:10" ht="15.75" customHeight="1" x14ac:dyDescent="0.3"/>
    <row r="46" spans="1:10" ht="15.75" customHeight="1" x14ac:dyDescent="0.3"/>
    <row r="47" spans="1:10" ht="15.75" customHeight="1" x14ac:dyDescent="0.3"/>
    <row r="48" spans="1:10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 xr:uid="{00000000-0004-0000-0400-000000000000}"/>
    <hyperlink ref="A10" r:id="rId2" xr:uid="{00000000-0004-0000-0400-000001000000}"/>
  </hyperlinks>
  <pageMargins left="0.25" right="0.25" top="0.75" bottom="0.75" header="0" footer="0"/>
  <pageSetup paperSize="9" orientation="portrait" r:id="rId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Y997"/>
  <sheetViews>
    <sheetView topLeftCell="A7" zoomScaleNormal="100" workbookViewId="0">
      <selection activeCell="P23" sqref="P23"/>
    </sheetView>
  </sheetViews>
  <sheetFormatPr defaultColWidth="14.44140625" defaultRowHeight="15" customHeight="1" x14ac:dyDescent="0.3"/>
  <cols>
    <col min="1" max="2" width="8.6640625" customWidth="1"/>
    <col min="3" max="3" width="13" customWidth="1"/>
    <col min="4" max="16" width="8.6640625" customWidth="1"/>
    <col min="17" max="17" width="17.44140625" customWidth="1"/>
    <col min="18" max="27" width="8.6640625" customWidth="1"/>
  </cols>
  <sheetData>
    <row r="1" spans="1:25" ht="36.6" x14ac:dyDescent="0.7">
      <c r="A1" s="55"/>
      <c r="B1" s="155" t="s">
        <v>41</v>
      </c>
      <c r="C1" s="156"/>
      <c r="D1" s="156"/>
      <c r="E1" s="156"/>
      <c r="F1" s="156"/>
      <c r="G1" s="156"/>
      <c r="H1" s="156"/>
      <c r="I1" s="156"/>
      <c r="J1" s="156"/>
      <c r="K1" s="157"/>
      <c r="R1" s="161"/>
      <c r="S1" s="78"/>
      <c r="T1" s="78"/>
      <c r="U1" s="78"/>
      <c r="V1" s="78"/>
      <c r="W1" s="162"/>
      <c r="X1" s="78"/>
      <c r="Y1" s="78"/>
    </row>
    <row r="2" spans="1:25" ht="37.200000000000003" thickBot="1" x14ac:dyDescent="0.75">
      <c r="A2" s="55"/>
      <c r="B2" s="158"/>
      <c r="C2" s="159"/>
      <c r="D2" s="159"/>
      <c r="E2" s="159"/>
      <c r="F2" s="159"/>
      <c r="G2" s="159"/>
      <c r="H2" s="159"/>
      <c r="I2" s="159"/>
      <c r="J2" s="159"/>
      <c r="K2" s="160"/>
    </row>
    <row r="3" spans="1:25" ht="14.4" x14ac:dyDescent="0.3">
      <c r="A3" s="56"/>
      <c r="B3" s="163" t="s">
        <v>116</v>
      </c>
      <c r="C3" s="86"/>
      <c r="D3" s="86"/>
      <c r="E3" s="86"/>
      <c r="F3" s="86"/>
      <c r="G3" s="86"/>
      <c r="H3" s="86"/>
      <c r="I3" s="86"/>
      <c r="J3" s="86"/>
      <c r="K3" s="87"/>
    </row>
    <row r="4" spans="1:25" ht="14.4" x14ac:dyDescent="0.3">
      <c r="A4" s="56"/>
      <c r="B4" s="164" t="s">
        <v>117</v>
      </c>
      <c r="C4" s="78"/>
      <c r="D4" s="78"/>
      <c r="E4" s="78"/>
      <c r="F4" s="78"/>
      <c r="G4" s="78"/>
      <c r="H4" s="78"/>
      <c r="I4" s="78"/>
      <c r="J4" s="78"/>
      <c r="K4" s="89"/>
    </row>
    <row r="5" spans="1:25" ht="14.4" x14ac:dyDescent="0.3">
      <c r="A5" s="49"/>
      <c r="B5" s="90" t="s">
        <v>118</v>
      </c>
      <c r="C5" s="82"/>
      <c r="D5" s="82"/>
      <c r="E5" s="82"/>
      <c r="F5" s="82"/>
      <c r="G5" s="82"/>
      <c r="H5" s="82"/>
      <c r="I5" s="82"/>
      <c r="J5" s="82"/>
      <c r="K5" s="81"/>
    </row>
    <row r="6" spans="1:25" ht="14.4" x14ac:dyDescent="0.3">
      <c r="A6" s="4"/>
      <c r="B6" s="33"/>
      <c r="C6" s="15"/>
      <c r="D6" s="15"/>
      <c r="E6" s="15"/>
      <c r="F6" s="15"/>
      <c r="G6" s="15"/>
      <c r="H6" s="15"/>
      <c r="I6" s="15"/>
      <c r="J6" s="15"/>
      <c r="K6" s="16"/>
    </row>
    <row r="7" spans="1:25" ht="18" x14ac:dyDescent="0.35">
      <c r="A7" s="57"/>
      <c r="B7" s="153" t="s">
        <v>119</v>
      </c>
      <c r="C7" s="78"/>
      <c r="D7" s="78"/>
      <c r="E7" s="78"/>
      <c r="F7" s="78"/>
      <c r="G7" s="78"/>
      <c r="H7" s="78"/>
      <c r="I7" s="78"/>
      <c r="J7" s="78"/>
      <c r="K7" s="89"/>
    </row>
    <row r="8" spans="1:25" ht="14.4" x14ac:dyDescent="0.3">
      <c r="A8" s="4"/>
      <c r="B8" s="17"/>
      <c r="C8" s="4"/>
      <c r="D8" s="4"/>
      <c r="E8" s="4"/>
      <c r="F8" s="4"/>
      <c r="G8" s="4"/>
      <c r="H8" s="4"/>
      <c r="I8" s="4"/>
      <c r="J8" s="4"/>
      <c r="K8" s="18"/>
    </row>
    <row r="9" spans="1:25" ht="14.4" x14ac:dyDescent="0.3">
      <c r="A9" s="4"/>
      <c r="B9" s="17" t="s">
        <v>120</v>
      </c>
      <c r="C9" s="184" t="s">
        <v>173</v>
      </c>
      <c r="D9" s="184"/>
      <c r="E9" s="4"/>
      <c r="F9" s="4"/>
      <c r="G9" s="4"/>
      <c r="H9" s="4"/>
      <c r="I9" s="4"/>
      <c r="J9" s="4"/>
      <c r="K9" s="18"/>
    </row>
    <row r="10" spans="1:25" ht="14.4" x14ac:dyDescent="0.3">
      <c r="A10" s="4"/>
      <c r="B10" s="17" t="s">
        <v>121</v>
      </c>
      <c r="C10" s="4" t="s">
        <v>174</v>
      </c>
      <c r="D10" s="4"/>
      <c r="E10" s="4"/>
      <c r="F10" s="4"/>
      <c r="G10" s="4"/>
      <c r="H10" s="4"/>
      <c r="I10" s="4"/>
      <c r="J10" s="4"/>
      <c r="K10" s="18"/>
    </row>
    <row r="11" spans="1:25" ht="14.4" x14ac:dyDescent="0.3">
      <c r="A11" s="4"/>
      <c r="B11" s="17"/>
      <c r="C11" s="4"/>
      <c r="D11" s="4"/>
      <c r="E11" s="4"/>
      <c r="F11" s="4"/>
      <c r="G11" s="4"/>
      <c r="H11" s="4"/>
      <c r="I11" s="4"/>
      <c r="J11" s="4"/>
      <c r="K11" s="18"/>
    </row>
    <row r="12" spans="1:25" ht="14.4" x14ac:dyDescent="0.3">
      <c r="A12" s="4"/>
      <c r="B12" s="17" t="s">
        <v>122</v>
      </c>
      <c r="C12" s="4"/>
      <c r="D12" s="4"/>
      <c r="E12" s="4"/>
      <c r="F12" s="4"/>
      <c r="G12" s="4"/>
      <c r="H12" s="4"/>
      <c r="I12" s="4"/>
      <c r="J12" s="4"/>
      <c r="K12" s="18"/>
    </row>
    <row r="13" spans="1:25" ht="14.4" x14ac:dyDescent="0.3">
      <c r="A13" s="3"/>
      <c r="B13" s="102" t="s">
        <v>175</v>
      </c>
      <c r="C13" s="78"/>
      <c r="D13" s="78"/>
      <c r="E13" s="78"/>
      <c r="F13" s="78"/>
      <c r="G13" s="78"/>
      <c r="H13" s="4"/>
      <c r="I13" s="4"/>
      <c r="J13" s="4"/>
      <c r="K13" s="18"/>
    </row>
    <row r="14" spans="1:25" ht="14.4" x14ac:dyDescent="0.3">
      <c r="A14" s="9"/>
      <c r="B14" s="120" t="s">
        <v>176</v>
      </c>
      <c r="C14" s="78"/>
      <c r="D14" s="78"/>
      <c r="E14" s="78"/>
      <c r="F14" s="78"/>
      <c r="G14" s="78"/>
      <c r="H14" s="4"/>
      <c r="I14" s="4"/>
      <c r="J14" s="4"/>
      <c r="K14" s="18"/>
    </row>
    <row r="15" spans="1:25" ht="49.5" customHeight="1" x14ac:dyDescent="0.3">
      <c r="A15" s="9"/>
      <c r="B15" s="88"/>
      <c r="C15" s="78"/>
      <c r="D15" s="78"/>
      <c r="E15" s="78"/>
      <c r="F15" s="78"/>
      <c r="G15" s="78"/>
      <c r="H15" s="4"/>
      <c r="I15" s="4"/>
      <c r="J15" s="4"/>
      <c r="K15" s="18"/>
    </row>
    <row r="16" spans="1:25" ht="14.4" x14ac:dyDescent="0.3">
      <c r="A16" s="4"/>
      <c r="B16" s="17" t="s">
        <v>123</v>
      </c>
      <c r="C16" s="4"/>
      <c r="D16" s="4"/>
      <c r="E16" s="4"/>
      <c r="F16" s="4"/>
      <c r="G16" s="4"/>
      <c r="H16" s="4"/>
      <c r="I16" s="4"/>
      <c r="J16" s="4"/>
      <c r="K16" s="18"/>
    </row>
    <row r="17" spans="1:18" thickBot="1" x14ac:dyDescent="0.35">
      <c r="A17" s="4"/>
      <c r="B17" s="28"/>
      <c r="C17" s="30"/>
      <c r="D17" s="30"/>
      <c r="E17" s="30"/>
      <c r="F17" s="30"/>
      <c r="G17" s="30"/>
      <c r="H17" s="30"/>
      <c r="I17" s="30"/>
      <c r="J17" s="30"/>
      <c r="K17" s="27"/>
      <c r="O17" t="s">
        <v>153</v>
      </c>
      <c r="P17" t="s">
        <v>154</v>
      </c>
      <c r="Q17" t="s">
        <v>105</v>
      </c>
    </row>
    <row r="18" spans="1:18" thickBot="1" x14ac:dyDescent="0.35">
      <c r="A18" s="50"/>
      <c r="B18" s="119" t="s">
        <v>124</v>
      </c>
      <c r="C18" s="114"/>
      <c r="D18" s="114"/>
      <c r="E18" s="154"/>
      <c r="F18" s="119" t="s">
        <v>125</v>
      </c>
      <c r="G18" s="95"/>
      <c r="H18" s="119" t="s">
        <v>126</v>
      </c>
      <c r="I18" s="95"/>
      <c r="J18" s="119" t="s">
        <v>127</v>
      </c>
      <c r="K18" s="95"/>
      <c r="N18" t="s">
        <v>155</v>
      </c>
      <c r="O18">
        <v>1245</v>
      </c>
      <c r="P18">
        <v>80</v>
      </c>
      <c r="Q18">
        <f>O18*P18</f>
        <v>99600</v>
      </c>
    </row>
    <row r="19" spans="1:18" ht="15.75" customHeight="1" thickBot="1" x14ac:dyDescent="0.35">
      <c r="A19" s="3"/>
      <c r="B19" s="150" t="s">
        <v>152</v>
      </c>
      <c r="C19" s="175"/>
      <c r="D19" s="175"/>
      <c r="E19" s="176"/>
      <c r="F19" s="167">
        <v>80.5</v>
      </c>
      <c r="G19" s="168"/>
      <c r="H19" s="169">
        <v>4849.6400000000003</v>
      </c>
      <c r="I19" s="95"/>
      <c r="J19" s="173">
        <f>H19*F19</f>
        <v>390396.02</v>
      </c>
      <c r="K19" s="95"/>
      <c r="N19" t="s">
        <v>156</v>
      </c>
      <c r="O19">
        <v>3156</v>
      </c>
      <c r="P19">
        <v>90</v>
      </c>
      <c r="Q19">
        <f>O19*P19</f>
        <v>284040</v>
      </c>
    </row>
    <row r="20" spans="1:18" ht="15.75" customHeight="1" x14ac:dyDescent="0.3">
      <c r="A20" s="49"/>
      <c r="B20" s="100"/>
      <c r="C20" s="78"/>
      <c r="D20" s="78"/>
      <c r="E20" s="78"/>
      <c r="F20" s="162"/>
      <c r="G20" s="174"/>
      <c r="H20" s="179" t="s">
        <v>161</v>
      </c>
      <c r="I20" s="180"/>
      <c r="J20" s="177">
        <f>J19*0.001</f>
        <v>390.39602000000002</v>
      </c>
      <c r="K20" s="178"/>
      <c r="O20" s="71">
        <f>O27</f>
        <v>448.63959999999952</v>
      </c>
      <c r="P20">
        <v>15</v>
      </c>
      <c r="Q20">
        <f>O20*P20</f>
        <v>6729.5939999999928</v>
      </c>
    </row>
    <row r="21" spans="1:18" ht="15.75" customHeight="1" thickBot="1" x14ac:dyDescent="0.35">
      <c r="A21" s="3"/>
      <c r="B21" s="147"/>
      <c r="C21" s="82"/>
      <c r="D21" s="82"/>
      <c r="E21" s="82"/>
      <c r="F21" s="30"/>
      <c r="G21" s="58"/>
      <c r="H21" s="182" t="s">
        <v>105</v>
      </c>
      <c r="I21" s="183"/>
      <c r="J21" s="165">
        <f>SUM(J19:K20)</f>
        <v>390786.41602</v>
      </c>
      <c r="K21" s="166"/>
      <c r="Q21">
        <f>Q18+Q19+Q20</f>
        <v>390369.59399999998</v>
      </c>
    </row>
    <row r="22" spans="1:18" ht="15.75" customHeight="1" thickBot="1" x14ac:dyDescent="0.35">
      <c r="A22" s="49"/>
      <c r="B22" s="100"/>
      <c r="C22" s="78"/>
      <c r="D22" s="78"/>
      <c r="E22" s="78"/>
      <c r="F22" s="4"/>
      <c r="G22" s="4"/>
      <c r="H22" s="170"/>
      <c r="I22" s="78"/>
      <c r="J22" s="162"/>
      <c r="K22" s="89"/>
    </row>
    <row r="23" spans="1:18" ht="15.75" customHeight="1" thickBot="1" x14ac:dyDescent="0.35">
      <c r="A23" s="50"/>
      <c r="B23" s="171" t="s">
        <v>128</v>
      </c>
      <c r="C23" s="94"/>
      <c r="D23" s="44"/>
      <c r="E23" s="44"/>
      <c r="F23" s="44"/>
      <c r="G23" s="44"/>
      <c r="H23" s="44"/>
      <c r="I23" s="44"/>
      <c r="J23" s="172">
        <f>J21</f>
        <v>390786.41602</v>
      </c>
      <c r="K23" s="95"/>
      <c r="Q23" s="74">
        <f>Q21/O25</f>
        <v>80.494557574958776</v>
      </c>
      <c r="R23" s="73" t="s">
        <v>154</v>
      </c>
    </row>
    <row r="24" spans="1:18" ht="15.75" customHeight="1" x14ac:dyDescent="0.3">
      <c r="A24" s="4"/>
      <c r="B24" s="17"/>
      <c r="C24" s="4"/>
      <c r="D24" s="4"/>
      <c r="E24" s="4"/>
      <c r="F24" s="4"/>
      <c r="G24" s="4"/>
      <c r="H24" s="4"/>
      <c r="I24" s="4"/>
      <c r="J24" s="4"/>
      <c r="K24" s="18"/>
      <c r="Q24" s="72"/>
    </row>
    <row r="25" spans="1:18" ht="15.75" customHeight="1" x14ac:dyDescent="0.3">
      <c r="A25" s="59"/>
      <c r="B25" s="181" t="s">
        <v>129</v>
      </c>
      <c r="C25" s="78"/>
      <c r="D25" s="4"/>
      <c r="E25" s="4"/>
      <c r="F25" s="4"/>
      <c r="G25" s="4"/>
      <c r="H25" s="4"/>
      <c r="I25" s="4"/>
      <c r="J25" s="4"/>
      <c r="K25" s="18"/>
      <c r="M25" t="s">
        <v>158</v>
      </c>
      <c r="N25">
        <v>450.71</v>
      </c>
      <c r="O25" s="75">
        <f>N25*10.76</f>
        <v>4849.6395999999995</v>
      </c>
      <c r="P25" s="73" t="s">
        <v>160</v>
      </c>
    </row>
    <row r="26" spans="1:18" ht="15.75" customHeight="1" x14ac:dyDescent="0.3">
      <c r="A26" s="4"/>
      <c r="B26" s="17" t="s">
        <v>130</v>
      </c>
      <c r="C26" s="4"/>
      <c r="D26" s="4" t="s">
        <v>149</v>
      </c>
      <c r="E26" s="4"/>
      <c r="F26" s="4"/>
      <c r="G26" s="4"/>
      <c r="H26" s="4"/>
      <c r="I26" s="4"/>
      <c r="J26" s="4"/>
      <c r="K26" s="18"/>
      <c r="M26" t="s">
        <v>159</v>
      </c>
      <c r="O26">
        <v>4401</v>
      </c>
    </row>
    <row r="27" spans="1:18" ht="15.75" customHeight="1" x14ac:dyDescent="0.3">
      <c r="A27" s="4"/>
      <c r="B27" s="17" t="s">
        <v>131</v>
      </c>
      <c r="C27" s="4"/>
      <c r="D27" s="4"/>
      <c r="E27" s="4"/>
      <c r="F27" s="4"/>
      <c r="G27" s="4"/>
      <c r="H27" s="4"/>
      <c r="I27" s="4"/>
      <c r="J27" s="4"/>
      <c r="K27" s="18"/>
      <c r="M27" t="s">
        <v>157</v>
      </c>
      <c r="O27" s="71">
        <f>O25-O26</f>
        <v>448.63959999999952</v>
      </c>
    </row>
    <row r="28" spans="1:18" ht="15.75" customHeight="1" x14ac:dyDescent="0.3">
      <c r="A28" s="4"/>
      <c r="B28" s="17" t="s">
        <v>132</v>
      </c>
      <c r="C28" s="4"/>
      <c r="D28" s="4"/>
      <c r="E28" s="4"/>
      <c r="F28" s="4"/>
      <c r="G28" s="4"/>
      <c r="H28" s="4"/>
      <c r="I28" s="4"/>
      <c r="J28" s="4"/>
      <c r="K28" s="18"/>
    </row>
    <row r="29" spans="1:18" ht="15.75" customHeight="1" x14ac:dyDescent="0.3">
      <c r="A29" s="4"/>
      <c r="B29" s="17" t="s">
        <v>133</v>
      </c>
      <c r="C29" s="4"/>
      <c r="D29" s="4" t="s">
        <v>150</v>
      </c>
      <c r="E29" s="4"/>
      <c r="F29" s="4"/>
      <c r="G29" s="4"/>
      <c r="H29" s="4"/>
      <c r="I29" s="4"/>
      <c r="J29" s="4"/>
      <c r="K29" s="18"/>
    </row>
    <row r="30" spans="1:18" ht="15.75" customHeight="1" x14ac:dyDescent="0.3">
      <c r="A30" s="4"/>
      <c r="B30" s="17" t="s">
        <v>134</v>
      </c>
      <c r="C30" s="4"/>
      <c r="D30" s="4"/>
      <c r="E30" s="4"/>
      <c r="F30" s="4"/>
      <c r="G30" s="4"/>
      <c r="H30" s="4"/>
      <c r="I30" s="4"/>
      <c r="J30" s="4"/>
      <c r="K30" s="18"/>
    </row>
    <row r="31" spans="1:18" ht="15.75" customHeight="1" x14ac:dyDescent="0.3">
      <c r="A31" s="4"/>
      <c r="B31" s="17" t="s">
        <v>135</v>
      </c>
      <c r="C31" s="4"/>
      <c r="D31" s="4"/>
      <c r="E31" s="4"/>
      <c r="F31" s="4"/>
      <c r="G31" s="4"/>
      <c r="H31" s="4"/>
      <c r="I31" s="4"/>
      <c r="J31" s="4"/>
      <c r="K31" s="18"/>
    </row>
    <row r="32" spans="1:18" ht="15.75" customHeight="1" x14ac:dyDescent="0.3">
      <c r="A32" s="4"/>
      <c r="B32" s="17" t="s">
        <v>136</v>
      </c>
      <c r="C32" s="4"/>
      <c r="D32" s="4" t="s">
        <v>137</v>
      </c>
      <c r="E32" s="4"/>
      <c r="F32" s="4"/>
      <c r="G32" s="4"/>
      <c r="H32" s="4"/>
      <c r="I32" s="4"/>
      <c r="J32" s="4"/>
      <c r="K32" s="18"/>
    </row>
    <row r="33" spans="1:11" ht="15.75" customHeight="1" x14ac:dyDescent="0.3">
      <c r="A33" s="4"/>
      <c r="B33" s="17"/>
      <c r="C33" s="4"/>
      <c r="D33" s="1" t="s">
        <v>138</v>
      </c>
      <c r="E33" s="4"/>
      <c r="F33" s="4"/>
      <c r="G33" s="4"/>
      <c r="H33" s="4"/>
      <c r="I33" s="4"/>
      <c r="J33" s="4"/>
      <c r="K33" s="18"/>
    </row>
    <row r="34" spans="1:11" ht="15.75" customHeight="1" x14ac:dyDescent="0.3">
      <c r="A34" s="4"/>
      <c r="B34" s="17"/>
      <c r="C34" s="4"/>
      <c r="D34" s="4" t="s">
        <v>139</v>
      </c>
      <c r="E34" s="4"/>
      <c r="F34" s="4"/>
      <c r="G34" s="4"/>
      <c r="H34" s="4"/>
      <c r="I34" s="4"/>
      <c r="J34" s="4"/>
      <c r="K34" s="18"/>
    </row>
    <row r="35" spans="1:11" ht="15.75" customHeight="1" x14ac:dyDescent="0.3">
      <c r="A35" s="60"/>
      <c r="B35" s="136" t="s">
        <v>140</v>
      </c>
      <c r="C35" s="78"/>
      <c r="D35" s="78"/>
      <c r="E35" s="78"/>
      <c r="F35" s="78"/>
      <c r="G35" s="78"/>
      <c r="H35" s="4"/>
      <c r="I35" s="4"/>
      <c r="J35" s="4"/>
      <c r="K35" s="18"/>
    </row>
    <row r="36" spans="1:11" ht="15.75" customHeight="1" x14ac:dyDescent="0.3">
      <c r="A36" s="60"/>
      <c r="B36" s="136" t="s">
        <v>141</v>
      </c>
      <c r="C36" s="78"/>
      <c r="D36" s="78"/>
      <c r="E36" s="78"/>
      <c r="F36" s="78"/>
      <c r="G36" s="78"/>
      <c r="H36" s="4"/>
      <c r="I36" s="4"/>
      <c r="J36" s="4"/>
      <c r="K36" s="18"/>
    </row>
    <row r="37" spans="1:11" ht="15.75" customHeight="1" x14ac:dyDescent="0.3">
      <c r="A37" s="36"/>
      <c r="B37" s="35" t="s">
        <v>142</v>
      </c>
      <c r="C37" s="61" t="str">
        <f>'input data'!B5</f>
        <v>AD2403250650768</v>
      </c>
      <c r="D37" s="36"/>
      <c r="E37" s="36"/>
      <c r="F37" s="36"/>
      <c r="G37" s="36"/>
      <c r="H37" s="4"/>
      <c r="I37" s="4"/>
      <c r="J37" s="4"/>
      <c r="K37" s="18"/>
    </row>
    <row r="38" spans="1:11" ht="15.75" customHeight="1" x14ac:dyDescent="0.3">
      <c r="A38" s="4"/>
      <c r="B38" s="17" t="s">
        <v>143</v>
      </c>
      <c r="C38" s="4"/>
      <c r="D38" s="4"/>
      <c r="E38" s="4"/>
      <c r="F38" s="4"/>
      <c r="G38" s="4"/>
      <c r="H38" s="4"/>
      <c r="I38" s="4"/>
      <c r="J38" s="4"/>
      <c r="K38" s="18"/>
    </row>
    <row r="39" spans="1:11" ht="15.75" customHeight="1" x14ac:dyDescent="0.3">
      <c r="A39" s="4"/>
      <c r="B39" s="17"/>
      <c r="C39" s="4"/>
      <c r="D39" s="4"/>
      <c r="E39" s="4"/>
      <c r="F39" s="4"/>
      <c r="G39" s="4"/>
      <c r="H39" s="4"/>
      <c r="I39" s="4"/>
      <c r="J39" s="4"/>
      <c r="K39" s="18"/>
    </row>
    <row r="40" spans="1:11" ht="15.75" customHeight="1" x14ac:dyDescent="0.3">
      <c r="A40" s="4"/>
      <c r="B40" s="17"/>
      <c r="C40" s="4"/>
      <c r="D40" s="4"/>
      <c r="E40" s="4"/>
      <c r="F40" s="4"/>
      <c r="G40" s="4"/>
      <c r="H40" s="4"/>
      <c r="I40" s="4"/>
      <c r="J40" s="4"/>
      <c r="K40" s="18"/>
    </row>
    <row r="41" spans="1:11" ht="15.75" customHeight="1" x14ac:dyDescent="0.3">
      <c r="A41" s="4"/>
      <c r="B41" s="28"/>
      <c r="C41" s="30"/>
      <c r="D41" s="30"/>
      <c r="E41" s="30"/>
      <c r="F41" s="30"/>
      <c r="G41" s="30"/>
      <c r="H41" s="30"/>
      <c r="I41" s="30"/>
      <c r="J41" s="30"/>
      <c r="K41" s="27"/>
    </row>
    <row r="42" spans="1:11" ht="15.75" customHeight="1" x14ac:dyDescent="0.3"/>
    <row r="43" spans="1:11" ht="15.75" customHeight="1" x14ac:dyDescent="0.3"/>
    <row r="44" spans="1:11" ht="15.75" customHeight="1" x14ac:dyDescent="0.3"/>
    <row r="45" spans="1:11" ht="15.75" customHeight="1" x14ac:dyDescent="0.3"/>
    <row r="46" spans="1:11" ht="15.75" customHeight="1" x14ac:dyDescent="0.3"/>
    <row r="47" spans="1:11" ht="15.75" customHeight="1" x14ac:dyDescent="0.3"/>
    <row r="48" spans="1:11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company data</vt:lpstr>
      <vt:lpstr>input data</vt:lpstr>
      <vt:lpstr>Invoice</vt:lpstr>
      <vt:lpstr>Sheet1</vt:lpstr>
      <vt:lpstr>Peacking List</vt:lpstr>
      <vt:lpstr>PO</vt:lpstr>
      <vt:lpstr>PO!Print_Area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B K EXPORTS</cp:lastModifiedBy>
  <cp:lastPrinted>2025-12-21T11:30:49Z</cp:lastPrinted>
  <dcterms:created xsi:type="dcterms:W3CDTF">2022-11-23T06:47:43Z</dcterms:created>
  <dcterms:modified xsi:type="dcterms:W3CDTF">2025-12-21T11:30:59Z</dcterms:modified>
</cp:coreProperties>
</file>
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5 BK045 Feb 25-VNV VIET NAM CONSTRUCTION AND TRADING Absolute Short Mix 90 UP too (VS) (RJ)\"/>
    </mc:Choice>
  </mc:AlternateContent>
  <bookViews>
    <workbookView xWindow="-105" yWindow="-105" windowWidth="23250" windowHeight="12450" activeTab="6"/>
  </bookViews>
  <sheets>
    <sheet name="company data" sheetId="1" r:id="rId1"/>
    <sheet name="input data" sheetId="2" r:id="rId2"/>
    <sheet name="Invoice" sheetId="3" r:id="rId3"/>
    <sheet name="Sheet1" sheetId="6" r:id="rId4"/>
    <sheet name="Packing list" sheetId="4" r:id="rId5"/>
    <sheet name="PO" sheetId="5" r:id="rId6"/>
    <sheet name="credit note" sheetId="8" r:id="rId7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33" i="8" l="1"/>
  <c r="H25" i="8"/>
  <c r="E25" i="8"/>
  <c r="C25" i="8"/>
  <c r="H22" i="8"/>
  <c r="C22" i="8"/>
  <c r="A15" i="8"/>
  <c r="H12" i="8"/>
  <c r="E12" i="8"/>
  <c r="A12" i="8"/>
  <c r="H10" i="8"/>
  <c r="E10" i="8"/>
  <c r="H6" i="8"/>
  <c r="J20" i="5" l="1"/>
  <c r="D3" i="6" l="1"/>
  <c r="D4" i="6" s="1"/>
  <c r="D6" i="6" s="1"/>
  <c r="F28" i="3" l="1"/>
  <c r="H28" i="3"/>
  <c r="Q19" i="5" l="1"/>
  <c r="O25" i="5" l="1"/>
  <c r="O27" i="5" l="1"/>
  <c r="O20" i="5" s="1"/>
  <c r="Q20" i="5" s="1"/>
  <c r="Q18" i="5" l="1"/>
  <c r="Q21" i="5" s="1"/>
  <c r="Q23" i="5" s="1"/>
  <c r="J19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</calcChain>
</file>

<file path=xl/sharedStrings.xml><?xml version="1.0" encoding="utf-8"?>
<sst xmlns="http://schemas.openxmlformats.org/spreadsheetml/2006/main" count="270" uniqueCount="182">
  <si>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</si>
  <si>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</si>
  <si>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</si>
  <si>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</si>
  <si>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</si>
  <si>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</si>
  <si>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</si>
  <si>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</si>
  <si>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</si>
  <si>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</si>
  <si>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</si>
  <si>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</si>
  <si>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</si>
  <si>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</si>
  <si>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</si>
  <si>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</si>
  <si>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</si>
  <si>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</si>
  <si>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</si>
  <si>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</si>
  <si>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</si>
  <si>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</si>
  <si>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</si>
  <si>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</si>
  <si>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</si>
  <si>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</si>
  <si>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</si>
  <si>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</si>
  <si>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</si>
  <si>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</si>
  <si>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</si>
  <si>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</si>
  <si>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</si>
  <si>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</si>
  <si>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</si>
  <si>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</si>
  <si>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</si>
  <si>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</si>
  <si>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</si>
  <si>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</si>
  <si>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</si>
  <si>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</si>
  <si>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</si>
  <si>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</si>
  <si>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</si>
  <si>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</si>
  <si>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</si>
  <si>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</si>
  <si>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</si>
  <si>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</si>
  <si>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</si>
  <si>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</si>
  <si>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</si>
  <si>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</si>
  <si>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</si>
  <si>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</si>
  <si>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</si>
  <si>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</si>
  <si>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</si>
  <si>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</si>
  <si>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</si>
  <si>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</si>
  <si>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</si>
  <si>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</si>
  <si>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</si>
  <si>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</si>
  <si>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</si>
  <si>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</si>
  <si>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</si>
  <si>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</si>
  <si>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</si>
  <si>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</si>
  <si>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</si>
  <si>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</si>
  <si>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</si>
  <si>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</si>
  <si>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</si>
  <si>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</si>
  <si>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</si>
  <si>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</si>
  <si>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</si>
  <si>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</si>
  <si>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</si>
  <si>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</si>
  <si>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</si>
  <si>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</si>
  <si>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</si>
  <si>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</si>
  <si>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</si>
  <si>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</si>
  <si>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</si>
  <si>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</si>
  <si>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</si>
  <si>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</si>
  <si>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</si>
  <si>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</si>
  <si>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</si>
  <si>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</si>
  <si>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</si>
  <si>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</si>
  <si>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</si>
  <si>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</si>
  <si>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</si>
  <si>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</si>
  <si>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</si>
  <si>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</si>
  <si>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</si>
  <si>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</si>
  <si>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</si>
  <si>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</si>
  <si>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</si>
  <si>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</si>
  <si>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</si>
  <si>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</si>
  <si>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</si>
  <si>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</si>
  <si>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</si>
  <si>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</si>
  <si>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</si>
  <si>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</si>
  <si>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</si>
  <si>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</si>
  <si>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</si>
  <si>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</si>
  <si>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</si>
  <si>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</si>
  <si>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</si>
  <si>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</si>
  <si>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</si>
  <si>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</si>
  <si>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</si>
  <si>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</si>
  <si>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</si>
  <si>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</si>
  <si>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</si>
  <si>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</si>
  <si>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</si>
  <si>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</si>
  <si>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</si>
  <si>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</si>
  <si>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</si>
  <si>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</si>
  <si>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</si>
  <si>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</si>
  <si>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</si>
  <si>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</si>
  <si>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</si>
  <si>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</si>
  <si>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</si>
  <si>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</si>
  <si>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</si>
  <si>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</si>
  <si>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</si>
  <si>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</si>
  <si>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</si>
  <si>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</si>
  <si>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</si>
  <si>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</si>
  <si>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</si>
  <si>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</si>
  <si>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</si>
  <si>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</si>
  <si>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</si>
  <si>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</si>
  <si>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</si>
  <si>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</si>
  <si>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</si>
  <si>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</si>
  <si>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>HAI PHONG</t>
  </si>
  <si>
    <t>45</t>
  </si>
  <si>
    <t>PO045/25-26</t>
  </si>
  <si>
    <t>DHARANI INDUSTRIES</t>
  </si>
  <si>
    <t>PLOT NO.110
I.D.AKHAMMAM
Khammam,TELANGANA-507003
GST NO : 36AADFD4462C1ZT</t>
  </si>
  <si>
    <t>VNV VIET NAM CONSTRUCTION AND TRADING INVESTMENT JOINT STOCK COMPANY
TAX NUMBER: 2902130554
EMAIL: granitevnvvietnam@gmail.com
PHONE NUMBER: 0919955533
ADDRESS: NO 40C, NGUYEN TIEN TAI STREET, THANH VINH WARD, NGHE AN PROVINCE, VIET NAM</t>
  </si>
  <si>
    <t>WHSU2558220</t>
  </si>
  <si>
    <t>Eight Thousand Four Hundred Thirty Six Dollars and Twenty Four Cents</t>
  </si>
  <si>
    <t>GST 18%</t>
  </si>
  <si>
    <t>Credit Note</t>
  </si>
  <si>
    <t>CR No.</t>
  </si>
  <si>
    <t>CR045/25-26</t>
  </si>
  <si>
    <t xml:space="preserve">Four Hundred Dollars </t>
  </si>
  <si>
    <t>Discount for Defect in BK045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</si>
</sst>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14009]dd/mm/yyyy;@"/>
    <numFmt numFmtId="168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2" fillId="0" borderId="0" xfId="0" applyFo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166" fontId="6" fillId="0" borderId="34" xfId="0" applyNumberFormat="1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166" fontId="0" fillId="0" borderId="0" xfId="0" applyNumberFormat="1"/>
    <xf numFmtId="0" fontId="6" fillId="0" borderId="0" xfId="0" applyFont="1" applyAlignment="1">
      <alignment horizontal="left" wrapText="1"/>
    </xf>
    <xf numFmtId="2" fontId="0" fillId="0" borderId="0" xfId="0" applyNumberFormat="1"/>
    <xf numFmtId="168" fontId="0" fillId="0" borderId="0" xfId="0" applyNumberFormat="1"/>
    <xf numFmtId="0" fontId="1" fillId="3" borderId="0" xfId="0" applyFont="1" applyFill="1"/>
    <xf numFmtId="0" fontId="24" fillId="3" borderId="0" xfId="0" applyFont="1" applyFill="1"/>
    <xf numFmtId="2" fontId="24" fillId="3" borderId="0" xfId="0" applyNumberFormat="1" applyFont="1" applyFill="1"/>
    <xf numFmtId="0" fontId="0" fillId="0" borderId="36" xfId="0" applyBorder="1"/>
    <xf numFmtId="0" fontId="0" fillId="0" borderId="0" xfId="0"/>
    <xf numFmtId="0" fontId="6" fillId="0" borderId="10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Border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7" fontId="6" fillId="0" borderId="7" xfId="0" applyNumberFormat="1" applyFont="1" applyBorder="1" applyAlignment="1">
      <alignment horizontal="center"/>
    </xf>
    <xf numFmtId="167" fontId="8" fillId="0" borderId="1" xfId="0" applyNumberFormat="1" applyFont="1" applyBorder="1"/>
    <xf numFmtId="167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39" xfId="0" applyFont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267575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2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6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BK045/25-26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46059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7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56</v>
      </c>
      <c r="B6" s="7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79" t="s">
        <v>21</v>
      </c>
      <c r="B7" s="81" t="s">
        <v>173</v>
      </c>
      <c r="C7" s="10"/>
      <c r="D7" s="10"/>
      <c r="E7" s="10"/>
      <c r="F7" s="10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0"/>
      <c r="B8" s="80"/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0"/>
      <c r="B9" s="80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0"/>
      <c r="B10" s="80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11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0"/>
      <c r="B11" s="80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0"/>
      <c r="B12" s="80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8" t="s">
        <v>22</v>
      </c>
      <c r="B13" s="9">
        <v>1</v>
      </c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30</v>
      </c>
      <c r="B21" s="4" t="s">
        <v>168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31</v>
      </c>
      <c r="B22" s="4" t="s">
        <v>168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0" t="s">
        <v>174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3">
        <v>450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3">
        <v>468.68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3">
        <v>18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workbookViewId="0">
      <selection activeCell="P37" sqref="P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0" t="s">
        <v>37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</row>
    <row r="3" spans="1:10" x14ac:dyDescent="0.25">
      <c r="A3" s="14" t="s">
        <v>38</v>
      </c>
      <c r="B3" s="15"/>
      <c r="C3" s="15"/>
      <c r="D3" s="16"/>
      <c r="E3" s="98" t="s">
        <v>39</v>
      </c>
      <c r="F3" s="88"/>
      <c r="G3" s="89"/>
      <c r="H3" s="98" t="s">
        <v>40</v>
      </c>
      <c r="I3" s="88"/>
      <c r="J3" s="89"/>
    </row>
    <row r="4" spans="1:10" x14ac:dyDescent="0.25">
      <c r="A4" s="17" t="s">
        <v>41</v>
      </c>
      <c r="B4" s="4"/>
      <c r="C4" s="4"/>
      <c r="D4" s="18"/>
      <c r="E4" s="111" t="str">
        <f>'input data'!B3</f>
        <v>BK045/25-26</v>
      </c>
      <c r="F4" s="84"/>
      <c r="G4" s="83"/>
      <c r="H4" s="112">
        <f>'input data'!B4</f>
        <v>46059</v>
      </c>
      <c r="I4" s="113"/>
      <c r="J4" s="114"/>
    </row>
    <row r="5" spans="1:10" x14ac:dyDescent="0.25">
      <c r="A5" s="19" t="s">
        <v>42</v>
      </c>
      <c r="B5" s="4"/>
      <c r="C5" s="4"/>
      <c r="D5" s="18"/>
      <c r="E5" s="98" t="s">
        <v>43</v>
      </c>
      <c r="F5" s="88"/>
      <c r="G5" s="89"/>
      <c r="H5" s="98" t="s">
        <v>44</v>
      </c>
      <c r="I5" s="88"/>
      <c r="J5" s="89"/>
    </row>
    <row r="6" spans="1:10" x14ac:dyDescent="0.25">
      <c r="A6" s="19" t="s">
        <v>45</v>
      </c>
      <c r="B6" s="4"/>
      <c r="C6" s="4"/>
      <c r="D6" s="18"/>
      <c r="E6" s="92"/>
      <c r="F6" s="84"/>
      <c r="G6" s="83"/>
      <c r="H6" s="115" t="str">
        <f>'input data'!B5</f>
        <v>AD2403250650768</v>
      </c>
      <c r="I6" s="84"/>
      <c r="J6" s="83"/>
    </row>
    <row r="7" spans="1:10" x14ac:dyDescent="0.25">
      <c r="A7" s="19" t="s">
        <v>46</v>
      </c>
      <c r="B7" s="4"/>
      <c r="C7" s="4"/>
      <c r="D7" s="18"/>
      <c r="E7" s="98" t="s">
        <v>47</v>
      </c>
      <c r="F7" s="88"/>
      <c r="G7" s="89"/>
      <c r="H7" s="98" t="s">
        <v>48</v>
      </c>
      <c r="I7" s="88"/>
      <c r="J7" s="89"/>
    </row>
    <row r="8" spans="1:10" x14ac:dyDescent="0.25">
      <c r="A8" s="17" t="s">
        <v>49</v>
      </c>
      <c r="B8" s="4"/>
      <c r="C8" s="4"/>
      <c r="D8" s="18"/>
      <c r="E8" s="92" t="s">
        <v>50</v>
      </c>
      <c r="F8" s="84"/>
      <c r="G8" s="83"/>
      <c r="H8" s="82" t="s">
        <v>51</v>
      </c>
      <c r="I8" s="84"/>
      <c r="J8" s="83"/>
    </row>
    <row r="9" spans="1:10" x14ac:dyDescent="0.25">
      <c r="A9" s="20" t="s">
        <v>52</v>
      </c>
      <c r="B9" s="4"/>
      <c r="C9" s="4"/>
      <c r="D9" s="18"/>
      <c r="E9" s="98" t="s">
        <v>53</v>
      </c>
      <c r="F9" s="88"/>
      <c r="G9" s="89"/>
      <c r="H9" s="98" t="s">
        <v>54</v>
      </c>
      <c r="I9" s="88"/>
      <c r="J9" s="89"/>
    </row>
    <row r="10" spans="1:10" x14ac:dyDescent="0.25">
      <c r="A10" s="20" t="s">
        <v>55</v>
      </c>
      <c r="B10" s="4"/>
      <c r="C10" s="4"/>
      <c r="D10" s="18"/>
      <c r="E10" s="102" t="str">
        <f>'input data'!B14</f>
        <v>Loose packing</v>
      </c>
      <c r="F10" s="80"/>
      <c r="G10" s="91"/>
      <c r="H10" s="102" t="str">
        <f>'input data'!B13 &amp; " " &amp; 'input data'!B15</f>
        <v>1 FCL</v>
      </c>
      <c r="I10" s="80"/>
      <c r="J10" s="91"/>
    </row>
    <row r="11" spans="1:10" x14ac:dyDescent="0.25">
      <c r="A11" s="106" t="s">
        <v>56</v>
      </c>
      <c r="B11" s="88"/>
      <c r="C11" s="88"/>
      <c r="D11" s="89"/>
      <c r="E11" s="121" t="s">
        <v>57</v>
      </c>
      <c r="F11" s="96"/>
      <c r="G11" s="97"/>
      <c r="H11" s="116" t="s">
        <v>58</v>
      </c>
      <c r="I11" s="96"/>
      <c r="J11" s="97"/>
    </row>
    <row r="12" spans="1:10" ht="15" customHeight="1" x14ac:dyDescent="0.25">
      <c r="A12" s="119" t="str">
        <f>'input data'!B6</f>
        <v>To the Order</v>
      </c>
      <c r="B12" s="80"/>
      <c r="C12" s="80"/>
      <c r="D12" s="91"/>
      <c r="E12" s="120" t="str">
        <f>'input data'!B16</f>
        <v>CNF</v>
      </c>
      <c r="F12" s="80"/>
      <c r="G12" s="91"/>
      <c r="H12" s="117" t="str">
        <f>'input data'!B17</f>
        <v>100% Against Documents</v>
      </c>
      <c r="I12" s="80"/>
      <c r="J12" s="91"/>
    </row>
    <row r="13" spans="1:10" x14ac:dyDescent="0.25">
      <c r="A13" s="17"/>
      <c r="B13" s="4"/>
      <c r="C13" s="4"/>
      <c r="D13" s="18"/>
      <c r="E13" s="94"/>
      <c r="F13" s="84"/>
      <c r="G13" s="83"/>
      <c r="H13" s="84"/>
      <c r="I13" s="84"/>
      <c r="J13" s="83"/>
    </row>
    <row r="14" spans="1:10" x14ac:dyDescent="0.25">
      <c r="A14" s="14" t="s">
        <v>59</v>
      </c>
      <c r="B14" s="15"/>
      <c r="C14" s="15"/>
      <c r="D14" s="16"/>
      <c r="E14" s="118" t="s">
        <v>60</v>
      </c>
      <c r="F14" s="88"/>
      <c r="G14" s="88"/>
      <c r="H14" s="88"/>
      <c r="I14" s="88"/>
      <c r="J14" s="89"/>
    </row>
    <row r="15" spans="1:10" x14ac:dyDescent="0.25">
      <c r="A15" s="122" t="str">
        <f>'input data'!B7</f>
        <v>VNV VIET NAM CONSTRUCTION AND TRADING INVESTMENT JOINT STOCK COMPANY
TAX NUMBER: 2902130554
EMAIL: granitevnvvietnam@gmail.com
PHONE NUMBER: 0919955533
ADDRESS: NO 40C, NGUYEN TIEN TAI STREET, THANH VINH WARD, NGHE AN PROVINCE, VIET NAM</v>
      </c>
      <c r="B15" s="80"/>
      <c r="C15" s="80"/>
      <c r="D15" s="91"/>
      <c r="E15" s="90"/>
      <c r="F15" s="80"/>
      <c r="G15" s="80"/>
      <c r="H15" s="80"/>
      <c r="I15" s="80"/>
      <c r="J15" s="91"/>
    </row>
    <row r="16" spans="1:10" x14ac:dyDescent="0.25">
      <c r="A16" s="90"/>
      <c r="B16" s="80"/>
      <c r="C16" s="80"/>
      <c r="D16" s="91"/>
      <c r="E16" s="90"/>
      <c r="F16" s="80"/>
      <c r="G16" s="80"/>
      <c r="H16" s="80"/>
      <c r="I16" s="80"/>
      <c r="J16" s="91"/>
    </row>
    <row r="17" spans="1:15" x14ac:dyDescent="0.25">
      <c r="A17" s="90"/>
      <c r="B17" s="80"/>
      <c r="C17" s="80"/>
      <c r="D17" s="91"/>
      <c r="E17" s="90"/>
      <c r="F17" s="80"/>
      <c r="G17" s="80"/>
      <c r="H17" s="80"/>
      <c r="I17" s="80"/>
      <c r="J17" s="91"/>
    </row>
    <row r="18" spans="1:15" x14ac:dyDescent="0.25">
      <c r="A18" s="90"/>
      <c r="B18" s="80"/>
      <c r="C18" s="80"/>
      <c r="D18" s="91"/>
      <c r="E18" s="90"/>
      <c r="F18" s="80"/>
      <c r="G18" s="80"/>
      <c r="H18" s="80"/>
      <c r="I18" s="80"/>
      <c r="J18" s="91"/>
    </row>
    <row r="19" spans="1:15" x14ac:dyDescent="0.25">
      <c r="A19" s="90"/>
      <c r="B19" s="80"/>
      <c r="C19" s="80"/>
      <c r="D19" s="91"/>
      <c r="E19" s="90"/>
      <c r="F19" s="80"/>
      <c r="G19" s="80"/>
      <c r="H19" s="80"/>
      <c r="I19" s="80"/>
      <c r="J19" s="91"/>
    </row>
    <row r="20" spans="1:15" ht="48" customHeight="1" x14ac:dyDescent="0.25">
      <c r="A20" s="94"/>
      <c r="B20" s="84"/>
      <c r="C20" s="84"/>
      <c r="D20" s="83"/>
      <c r="E20" s="94"/>
      <c r="F20" s="84"/>
      <c r="G20" s="84"/>
      <c r="H20" s="84"/>
      <c r="I20" s="84"/>
      <c r="J20" s="83"/>
    </row>
    <row r="21" spans="1:15" ht="15.75" customHeight="1" x14ac:dyDescent="0.25">
      <c r="A21" s="123" t="s">
        <v>61</v>
      </c>
      <c r="B21" s="89"/>
      <c r="C21" s="123" t="s">
        <v>28</v>
      </c>
      <c r="D21" s="89"/>
      <c r="E21" s="123" t="s">
        <v>62</v>
      </c>
      <c r="F21" s="88"/>
      <c r="G21" s="89"/>
      <c r="H21" s="123" t="s">
        <v>32</v>
      </c>
      <c r="I21" s="88"/>
      <c r="J21" s="89"/>
    </row>
    <row r="22" spans="1:15" ht="14.25" customHeight="1" x14ac:dyDescent="0.25">
      <c r="A22" s="124" t="s">
        <v>63</v>
      </c>
      <c r="B22" s="91"/>
      <c r="C22" s="126" t="str">
        <f>'input data'!B19</f>
        <v>CHENNAI</v>
      </c>
      <c r="D22" s="91"/>
      <c r="E22" s="127" t="s">
        <v>64</v>
      </c>
      <c r="F22" s="80"/>
      <c r="G22" s="91"/>
      <c r="H22" s="127" t="str">
        <f>'input data'!B23</f>
        <v>VIETNAM</v>
      </c>
      <c r="I22" s="80"/>
      <c r="J22" s="91"/>
    </row>
    <row r="23" spans="1:15" ht="15" customHeight="1" x14ac:dyDescent="0.25">
      <c r="A23" s="128"/>
      <c r="B23" s="91"/>
      <c r="C23" s="94"/>
      <c r="D23" s="83"/>
      <c r="E23" s="94"/>
      <c r="F23" s="84"/>
      <c r="G23" s="83"/>
      <c r="H23" s="94"/>
      <c r="I23" s="84"/>
      <c r="J23" s="83"/>
    </row>
    <row r="24" spans="1:15" ht="15.75" customHeight="1" x14ac:dyDescent="0.25">
      <c r="A24" s="98" t="s">
        <v>65</v>
      </c>
      <c r="B24" s="89"/>
      <c r="C24" s="125" t="s">
        <v>29</v>
      </c>
      <c r="D24" s="89"/>
      <c r="E24" s="98" t="s">
        <v>30</v>
      </c>
      <c r="F24" s="88"/>
      <c r="G24" s="89"/>
      <c r="H24" s="125" t="s">
        <v>31</v>
      </c>
      <c r="I24" s="88"/>
      <c r="J24" s="89"/>
    </row>
    <row r="25" spans="1:15" ht="15.75" customHeight="1" x14ac:dyDescent="0.25">
      <c r="A25" s="92"/>
      <c r="B25" s="83"/>
      <c r="C25" s="82" t="str">
        <f>'input data'!B20</f>
        <v>CHENNAI</v>
      </c>
      <c r="D25" s="83"/>
      <c r="E25" s="82" t="str">
        <f>'input data'!B21</f>
        <v>HAI PHONG</v>
      </c>
      <c r="F25" s="84"/>
      <c r="G25" s="83"/>
      <c r="H25" s="82" t="str">
        <f>'input data'!B22</f>
        <v>HAI PHONG</v>
      </c>
      <c r="I25" s="84"/>
      <c r="J25" s="83"/>
    </row>
    <row r="26" spans="1:15" ht="15.75" customHeight="1" x14ac:dyDescent="0.25">
      <c r="A26" s="85" t="s">
        <v>66</v>
      </c>
      <c r="B26" s="87" t="s">
        <v>67</v>
      </c>
      <c r="C26" s="88"/>
      <c r="D26" s="89"/>
      <c r="E26" s="85" t="s">
        <v>68</v>
      </c>
      <c r="F26" s="98" t="s">
        <v>69</v>
      </c>
      <c r="G26" s="89"/>
      <c r="H26" s="23" t="s">
        <v>36</v>
      </c>
      <c r="I26" s="98" t="s">
        <v>70</v>
      </c>
      <c r="J26" s="89"/>
    </row>
    <row r="27" spans="1:15" ht="15.75" customHeight="1" thickBot="1" x14ac:dyDescent="0.3">
      <c r="A27" s="86"/>
      <c r="B27" s="90"/>
      <c r="C27" s="80"/>
      <c r="D27" s="91"/>
      <c r="E27" s="86"/>
      <c r="F27" s="82" t="s">
        <v>71</v>
      </c>
      <c r="G27" s="83"/>
      <c r="H27" s="68" t="s">
        <v>71</v>
      </c>
      <c r="I27" s="82" t="s">
        <v>72</v>
      </c>
      <c r="J27" s="83"/>
    </row>
    <row r="28" spans="1:15" ht="15.75" customHeight="1" thickBot="1" x14ac:dyDescent="0.3">
      <c r="A28" s="25">
        <v>1</v>
      </c>
      <c r="B28" s="95" t="str">
        <f>'input data'!B18</f>
        <v>NATURAL POLISHED GRANITE SLABS</v>
      </c>
      <c r="C28" s="96"/>
      <c r="D28" s="97"/>
      <c r="E28" s="26">
        <v>68022390</v>
      </c>
      <c r="F28" s="99">
        <f>'input data'!B26</f>
        <v>468.68</v>
      </c>
      <c r="G28" s="96"/>
      <c r="H28" s="67">
        <f>'input data'!B27</f>
        <v>18</v>
      </c>
      <c r="I28" s="107">
        <f>H28*F28</f>
        <v>8436.24</v>
      </c>
      <c r="J28" s="97"/>
      <c r="O28" s="69"/>
    </row>
    <row r="29" spans="1:15" ht="15.75" customHeight="1" x14ac:dyDescent="0.25">
      <c r="A29" s="17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4"/>
      <c r="H29" s="108" t="s">
        <v>151</v>
      </c>
      <c r="I29" s="64"/>
      <c r="J29" s="18"/>
    </row>
    <row r="30" spans="1:15" ht="15.75" customHeight="1" x14ac:dyDescent="0.25">
      <c r="A30" s="102" t="str">
        <f>UPPER('input data'!B24)</f>
        <v>WHSU2558220</v>
      </c>
      <c r="B30" s="80"/>
      <c r="C30" s="3">
        <f>'input data'!B25</f>
        <v>450</v>
      </c>
      <c r="D30" s="4" t="s">
        <v>75</v>
      </c>
      <c r="E30" s="4" t="s">
        <v>76</v>
      </c>
      <c r="F30" s="4"/>
      <c r="G30" s="64"/>
      <c r="H30" s="108"/>
      <c r="I30" s="64"/>
      <c r="J30" s="18"/>
    </row>
    <row r="31" spans="1:15" ht="15.75" customHeight="1" thickBot="1" x14ac:dyDescent="0.3">
      <c r="A31" s="17"/>
      <c r="B31" s="4"/>
      <c r="C31" s="4"/>
      <c r="D31" s="4"/>
      <c r="E31" s="4"/>
      <c r="F31" s="100"/>
      <c r="G31" s="101"/>
      <c r="H31" s="108"/>
      <c r="I31" s="64"/>
      <c r="J31" s="18"/>
    </row>
    <row r="32" spans="1:15" ht="15.75" customHeight="1" thickBot="1" x14ac:dyDescent="0.3">
      <c r="A32" s="28"/>
      <c r="B32" s="30"/>
      <c r="C32" s="30"/>
      <c r="D32" s="30"/>
      <c r="E32" s="30"/>
      <c r="F32" s="30"/>
      <c r="G32" s="65"/>
      <c r="H32" s="109"/>
      <c r="I32" s="99"/>
      <c r="J32" s="97"/>
    </row>
    <row r="33" spans="1:10" ht="15.75" customHeight="1" x14ac:dyDescent="0.25">
      <c r="A33" s="14" t="s">
        <v>77</v>
      </c>
      <c r="B33" s="15"/>
      <c r="C33" s="15"/>
      <c r="D33" s="15"/>
      <c r="E33" s="15"/>
      <c r="F33" s="15"/>
      <c r="G33" s="15"/>
      <c r="H33" s="66"/>
      <c r="I33" s="105">
        <f>SUM(I28:J32)</f>
        <v>8436.24</v>
      </c>
      <c r="J33" s="89"/>
    </row>
    <row r="34" spans="1:10" ht="15.75" customHeight="1" thickBot="1" x14ac:dyDescent="0.3">
      <c r="A34" s="31" t="s">
        <v>175</v>
      </c>
      <c r="B34" s="30"/>
      <c r="C34" s="30"/>
      <c r="D34" s="30"/>
      <c r="E34" s="30"/>
      <c r="F34" s="30"/>
      <c r="G34" s="30"/>
      <c r="H34" s="27"/>
      <c r="I34" s="94"/>
      <c r="J34" s="83"/>
    </row>
    <row r="35" spans="1:10" ht="15.75" customHeight="1" x14ac:dyDescent="0.25">
      <c r="A35" s="103" t="s">
        <v>78</v>
      </c>
      <c r="B35" s="88"/>
      <c r="C35" s="88"/>
      <c r="D35" s="89"/>
      <c r="E35" s="106" t="s">
        <v>79</v>
      </c>
      <c r="F35" s="88"/>
      <c r="G35" s="88"/>
      <c r="H35" s="88"/>
      <c r="I35" s="88"/>
      <c r="J35" s="89"/>
    </row>
    <row r="36" spans="1:10" ht="19.5" customHeight="1" x14ac:dyDescent="0.25">
      <c r="A36" s="104" t="s">
        <v>80</v>
      </c>
      <c r="B36" s="80"/>
      <c r="C36" s="80"/>
      <c r="D36" s="91"/>
      <c r="E36" s="17" t="s">
        <v>81</v>
      </c>
      <c r="F36" s="4"/>
      <c r="G36" s="4"/>
      <c r="H36" s="4"/>
      <c r="I36" s="4"/>
      <c r="J36" s="18"/>
    </row>
    <row r="37" spans="1:10" ht="19.5" customHeight="1" x14ac:dyDescent="0.25">
      <c r="A37" s="90"/>
      <c r="B37" s="80"/>
      <c r="C37" s="80"/>
      <c r="D37" s="91"/>
      <c r="E37" s="17"/>
      <c r="F37" s="4"/>
      <c r="G37" s="4"/>
      <c r="H37" s="4"/>
      <c r="I37" s="4"/>
      <c r="J37" s="18"/>
    </row>
    <row r="38" spans="1:10" ht="15.75" customHeight="1" x14ac:dyDescent="0.25">
      <c r="A38" s="93" t="s">
        <v>82</v>
      </c>
      <c r="B38" s="80"/>
      <c r="C38" s="80"/>
      <c r="D38" s="91"/>
      <c r="E38" s="17"/>
      <c r="F38" s="4"/>
      <c r="G38" s="4"/>
      <c r="H38" s="4"/>
      <c r="I38" s="4"/>
      <c r="J38" s="18"/>
    </row>
    <row r="39" spans="1:10" ht="18.75" customHeight="1" x14ac:dyDescent="0.25">
      <c r="A39" s="94"/>
      <c r="B39" s="84"/>
      <c r="C39" s="84"/>
      <c r="D39" s="83"/>
      <c r="E39" s="28" t="s">
        <v>83</v>
      </c>
      <c r="F39" s="30"/>
      <c r="G39" s="30"/>
      <c r="H39" s="30"/>
      <c r="I39" s="30"/>
      <c r="J39" s="27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29" t="s">
        <v>165</v>
      </c>
      <c r="B1" s="129"/>
      <c r="C1" s="129"/>
      <c r="D1" s="129"/>
    </row>
    <row r="2" spans="1:4" x14ac:dyDescent="0.25">
      <c r="A2" s="76" t="s">
        <v>161</v>
      </c>
      <c r="B2" s="76" t="s">
        <v>162</v>
      </c>
      <c r="C2" s="76" t="s">
        <v>163</v>
      </c>
      <c r="D2" s="76" t="s">
        <v>164</v>
      </c>
    </row>
    <row r="3" spans="1:4" x14ac:dyDescent="0.25">
      <c r="A3" s="76">
        <v>1</v>
      </c>
      <c r="B3" s="76">
        <v>431.5</v>
      </c>
      <c r="C3" s="76">
        <v>26.1</v>
      </c>
      <c r="D3" s="76">
        <f>B3*C3</f>
        <v>11262.150000000001</v>
      </c>
    </row>
    <row r="4" spans="1:4" x14ac:dyDescent="0.25">
      <c r="A4" s="129" t="s">
        <v>164</v>
      </c>
      <c r="B4" s="129"/>
      <c r="C4" s="129"/>
      <c r="D4" s="76">
        <f>D3</f>
        <v>11262.150000000001</v>
      </c>
    </row>
    <row r="5" spans="1:4" x14ac:dyDescent="0.25">
      <c r="A5" s="129" t="s">
        <v>166</v>
      </c>
      <c r="B5" s="129"/>
      <c r="C5" s="129"/>
      <c r="D5" s="76">
        <v>7883.5</v>
      </c>
    </row>
    <row r="6" spans="1:4" x14ac:dyDescent="0.25">
      <c r="A6" s="129" t="s">
        <v>167</v>
      </c>
      <c r="B6" s="129"/>
      <c r="C6" s="129"/>
      <c r="D6" s="76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8"/>
  <sheetViews>
    <sheetView workbookViewId="0">
      <selection activeCell="W20" sqref="W20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37" t="s">
        <v>84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106" t="s">
        <v>85</v>
      </c>
      <c r="B2" s="88"/>
      <c r="C2" s="88"/>
      <c r="D2" s="88"/>
      <c r="E2" s="88"/>
      <c r="F2" s="89"/>
      <c r="G2" s="98" t="s">
        <v>39</v>
      </c>
      <c r="H2" s="89"/>
      <c r="I2" s="130" t="s">
        <v>40</v>
      </c>
      <c r="J2" s="89"/>
    </row>
    <row r="3" spans="1:10" ht="15.75" x14ac:dyDescent="0.25">
      <c r="A3" s="138" t="s">
        <v>86</v>
      </c>
      <c r="B3" s="80"/>
      <c r="C3" s="80"/>
      <c r="D3" s="80"/>
      <c r="E3" s="80"/>
      <c r="F3" s="91"/>
      <c r="G3" s="111" t="str">
        <f>Invoice!E4</f>
        <v>BK045/25-26</v>
      </c>
      <c r="H3" s="83"/>
      <c r="I3" s="112">
        <f>Invoice!H4</f>
        <v>46059</v>
      </c>
      <c r="J3" s="114"/>
    </row>
    <row r="4" spans="1:10" x14ac:dyDescent="0.25">
      <c r="A4" s="17" t="s">
        <v>87</v>
      </c>
      <c r="B4" s="4"/>
      <c r="C4" s="4"/>
      <c r="D4" s="4"/>
      <c r="E4" s="4"/>
      <c r="F4" s="18"/>
      <c r="G4" s="130" t="s">
        <v>44</v>
      </c>
      <c r="H4" s="88"/>
      <c r="I4" s="88"/>
      <c r="J4" s="89"/>
    </row>
    <row r="5" spans="1:10" x14ac:dyDescent="0.25">
      <c r="A5" s="17" t="s">
        <v>88</v>
      </c>
      <c r="B5" s="4"/>
      <c r="C5" s="4"/>
      <c r="D5" s="4"/>
      <c r="E5" s="4"/>
      <c r="F5" s="18"/>
      <c r="G5" s="82" t="str">
        <f>'input data'!B5</f>
        <v>AD2403250650768</v>
      </c>
      <c r="H5" s="84"/>
      <c r="I5" s="84"/>
      <c r="J5" s="83"/>
    </row>
    <row r="6" spans="1:10" x14ac:dyDescent="0.25">
      <c r="A6" s="132" t="s">
        <v>89</v>
      </c>
      <c r="B6" s="80"/>
      <c r="C6" s="80"/>
      <c r="D6" s="80"/>
      <c r="E6" s="80"/>
      <c r="F6" s="18"/>
      <c r="G6" s="22"/>
      <c r="H6" s="29"/>
      <c r="I6" s="29"/>
      <c r="J6" s="32"/>
    </row>
    <row r="7" spans="1:10" x14ac:dyDescent="0.25">
      <c r="A7" s="17" t="s">
        <v>90</v>
      </c>
      <c r="B7" s="4"/>
      <c r="C7" s="4"/>
      <c r="D7" s="4"/>
      <c r="E7" s="4"/>
      <c r="F7" s="18"/>
      <c r="G7" s="33" t="s">
        <v>91</v>
      </c>
      <c r="H7" s="15"/>
      <c r="I7" s="15"/>
      <c r="J7" s="16"/>
    </row>
    <row r="8" spans="1:10" ht="15.75" x14ac:dyDescent="0.25">
      <c r="A8" s="34" t="s">
        <v>92</v>
      </c>
      <c r="B8" s="4"/>
      <c r="C8" s="4"/>
      <c r="D8" s="4"/>
      <c r="E8" s="4"/>
      <c r="F8" s="18"/>
      <c r="G8" s="35" t="s">
        <v>93</v>
      </c>
      <c r="H8" s="36"/>
      <c r="I8" s="36"/>
      <c r="J8" s="37"/>
    </row>
    <row r="9" spans="1:10" ht="15.75" x14ac:dyDescent="0.25">
      <c r="A9" s="38" t="s">
        <v>52</v>
      </c>
      <c r="B9" s="4"/>
      <c r="C9" s="4"/>
      <c r="D9" s="4"/>
      <c r="E9" s="4"/>
      <c r="F9" s="18"/>
      <c r="G9" s="35" t="s">
        <v>94</v>
      </c>
      <c r="H9" s="36"/>
      <c r="I9" s="36"/>
      <c r="J9" s="37"/>
    </row>
    <row r="10" spans="1:10" x14ac:dyDescent="0.25">
      <c r="A10" s="39" t="s">
        <v>55</v>
      </c>
      <c r="B10" s="30"/>
      <c r="C10" s="30"/>
      <c r="D10" s="30"/>
      <c r="E10" s="30"/>
      <c r="F10" s="27"/>
      <c r="G10" s="28"/>
      <c r="H10" s="30"/>
      <c r="I10" s="30"/>
      <c r="J10" s="27"/>
    </row>
    <row r="11" spans="1:10" x14ac:dyDescent="0.25">
      <c r="A11" s="133" t="s">
        <v>56</v>
      </c>
      <c r="B11" s="88"/>
      <c r="C11" s="88"/>
      <c r="D11" s="88"/>
      <c r="E11" s="88"/>
      <c r="F11" s="16"/>
      <c r="G11" s="33" t="s">
        <v>95</v>
      </c>
      <c r="H11" s="15"/>
      <c r="I11" s="15"/>
      <c r="J11" s="16"/>
    </row>
    <row r="12" spans="1:10" x14ac:dyDescent="0.25">
      <c r="A12" s="134" t="str">
        <f>'input data'!B6</f>
        <v>To the Order</v>
      </c>
      <c r="B12" s="80"/>
      <c r="C12" s="80"/>
      <c r="D12" s="80"/>
      <c r="E12" s="80"/>
      <c r="F12" s="18"/>
      <c r="G12" s="17"/>
      <c r="H12" s="4"/>
      <c r="I12" s="4"/>
      <c r="J12" s="18"/>
    </row>
    <row r="13" spans="1:10" x14ac:dyDescent="0.25">
      <c r="A13" s="94"/>
      <c r="B13" s="84"/>
      <c r="C13" s="84"/>
      <c r="D13" s="84"/>
      <c r="E13" s="84"/>
      <c r="F13" s="27"/>
      <c r="G13" s="17"/>
      <c r="H13" s="4"/>
      <c r="I13" s="4"/>
      <c r="J13" s="18"/>
    </row>
    <row r="14" spans="1:10" x14ac:dyDescent="0.25">
      <c r="A14" s="133" t="s">
        <v>59</v>
      </c>
      <c r="B14" s="88"/>
      <c r="C14" s="88"/>
      <c r="D14" s="88"/>
      <c r="E14" s="88"/>
      <c r="F14" s="89"/>
      <c r="G14" s="17"/>
      <c r="H14" s="4"/>
      <c r="I14" s="4"/>
      <c r="J14" s="18"/>
    </row>
    <row r="15" spans="1:10" x14ac:dyDescent="0.25">
      <c r="A15" s="122" t="str">
        <f>Invoice!A15</f>
        <v>VNV VIET NAM CONSTRUCTION AND TRADING INVESTMENT JOINT STOCK COMPANY
TAX NUMBER: 2902130554
EMAIL: granitevnvvietnam@gmail.com
PHONE NUMBER: 0919955533
ADDRESS: NO 40C, NGUYEN TIEN TAI STREET, THANH VINH WARD, NGHE AN PROVINCE, VIET NAM</v>
      </c>
      <c r="B15" s="80"/>
      <c r="C15" s="80"/>
      <c r="D15" s="80"/>
      <c r="E15" s="80"/>
      <c r="F15" s="91"/>
      <c r="G15" s="17"/>
      <c r="H15" s="4"/>
      <c r="I15" s="4"/>
      <c r="J15" s="18"/>
    </row>
    <row r="16" spans="1:10" x14ac:dyDescent="0.25">
      <c r="A16" s="90"/>
      <c r="B16" s="80"/>
      <c r="C16" s="80"/>
      <c r="D16" s="80"/>
      <c r="E16" s="80"/>
      <c r="F16" s="91"/>
      <c r="G16" s="17"/>
      <c r="H16" s="4"/>
      <c r="I16" s="4"/>
      <c r="J16" s="18"/>
    </row>
    <row r="17" spans="1:10" x14ac:dyDescent="0.25">
      <c r="A17" s="90"/>
      <c r="B17" s="80"/>
      <c r="C17" s="80"/>
      <c r="D17" s="80"/>
      <c r="E17" s="80"/>
      <c r="F17" s="91"/>
      <c r="G17" s="17"/>
      <c r="H17" s="4"/>
      <c r="I17" s="4"/>
      <c r="J17" s="18"/>
    </row>
    <row r="18" spans="1:10" ht="37.5" customHeight="1" x14ac:dyDescent="0.25">
      <c r="A18" s="90"/>
      <c r="B18" s="80"/>
      <c r="C18" s="80"/>
      <c r="D18" s="80"/>
      <c r="E18" s="80"/>
      <c r="F18" s="91"/>
      <c r="G18" s="131" t="s">
        <v>96</v>
      </c>
      <c r="H18" s="89"/>
      <c r="I18" s="140" t="s">
        <v>97</v>
      </c>
      <c r="J18" s="89"/>
    </row>
    <row r="19" spans="1:10" ht="15" customHeight="1" x14ac:dyDescent="0.25">
      <c r="A19" s="90"/>
      <c r="B19" s="80"/>
      <c r="C19" s="80"/>
      <c r="D19" s="80"/>
      <c r="E19" s="80"/>
      <c r="F19" s="91"/>
      <c r="G19" s="94"/>
      <c r="H19" s="83"/>
      <c r="I19" s="84"/>
      <c r="J19" s="83"/>
    </row>
    <row r="20" spans="1:10" ht="30.75" customHeight="1" x14ac:dyDescent="0.25">
      <c r="A20" s="94"/>
      <c r="B20" s="84"/>
      <c r="C20" s="84"/>
      <c r="D20" s="84"/>
      <c r="E20" s="84"/>
      <c r="F20" s="83"/>
      <c r="G20" s="141" t="s">
        <v>64</v>
      </c>
      <c r="H20" s="83"/>
      <c r="I20" s="141" t="str">
        <f>Invoice!H22</f>
        <v>VIETNAM</v>
      </c>
      <c r="J20" s="83"/>
    </row>
    <row r="21" spans="1:10" ht="15.75" customHeight="1" x14ac:dyDescent="0.25">
      <c r="A21" s="135" t="s">
        <v>98</v>
      </c>
      <c r="B21" s="88"/>
      <c r="C21" s="89"/>
      <c r="D21" s="135" t="s">
        <v>99</v>
      </c>
      <c r="E21" s="88"/>
      <c r="F21" s="89"/>
      <c r="G21" s="136" t="s">
        <v>100</v>
      </c>
      <c r="H21" s="96"/>
      <c r="I21" s="96"/>
      <c r="J21" s="97"/>
    </row>
    <row r="22" spans="1:10" ht="15.75" customHeight="1" x14ac:dyDescent="0.25">
      <c r="A22" s="92"/>
      <c r="B22" s="84"/>
      <c r="C22" s="83"/>
      <c r="D22" s="82" t="str">
        <f>Invoice!C22</f>
        <v>CHENNAI</v>
      </c>
      <c r="E22" s="84"/>
      <c r="F22" s="83"/>
      <c r="G22" s="139" t="str">
        <f>'input data'!B16</f>
        <v>CNF</v>
      </c>
      <c r="H22" s="84"/>
      <c r="I22" s="84"/>
      <c r="J22" s="83"/>
    </row>
    <row r="23" spans="1:10" ht="15.75" customHeight="1" x14ac:dyDescent="0.25">
      <c r="A23" s="135" t="s">
        <v>101</v>
      </c>
      <c r="B23" s="88"/>
      <c r="C23" s="89"/>
      <c r="D23" s="135" t="s">
        <v>102</v>
      </c>
      <c r="E23" s="88"/>
      <c r="F23" s="89"/>
      <c r="G23" s="40"/>
      <c r="H23" s="41"/>
      <c r="I23" s="41"/>
      <c r="J23" s="42"/>
    </row>
    <row r="24" spans="1:10" ht="15.75" customHeight="1" x14ac:dyDescent="0.25">
      <c r="A24" s="92"/>
      <c r="B24" s="84"/>
      <c r="C24" s="83"/>
      <c r="D24" s="82" t="str">
        <f>Invoice!C25</f>
        <v>CHENNAI</v>
      </c>
      <c r="E24" s="84"/>
      <c r="F24" s="83"/>
      <c r="G24" s="28"/>
      <c r="H24" s="30"/>
      <c r="I24" s="30"/>
      <c r="J24" s="27"/>
    </row>
    <row r="25" spans="1:10" ht="15.75" customHeight="1" x14ac:dyDescent="0.25">
      <c r="A25" s="135" t="s">
        <v>30</v>
      </c>
      <c r="B25" s="88"/>
      <c r="C25" s="89"/>
      <c r="D25" s="135" t="s">
        <v>31</v>
      </c>
      <c r="E25" s="88"/>
      <c r="F25" s="89"/>
      <c r="G25" s="142" t="s">
        <v>103</v>
      </c>
      <c r="H25" s="96"/>
      <c r="I25" s="96"/>
      <c r="J25" s="97"/>
    </row>
    <row r="26" spans="1:10" ht="15.75" customHeight="1" x14ac:dyDescent="0.25">
      <c r="A26" s="128" t="str">
        <f>Invoice!E25</f>
        <v>HAI PHONG</v>
      </c>
      <c r="B26" s="80"/>
      <c r="C26" s="91"/>
      <c r="D26" s="128" t="str">
        <f>Invoice!H25</f>
        <v>HAI PHONG</v>
      </c>
      <c r="E26" s="80"/>
      <c r="F26" s="91"/>
      <c r="G26" s="131" t="str">
        <f>'input data'!B17</f>
        <v>100% Against Documents</v>
      </c>
      <c r="H26" s="88"/>
      <c r="I26" s="88"/>
      <c r="J26" s="89"/>
    </row>
    <row r="27" spans="1:10" ht="15.75" customHeight="1" x14ac:dyDescent="0.25">
      <c r="A27" s="43"/>
      <c r="B27" s="44"/>
      <c r="C27" s="44"/>
      <c r="D27" s="44"/>
      <c r="E27" s="44"/>
      <c r="F27" s="44"/>
      <c r="G27" s="44"/>
      <c r="H27" s="44"/>
      <c r="I27" s="44"/>
      <c r="J27" s="45"/>
    </row>
    <row r="28" spans="1:10" ht="15.75" customHeight="1" x14ac:dyDescent="0.25">
      <c r="A28" s="24" t="s">
        <v>66</v>
      </c>
      <c r="B28" s="82" t="s">
        <v>104</v>
      </c>
      <c r="C28" s="83"/>
      <c r="D28" s="82" t="s">
        <v>67</v>
      </c>
      <c r="E28" s="84"/>
      <c r="F28" s="84"/>
      <c r="G28" s="46"/>
      <c r="H28" s="47"/>
      <c r="I28" s="82" t="s">
        <v>71</v>
      </c>
      <c r="J28" s="83"/>
    </row>
    <row r="29" spans="1:10" ht="15.75" customHeight="1" thickBot="1" x14ac:dyDescent="0.3">
      <c r="A29" s="25">
        <v>1</v>
      </c>
      <c r="B29" s="95">
        <f>Invoice!E28</f>
        <v>68022390</v>
      </c>
      <c r="C29" s="97"/>
      <c r="D29" s="152" t="str">
        <f>Invoice!B28</f>
        <v>NATURAL POLISHED GRANITE SLABS</v>
      </c>
      <c r="E29" s="96"/>
      <c r="F29" s="96"/>
      <c r="G29" s="96"/>
      <c r="H29" s="97"/>
      <c r="I29" s="153">
        <f>Invoice!F28</f>
        <v>468.68</v>
      </c>
      <c r="J29" s="97"/>
    </row>
    <row r="30" spans="1:10" ht="15.75" customHeight="1" thickBot="1" x14ac:dyDescent="0.3">
      <c r="A30" s="48" t="s">
        <v>105</v>
      </c>
      <c r="B30" s="44"/>
      <c r="C30" s="44"/>
      <c r="D30" s="44"/>
      <c r="E30" s="44"/>
      <c r="F30" s="44"/>
      <c r="G30" s="44"/>
      <c r="H30" s="44"/>
      <c r="I30" s="154">
        <f>SUM(I29:I29)</f>
        <v>468.68</v>
      </c>
      <c r="J30" s="97"/>
    </row>
    <row r="31" spans="1:10" ht="15.75" customHeight="1" x14ac:dyDescent="0.25">
      <c r="A31" s="34"/>
      <c r="B31" s="4"/>
      <c r="C31" s="4"/>
      <c r="D31" s="4"/>
      <c r="E31" s="4"/>
      <c r="F31" s="4"/>
      <c r="G31" s="4"/>
      <c r="H31" s="4"/>
      <c r="I31" s="29"/>
      <c r="J31" s="32"/>
    </row>
    <row r="32" spans="1:10" ht="15.75" customHeight="1" x14ac:dyDescent="0.25">
      <c r="A32" s="128" t="s">
        <v>106</v>
      </c>
      <c r="B32" s="80"/>
      <c r="C32" s="29" t="s">
        <v>34</v>
      </c>
      <c r="D32" s="100" t="s">
        <v>73</v>
      </c>
      <c r="E32" s="80"/>
      <c r="F32" s="29" t="s">
        <v>74</v>
      </c>
      <c r="G32" s="29"/>
      <c r="H32" s="4"/>
      <c r="I32" s="29"/>
      <c r="J32" s="32"/>
    </row>
    <row r="33" spans="1:10" ht="15.75" customHeight="1" x14ac:dyDescent="0.25">
      <c r="A33" s="102" t="str">
        <f>Invoice!A30</f>
        <v>WHSU2558220</v>
      </c>
      <c r="B33" s="80"/>
      <c r="C33" s="49">
        <f>'input data'!B25</f>
        <v>450</v>
      </c>
      <c r="D33" s="150" t="s">
        <v>107</v>
      </c>
      <c r="E33" s="80"/>
      <c r="F33" s="49" t="s">
        <v>108</v>
      </c>
      <c r="G33" s="49"/>
      <c r="H33" s="4"/>
      <c r="I33" s="4"/>
      <c r="J33" s="18"/>
    </row>
    <row r="34" spans="1:10" ht="15.75" customHeight="1" x14ac:dyDescent="0.25">
      <c r="A34" s="21"/>
      <c r="B34" s="50"/>
      <c r="C34" s="50"/>
      <c r="D34" s="50"/>
      <c r="E34" s="50"/>
      <c r="F34" s="50"/>
      <c r="G34" s="50"/>
      <c r="H34" s="50"/>
      <c r="I34" s="50"/>
      <c r="J34" s="51"/>
    </row>
    <row r="35" spans="1:10" ht="15.75" customHeight="1" x14ac:dyDescent="0.25">
      <c r="A35" s="21" t="s">
        <v>109</v>
      </c>
      <c r="B35" s="50"/>
      <c r="C35" s="50" t="str">
        <f>'input data'!B14</f>
        <v>Loose packing</v>
      </c>
      <c r="D35" s="50"/>
      <c r="E35" s="50"/>
      <c r="F35" s="50"/>
      <c r="G35" s="50"/>
      <c r="H35" s="50"/>
      <c r="I35" s="50"/>
      <c r="J35" s="51"/>
    </row>
    <row r="36" spans="1:10" ht="15.75" customHeight="1" x14ac:dyDescent="0.25">
      <c r="A36" s="21" t="s">
        <v>110</v>
      </c>
      <c r="B36" s="50"/>
      <c r="C36" s="50"/>
      <c r="D36" s="50"/>
      <c r="E36" s="50"/>
      <c r="F36" s="50"/>
      <c r="G36" s="50"/>
      <c r="H36" s="50"/>
      <c r="I36" s="50"/>
      <c r="J36" s="51"/>
    </row>
    <row r="37" spans="1:10" ht="15.75" customHeight="1" x14ac:dyDescent="0.25">
      <c r="A37" s="52"/>
      <c r="B37" s="53"/>
      <c r="C37" s="53"/>
      <c r="D37" s="53"/>
      <c r="E37" s="53"/>
      <c r="F37" s="53"/>
      <c r="G37" s="53"/>
      <c r="H37" s="53"/>
      <c r="I37" s="53"/>
      <c r="J37" s="54"/>
    </row>
    <row r="38" spans="1:10" ht="15.75" customHeight="1" x14ac:dyDescent="0.25">
      <c r="A38" s="106" t="s">
        <v>111</v>
      </c>
      <c r="B38" s="88"/>
      <c r="C38" s="88"/>
      <c r="D38" s="88"/>
      <c r="E38" s="88"/>
      <c r="F38" s="89"/>
      <c r="G38" s="106" t="s">
        <v>79</v>
      </c>
      <c r="H38" s="88"/>
      <c r="I38" s="88"/>
      <c r="J38" s="89"/>
    </row>
    <row r="39" spans="1:10" ht="15.75" customHeight="1" x14ac:dyDescent="0.25">
      <c r="A39" s="151" t="s">
        <v>112</v>
      </c>
      <c r="B39" s="80"/>
      <c r="C39" s="80"/>
      <c r="D39" s="80"/>
      <c r="E39" s="80"/>
      <c r="F39" s="91"/>
      <c r="G39" s="17"/>
      <c r="H39" s="4"/>
      <c r="I39" s="4"/>
      <c r="J39" s="18"/>
    </row>
    <row r="40" spans="1:10" ht="15.75" customHeight="1" x14ac:dyDescent="0.25">
      <c r="A40" s="143" t="s">
        <v>113</v>
      </c>
      <c r="B40" s="144"/>
      <c r="C40" s="144"/>
      <c r="D40" s="144"/>
      <c r="E40" s="144"/>
      <c r="F40" s="145"/>
      <c r="G40" s="17"/>
      <c r="H40" s="4"/>
      <c r="I40" s="4"/>
      <c r="J40" s="18"/>
    </row>
    <row r="41" spans="1:10" ht="15.75" customHeight="1" x14ac:dyDescent="0.25">
      <c r="A41" s="146" t="s">
        <v>114</v>
      </c>
      <c r="B41" s="147"/>
      <c r="C41" s="147"/>
      <c r="D41" s="147"/>
      <c r="E41" s="147"/>
      <c r="F41" s="148"/>
      <c r="G41" s="149" t="s">
        <v>115</v>
      </c>
      <c r="H41" s="84"/>
      <c r="I41" s="84"/>
      <c r="J41" s="83"/>
    </row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M23" sqref="M2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5"/>
      <c r="B1" s="158" t="s">
        <v>41</v>
      </c>
      <c r="C1" s="159"/>
      <c r="D1" s="159"/>
      <c r="E1" s="159"/>
      <c r="F1" s="159"/>
      <c r="G1" s="159"/>
      <c r="H1" s="159"/>
      <c r="I1" s="159"/>
      <c r="J1" s="159"/>
      <c r="K1" s="160"/>
      <c r="R1" s="164"/>
      <c r="S1" s="80"/>
      <c r="T1" s="80"/>
      <c r="U1" s="80"/>
      <c r="V1" s="80"/>
      <c r="W1" s="165"/>
      <c r="X1" s="80"/>
      <c r="Y1" s="80"/>
    </row>
    <row r="2" spans="1:25" ht="36.75" thickBot="1" x14ac:dyDescent="0.6">
      <c r="A2" s="55"/>
      <c r="B2" s="161"/>
      <c r="C2" s="162"/>
      <c r="D2" s="162"/>
      <c r="E2" s="162"/>
      <c r="F2" s="162"/>
      <c r="G2" s="162"/>
      <c r="H2" s="162"/>
      <c r="I2" s="162"/>
      <c r="J2" s="162"/>
      <c r="K2" s="163"/>
    </row>
    <row r="3" spans="1:25" x14ac:dyDescent="0.25">
      <c r="A3" s="56"/>
      <c r="B3" s="166" t="s">
        <v>116</v>
      </c>
      <c r="C3" s="88"/>
      <c r="D3" s="88"/>
      <c r="E3" s="88"/>
      <c r="F3" s="88"/>
      <c r="G3" s="88"/>
      <c r="H3" s="88"/>
      <c r="I3" s="88"/>
      <c r="J3" s="88"/>
      <c r="K3" s="89"/>
    </row>
    <row r="4" spans="1:25" x14ac:dyDescent="0.25">
      <c r="A4" s="56"/>
      <c r="B4" s="167" t="s">
        <v>117</v>
      </c>
      <c r="C4" s="80"/>
      <c r="D4" s="80"/>
      <c r="E4" s="80"/>
      <c r="F4" s="80"/>
      <c r="G4" s="80"/>
      <c r="H4" s="80"/>
      <c r="I4" s="80"/>
      <c r="J4" s="80"/>
      <c r="K4" s="91"/>
    </row>
    <row r="5" spans="1:25" x14ac:dyDescent="0.25">
      <c r="A5" s="49"/>
      <c r="B5" s="92" t="s">
        <v>118</v>
      </c>
      <c r="C5" s="84"/>
      <c r="D5" s="84"/>
      <c r="E5" s="84"/>
      <c r="F5" s="84"/>
      <c r="G5" s="84"/>
      <c r="H5" s="84"/>
      <c r="I5" s="84"/>
      <c r="J5" s="84"/>
      <c r="K5" s="83"/>
    </row>
    <row r="6" spans="1:25" x14ac:dyDescent="0.25">
      <c r="A6" s="4"/>
      <c r="B6" s="3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57"/>
      <c r="B7" s="155" t="s">
        <v>119</v>
      </c>
      <c r="C7" s="80"/>
      <c r="D7" s="80"/>
      <c r="E7" s="80"/>
      <c r="F7" s="80"/>
      <c r="G7" s="80"/>
      <c r="H7" s="80"/>
      <c r="I7" s="80"/>
      <c r="J7" s="80"/>
      <c r="K7" s="91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120</v>
      </c>
      <c r="C9" s="157">
        <v>46059</v>
      </c>
      <c r="D9" s="157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121</v>
      </c>
      <c r="C10" s="4" t="s">
        <v>170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122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3"/>
      <c r="B13" s="104" t="s">
        <v>171</v>
      </c>
      <c r="C13" s="80"/>
      <c r="D13" s="80"/>
      <c r="E13" s="80"/>
      <c r="F13" s="80"/>
      <c r="G13" s="80"/>
      <c r="H13" s="4"/>
      <c r="I13" s="4"/>
      <c r="J13" s="4"/>
      <c r="K13" s="18"/>
    </row>
    <row r="14" spans="1:25" x14ac:dyDescent="0.25">
      <c r="A14" s="9"/>
      <c r="B14" s="122" t="s">
        <v>172</v>
      </c>
      <c r="C14" s="80"/>
      <c r="D14" s="80"/>
      <c r="E14" s="80"/>
      <c r="F14" s="80"/>
      <c r="G14" s="80"/>
      <c r="H14" s="4"/>
      <c r="I14" s="4"/>
      <c r="J14" s="4"/>
      <c r="K14" s="18"/>
    </row>
    <row r="15" spans="1:25" ht="49.5" customHeight="1" x14ac:dyDescent="0.25">
      <c r="A15" s="9"/>
      <c r="B15" s="90"/>
      <c r="C15" s="80"/>
      <c r="D15" s="80"/>
      <c r="E15" s="80"/>
      <c r="F15" s="80"/>
      <c r="G15" s="80"/>
      <c r="H15" s="4"/>
      <c r="I15" s="4"/>
      <c r="J15" s="4"/>
      <c r="K15" s="18"/>
    </row>
    <row r="16" spans="1:25" x14ac:dyDescent="0.25">
      <c r="A16" s="4"/>
      <c r="B16" s="17" t="s">
        <v>123</v>
      </c>
      <c r="C16" s="4"/>
      <c r="D16" s="4"/>
      <c r="E16" s="4"/>
      <c r="F16" s="4"/>
      <c r="G16" s="4"/>
      <c r="H16" s="4"/>
      <c r="I16" s="4"/>
      <c r="J16" s="4"/>
      <c r="K16" s="18"/>
    </row>
    <row r="17" spans="1:18" ht="15.75" thickBot="1" x14ac:dyDescent="0.3">
      <c r="A17" s="4"/>
      <c r="B17" s="28"/>
      <c r="C17" s="30"/>
      <c r="D17" s="30"/>
      <c r="E17" s="30"/>
      <c r="F17" s="30"/>
      <c r="G17" s="30"/>
      <c r="H17" s="30"/>
      <c r="I17" s="30"/>
      <c r="J17" s="30"/>
      <c r="K17" s="27"/>
      <c r="O17" t="s">
        <v>153</v>
      </c>
      <c r="P17" t="s">
        <v>154</v>
      </c>
      <c r="Q17" t="s">
        <v>105</v>
      </c>
    </row>
    <row r="18" spans="1:18" ht="15.75" thickBot="1" x14ac:dyDescent="0.3">
      <c r="A18" s="50"/>
      <c r="B18" s="121" t="s">
        <v>124</v>
      </c>
      <c r="C18" s="116"/>
      <c r="D18" s="116"/>
      <c r="E18" s="156"/>
      <c r="F18" s="121" t="s">
        <v>125</v>
      </c>
      <c r="G18" s="97"/>
      <c r="H18" s="121" t="s">
        <v>126</v>
      </c>
      <c r="I18" s="97"/>
      <c r="J18" s="121" t="s">
        <v>127</v>
      </c>
      <c r="K18" s="97"/>
      <c r="N18" t="s">
        <v>155</v>
      </c>
      <c r="O18">
        <v>1866</v>
      </c>
      <c r="P18">
        <v>129</v>
      </c>
      <c r="Q18">
        <f>O18*P18</f>
        <v>240714</v>
      </c>
    </row>
    <row r="19" spans="1:18" ht="15.75" customHeight="1" thickBot="1" x14ac:dyDescent="0.3">
      <c r="A19" s="3"/>
      <c r="B19" s="152" t="s">
        <v>152</v>
      </c>
      <c r="C19" s="178"/>
      <c r="D19" s="178"/>
      <c r="E19" s="179"/>
      <c r="F19" s="170">
        <v>118.55</v>
      </c>
      <c r="G19" s="171"/>
      <c r="H19" s="172">
        <v>5043</v>
      </c>
      <c r="I19" s="97"/>
      <c r="J19" s="176">
        <f>H19*F19</f>
        <v>597847.65</v>
      </c>
      <c r="K19" s="97"/>
      <c r="N19" t="s">
        <v>156</v>
      </c>
      <c r="O19">
        <v>3001</v>
      </c>
      <c r="P19">
        <v>119</v>
      </c>
      <c r="Q19">
        <f>O19*P19</f>
        <v>357119</v>
      </c>
    </row>
    <row r="20" spans="1:18" ht="15.75" customHeight="1" x14ac:dyDescent="0.25">
      <c r="A20" s="49"/>
      <c r="B20" s="102"/>
      <c r="C20" s="80"/>
      <c r="D20" s="80"/>
      <c r="E20" s="80"/>
      <c r="F20" s="165"/>
      <c r="G20" s="177"/>
      <c r="H20" s="182" t="s">
        <v>176</v>
      </c>
      <c r="I20" s="183"/>
      <c r="J20" s="180">
        <f>J19*0.18</f>
        <v>107612.577</v>
      </c>
      <c r="K20" s="181"/>
      <c r="O20" s="71">
        <f>O27</f>
        <v>641.99679999999989</v>
      </c>
      <c r="P20">
        <v>0</v>
      </c>
      <c r="Q20">
        <f>O20*P20</f>
        <v>0</v>
      </c>
    </row>
    <row r="21" spans="1:18" ht="15.75" customHeight="1" thickBot="1" x14ac:dyDescent="0.3">
      <c r="A21" s="3"/>
      <c r="B21" s="149"/>
      <c r="C21" s="84"/>
      <c r="D21" s="84"/>
      <c r="E21" s="84"/>
      <c r="F21" s="30"/>
      <c r="G21" s="58"/>
      <c r="H21" s="185" t="s">
        <v>105</v>
      </c>
      <c r="I21" s="186"/>
      <c r="J21" s="168">
        <f>SUM(J19:K20)</f>
        <v>705460.22700000007</v>
      </c>
      <c r="K21" s="169"/>
      <c r="Q21">
        <f>Q18+Q19+Q20</f>
        <v>597833</v>
      </c>
    </row>
    <row r="22" spans="1:18" ht="15.75" customHeight="1" thickBot="1" x14ac:dyDescent="0.3">
      <c r="A22" s="49"/>
      <c r="B22" s="102"/>
      <c r="C22" s="80"/>
      <c r="D22" s="80"/>
      <c r="E22" s="80"/>
      <c r="F22" s="4"/>
      <c r="G22" s="4"/>
      <c r="H22" s="173"/>
      <c r="I22" s="80"/>
      <c r="J22" s="165"/>
      <c r="K22" s="91"/>
    </row>
    <row r="23" spans="1:18" ht="15.75" customHeight="1" thickBot="1" x14ac:dyDescent="0.3">
      <c r="A23" s="50"/>
      <c r="B23" s="174" t="s">
        <v>128</v>
      </c>
      <c r="C23" s="96"/>
      <c r="D23" s="44"/>
      <c r="E23" s="44"/>
      <c r="F23" s="44"/>
      <c r="G23" s="44"/>
      <c r="H23" s="44"/>
      <c r="I23" s="44"/>
      <c r="J23" s="175">
        <f>J21</f>
        <v>705460.22700000007</v>
      </c>
      <c r="K23" s="97"/>
      <c r="Q23" s="74">
        <f>Q21/O25</f>
        <v>118.54717020641378</v>
      </c>
      <c r="R23" s="73" t="s">
        <v>154</v>
      </c>
    </row>
    <row r="24" spans="1:18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Q24" s="72"/>
    </row>
    <row r="25" spans="1:18" ht="15.75" customHeight="1" x14ac:dyDescent="0.25">
      <c r="A25" s="59"/>
      <c r="B25" s="184" t="s">
        <v>129</v>
      </c>
      <c r="C25" s="80"/>
      <c r="D25" s="4"/>
      <c r="E25" s="4"/>
      <c r="F25" s="4"/>
      <c r="G25" s="4"/>
      <c r="H25" s="4"/>
      <c r="I25" s="4"/>
      <c r="J25" s="4"/>
      <c r="K25" s="18"/>
      <c r="M25" t="s">
        <v>158</v>
      </c>
      <c r="N25">
        <v>468.68</v>
      </c>
      <c r="O25" s="75">
        <f>N25*10.76</f>
        <v>5042.9967999999999</v>
      </c>
      <c r="P25" s="73" t="s">
        <v>160</v>
      </c>
    </row>
    <row r="26" spans="1:18" ht="15.75" customHeight="1" x14ac:dyDescent="0.25">
      <c r="A26" s="4"/>
      <c r="B26" s="17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18"/>
      <c r="M26" t="s">
        <v>159</v>
      </c>
      <c r="O26">
        <v>4401</v>
      </c>
    </row>
    <row r="27" spans="1:18" ht="15.75" customHeight="1" x14ac:dyDescent="0.25">
      <c r="A27" s="4"/>
      <c r="B27" s="17" t="s">
        <v>131</v>
      </c>
      <c r="C27" s="4"/>
      <c r="D27" s="4"/>
      <c r="E27" s="4"/>
      <c r="F27" s="4"/>
      <c r="G27" s="4"/>
      <c r="H27" s="4"/>
      <c r="I27" s="4"/>
      <c r="J27" s="4"/>
      <c r="K27" s="18"/>
      <c r="M27" t="s">
        <v>157</v>
      </c>
      <c r="O27" s="71">
        <f>O25-O26</f>
        <v>641.99679999999989</v>
      </c>
    </row>
    <row r="28" spans="1:18" ht="15.75" customHeight="1" x14ac:dyDescent="0.25">
      <c r="A28" s="4"/>
      <c r="B28" s="17" t="s">
        <v>132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25">
      <c r="A29" s="4"/>
      <c r="B29" s="17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18"/>
    </row>
    <row r="30" spans="1:18" ht="15.75" customHeight="1" x14ac:dyDescent="0.25">
      <c r="A30" s="4"/>
      <c r="B30" s="17" t="s">
        <v>134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25">
      <c r="A31" s="4"/>
      <c r="B31" s="17" t="s">
        <v>135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25">
      <c r="A32" s="4"/>
      <c r="B32" s="17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138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4" t="s">
        <v>139</v>
      </c>
      <c r="E34" s="4"/>
      <c r="F34" s="4"/>
      <c r="G34" s="4"/>
      <c r="H34" s="4"/>
      <c r="I34" s="4"/>
      <c r="J34" s="4"/>
      <c r="K34" s="18"/>
    </row>
    <row r="35" spans="1:11" ht="15.75" customHeight="1" x14ac:dyDescent="0.25">
      <c r="A35" s="60"/>
      <c r="B35" s="138" t="s">
        <v>140</v>
      </c>
      <c r="C35" s="80"/>
      <c r="D35" s="80"/>
      <c r="E35" s="80"/>
      <c r="F35" s="80"/>
      <c r="G35" s="80"/>
      <c r="H35" s="4"/>
      <c r="I35" s="4"/>
      <c r="J35" s="4"/>
      <c r="K35" s="18"/>
    </row>
    <row r="36" spans="1:11" ht="15.75" customHeight="1" x14ac:dyDescent="0.25">
      <c r="A36" s="60"/>
      <c r="B36" s="138" t="s">
        <v>141</v>
      </c>
      <c r="C36" s="80"/>
      <c r="D36" s="80"/>
      <c r="E36" s="80"/>
      <c r="F36" s="80"/>
      <c r="G36" s="80"/>
      <c r="H36" s="4"/>
      <c r="I36" s="4"/>
      <c r="J36" s="4"/>
      <c r="K36" s="18"/>
    </row>
    <row r="37" spans="1:11" ht="15.75" customHeight="1" x14ac:dyDescent="0.25">
      <c r="A37" s="36"/>
      <c r="B37" s="35" t="s">
        <v>142</v>
      </c>
      <c r="C37" s="61" t="str">
        <f>'input data'!B5</f>
        <v>AD2403250650768</v>
      </c>
      <c r="D37" s="36"/>
      <c r="E37" s="36"/>
      <c r="F37" s="36"/>
      <c r="G37" s="36"/>
      <c r="H37" s="4"/>
      <c r="I37" s="4"/>
      <c r="J37" s="4"/>
      <c r="K37" s="18"/>
    </row>
    <row r="38" spans="1:11" ht="15.75" customHeight="1" x14ac:dyDescent="0.25">
      <c r="A38" s="4"/>
      <c r="B38" s="17" t="s">
        <v>143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x14ac:dyDescent="0.25">
      <c r="A41" s="4"/>
      <c r="B41" s="28"/>
      <c r="C41" s="30"/>
      <c r="D41" s="30"/>
      <c r="E41" s="30"/>
      <c r="F41" s="30"/>
      <c r="G41" s="30"/>
      <c r="H41" s="30"/>
      <c r="I41" s="30"/>
      <c r="J41" s="30"/>
      <c r="K41" s="27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997"/>
  <sheetViews>
    <sheetView tabSelected="1" workbookViewId="0">
      <selection activeCell="S26" sqref="S26"/>
    </sheetView>
  </sheetViews>
  <sheetFormatPr defaultColWidth="14.42578125" defaultRowHeight="15" customHeight="1" x14ac:dyDescent="0.25"/>
  <cols>
    <col min="1" max="1" width="8.7109375" style="77" customWidth="1"/>
    <col min="2" max="2" width="8.28515625" style="77" customWidth="1"/>
    <col min="3" max="3" width="8.7109375" style="77" customWidth="1"/>
    <col min="4" max="4" width="18.28515625" style="77" customWidth="1"/>
    <col min="5" max="5" width="9.7109375" style="77" customWidth="1"/>
    <col min="6" max="6" width="6.5703125" style="77" customWidth="1"/>
    <col min="7" max="7" width="4.7109375" style="77" customWidth="1"/>
    <col min="8" max="8" width="10.140625" style="77" customWidth="1"/>
    <col min="9" max="9" width="8.7109375" style="77" customWidth="1"/>
    <col min="10" max="10" width="6.5703125" style="77" customWidth="1"/>
    <col min="11" max="26" width="8.7109375" style="77" customWidth="1"/>
    <col min="27" max="16384" width="14.42578125" style="77"/>
  </cols>
  <sheetData>
    <row r="1" spans="1:10" x14ac:dyDescent="0.25">
      <c r="A1" s="110" t="s">
        <v>177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ht="15.75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</row>
    <row r="3" spans="1:10" x14ac:dyDescent="0.25">
      <c r="A3" s="14" t="s">
        <v>38</v>
      </c>
      <c r="B3" s="15"/>
      <c r="C3" s="15"/>
      <c r="D3" s="16"/>
      <c r="E3" s="98" t="s">
        <v>178</v>
      </c>
      <c r="F3" s="88"/>
      <c r="G3" s="89"/>
      <c r="H3" s="98" t="s">
        <v>40</v>
      </c>
      <c r="I3" s="88"/>
      <c r="J3" s="89"/>
    </row>
    <row r="4" spans="1:10" ht="15.75" thickBot="1" x14ac:dyDescent="0.3">
      <c r="A4" s="17" t="s">
        <v>41</v>
      </c>
      <c r="B4" s="4"/>
      <c r="C4" s="4"/>
      <c r="D4" s="18"/>
      <c r="E4" s="111" t="s">
        <v>179</v>
      </c>
      <c r="F4" s="84"/>
      <c r="G4" s="83"/>
      <c r="H4" s="112">
        <v>46163</v>
      </c>
      <c r="I4" s="113"/>
      <c r="J4" s="114"/>
    </row>
    <row r="5" spans="1:10" x14ac:dyDescent="0.25">
      <c r="A5" s="19" t="s">
        <v>42</v>
      </c>
      <c r="B5" s="4"/>
      <c r="C5" s="4"/>
      <c r="D5" s="18"/>
      <c r="E5" s="98" t="s">
        <v>43</v>
      </c>
      <c r="F5" s="88"/>
      <c r="G5" s="89"/>
      <c r="H5" s="98" t="s">
        <v>44</v>
      </c>
      <c r="I5" s="88"/>
      <c r="J5" s="89"/>
    </row>
    <row r="6" spans="1:10" ht="15.75" thickBot="1" x14ac:dyDescent="0.3">
      <c r="A6" s="19" t="s">
        <v>45</v>
      </c>
      <c r="B6" s="4"/>
      <c r="C6" s="4"/>
      <c r="D6" s="18"/>
      <c r="E6" s="92"/>
      <c r="F6" s="84"/>
      <c r="G6" s="83"/>
      <c r="H6" s="115" t="str">
        <f>'input data'!B5</f>
        <v>AD2403250650768</v>
      </c>
      <c r="I6" s="84"/>
      <c r="J6" s="83"/>
    </row>
    <row r="7" spans="1:10" x14ac:dyDescent="0.25">
      <c r="A7" s="19" t="s">
        <v>46</v>
      </c>
      <c r="B7" s="4"/>
      <c r="C7" s="4"/>
      <c r="D7" s="18"/>
      <c r="E7" s="98" t="s">
        <v>47</v>
      </c>
      <c r="F7" s="88"/>
      <c r="G7" s="89"/>
      <c r="H7" s="98" t="s">
        <v>48</v>
      </c>
      <c r="I7" s="88"/>
      <c r="J7" s="89"/>
    </row>
    <row r="8" spans="1:10" ht="15.75" thickBot="1" x14ac:dyDescent="0.3">
      <c r="A8" s="17" t="s">
        <v>49</v>
      </c>
      <c r="B8" s="4"/>
      <c r="C8" s="4"/>
      <c r="D8" s="18"/>
      <c r="E8" s="92" t="s">
        <v>50</v>
      </c>
      <c r="F8" s="84"/>
      <c r="G8" s="83"/>
      <c r="H8" s="82" t="s">
        <v>51</v>
      </c>
      <c r="I8" s="84"/>
      <c r="J8" s="83"/>
    </row>
    <row r="9" spans="1:10" x14ac:dyDescent="0.25">
      <c r="A9" s="20" t="s">
        <v>52</v>
      </c>
      <c r="B9" s="4"/>
      <c r="C9" s="4"/>
      <c r="D9" s="18"/>
      <c r="E9" s="98" t="s">
        <v>53</v>
      </c>
      <c r="F9" s="88"/>
      <c r="G9" s="89"/>
      <c r="H9" s="98" t="s">
        <v>54</v>
      </c>
      <c r="I9" s="88"/>
      <c r="J9" s="89"/>
    </row>
    <row r="10" spans="1:10" ht="15.75" thickBot="1" x14ac:dyDescent="0.3">
      <c r="A10" s="20" t="s">
        <v>55</v>
      </c>
      <c r="B10" s="4"/>
      <c r="C10" s="4"/>
      <c r="D10" s="18"/>
      <c r="E10" s="102" t="str">
        <f>'input data'!B14</f>
        <v>Loose packing</v>
      </c>
      <c r="F10" s="80"/>
      <c r="G10" s="91"/>
      <c r="H10" s="102" t="str">
        <f>'input data'!B13 &amp; " " &amp; 'input data'!B15</f>
        <v>1 FCL</v>
      </c>
      <c r="I10" s="80"/>
      <c r="J10" s="91"/>
    </row>
    <row r="11" spans="1:10" ht="15.75" thickBot="1" x14ac:dyDescent="0.3">
      <c r="A11" s="106" t="s">
        <v>56</v>
      </c>
      <c r="B11" s="88"/>
      <c r="C11" s="88"/>
      <c r="D11" s="89"/>
      <c r="E11" s="121" t="s">
        <v>57</v>
      </c>
      <c r="F11" s="96"/>
      <c r="G11" s="97"/>
      <c r="H11" s="116" t="s">
        <v>58</v>
      </c>
      <c r="I11" s="96"/>
      <c r="J11" s="97"/>
    </row>
    <row r="12" spans="1:10" ht="15" customHeight="1" x14ac:dyDescent="0.25">
      <c r="A12" s="119" t="str">
        <f>'input data'!B6</f>
        <v>To the Order</v>
      </c>
      <c r="B12" s="80"/>
      <c r="C12" s="80"/>
      <c r="D12" s="91"/>
      <c r="E12" s="120" t="str">
        <f>'input data'!B16</f>
        <v>CNF</v>
      </c>
      <c r="F12" s="80"/>
      <c r="G12" s="91"/>
      <c r="H12" s="117" t="str">
        <f>'input data'!B17</f>
        <v>100% Against Documents</v>
      </c>
      <c r="I12" s="80"/>
      <c r="J12" s="91"/>
    </row>
    <row r="13" spans="1:10" ht="15.75" thickBot="1" x14ac:dyDescent="0.3">
      <c r="A13" s="17"/>
      <c r="B13" s="4"/>
      <c r="C13" s="4"/>
      <c r="D13" s="18"/>
      <c r="E13" s="94"/>
      <c r="F13" s="84"/>
      <c r="G13" s="83"/>
      <c r="H13" s="84"/>
      <c r="I13" s="84"/>
      <c r="J13" s="83"/>
    </row>
    <row r="14" spans="1:10" x14ac:dyDescent="0.25">
      <c r="A14" s="14" t="s">
        <v>59</v>
      </c>
      <c r="B14" s="15"/>
      <c r="C14" s="15"/>
      <c r="D14" s="16"/>
      <c r="E14" s="118" t="s">
        <v>60</v>
      </c>
      <c r="F14" s="88"/>
      <c r="G14" s="88"/>
      <c r="H14" s="88"/>
      <c r="I14" s="88"/>
      <c r="J14" s="89"/>
    </row>
    <row r="15" spans="1:10" x14ac:dyDescent="0.25">
      <c r="A15" s="122" t="str">
        <f>'input data'!B7</f>
        <v>VNV VIET NAM CONSTRUCTION AND TRADING INVESTMENT JOINT STOCK COMPANY
TAX NUMBER: 2902130554
EMAIL: granitevnvvietnam@gmail.com
PHONE NUMBER: 0919955533
ADDRESS: NO 40C, NGUYEN TIEN TAI STREET, THANH VINH WARD, NGHE AN PROVINCE, VIET NAM</v>
      </c>
      <c r="B15" s="80"/>
      <c r="C15" s="80"/>
      <c r="D15" s="91"/>
      <c r="E15" s="90"/>
      <c r="F15" s="80"/>
      <c r="G15" s="80"/>
      <c r="H15" s="80"/>
      <c r="I15" s="80"/>
      <c r="J15" s="91"/>
    </row>
    <row r="16" spans="1:10" x14ac:dyDescent="0.25">
      <c r="A16" s="90"/>
      <c r="B16" s="80"/>
      <c r="C16" s="80"/>
      <c r="D16" s="91"/>
      <c r="E16" s="90"/>
      <c r="F16" s="80"/>
      <c r="G16" s="80"/>
      <c r="H16" s="80"/>
      <c r="I16" s="80"/>
      <c r="J16" s="91"/>
    </row>
    <row r="17" spans="1:15" x14ac:dyDescent="0.25">
      <c r="A17" s="90"/>
      <c r="B17" s="80"/>
      <c r="C17" s="80"/>
      <c r="D17" s="91"/>
      <c r="E17" s="90"/>
      <c r="F17" s="80"/>
      <c r="G17" s="80"/>
      <c r="H17" s="80"/>
      <c r="I17" s="80"/>
      <c r="J17" s="91"/>
    </row>
    <row r="18" spans="1:15" x14ac:dyDescent="0.25">
      <c r="A18" s="90"/>
      <c r="B18" s="80"/>
      <c r="C18" s="80"/>
      <c r="D18" s="91"/>
      <c r="E18" s="90"/>
      <c r="F18" s="80"/>
      <c r="G18" s="80"/>
      <c r="H18" s="80"/>
      <c r="I18" s="80"/>
      <c r="J18" s="91"/>
    </row>
    <row r="19" spans="1:15" x14ac:dyDescent="0.25">
      <c r="A19" s="90"/>
      <c r="B19" s="80"/>
      <c r="C19" s="80"/>
      <c r="D19" s="91"/>
      <c r="E19" s="90"/>
      <c r="F19" s="80"/>
      <c r="G19" s="80"/>
      <c r="H19" s="80"/>
      <c r="I19" s="80"/>
      <c r="J19" s="91"/>
    </row>
    <row r="20" spans="1:15" ht="48" customHeight="1" thickBot="1" x14ac:dyDescent="0.3">
      <c r="A20" s="94"/>
      <c r="B20" s="84"/>
      <c r="C20" s="84"/>
      <c r="D20" s="83"/>
      <c r="E20" s="94"/>
      <c r="F20" s="84"/>
      <c r="G20" s="84"/>
      <c r="H20" s="84"/>
      <c r="I20" s="84"/>
      <c r="J20" s="83"/>
    </row>
    <row r="21" spans="1:15" ht="15.75" customHeight="1" x14ac:dyDescent="0.25">
      <c r="A21" s="123" t="s">
        <v>61</v>
      </c>
      <c r="B21" s="89"/>
      <c r="C21" s="123" t="s">
        <v>28</v>
      </c>
      <c r="D21" s="89"/>
      <c r="E21" s="123" t="s">
        <v>62</v>
      </c>
      <c r="F21" s="88"/>
      <c r="G21" s="89"/>
      <c r="H21" s="123" t="s">
        <v>32</v>
      </c>
      <c r="I21" s="88"/>
      <c r="J21" s="89"/>
    </row>
    <row r="22" spans="1:15" ht="14.25" customHeight="1" x14ac:dyDescent="0.25">
      <c r="A22" s="124" t="s">
        <v>63</v>
      </c>
      <c r="B22" s="91"/>
      <c r="C22" s="126" t="str">
        <f>'input data'!B19</f>
        <v>CHENNAI</v>
      </c>
      <c r="D22" s="91"/>
      <c r="E22" s="127" t="s">
        <v>64</v>
      </c>
      <c r="F22" s="80"/>
      <c r="G22" s="91"/>
      <c r="H22" s="127" t="str">
        <f>'input data'!B23</f>
        <v>VIETNAM</v>
      </c>
      <c r="I22" s="80"/>
      <c r="J22" s="91"/>
    </row>
    <row r="23" spans="1:15" ht="15" customHeight="1" thickBot="1" x14ac:dyDescent="0.3">
      <c r="A23" s="128"/>
      <c r="B23" s="91"/>
      <c r="C23" s="94"/>
      <c r="D23" s="83"/>
      <c r="E23" s="94"/>
      <c r="F23" s="84"/>
      <c r="G23" s="83"/>
      <c r="H23" s="94"/>
      <c r="I23" s="84"/>
      <c r="J23" s="83"/>
    </row>
    <row r="24" spans="1:15" ht="15.75" customHeight="1" x14ac:dyDescent="0.25">
      <c r="A24" s="98" t="s">
        <v>65</v>
      </c>
      <c r="B24" s="89"/>
      <c r="C24" s="125" t="s">
        <v>29</v>
      </c>
      <c r="D24" s="89"/>
      <c r="E24" s="98" t="s">
        <v>30</v>
      </c>
      <c r="F24" s="88"/>
      <c r="G24" s="89"/>
      <c r="H24" s="125" t="s">
        <v>31</v>
      </c>
      <c r="I24" s="88"/>
      <c r="J24" s="89"/>
    </row>
    <row r="25" spans="1:15" ht="15.75" customHeight="1" thickBot="1" x14ac:dyDescent="0.3">
      <c r="A25" s="92"/>
      <c r="B25" s="83"/>
      <c r="C25" s="82" t="str">
        <f>'input data'!B20</f>
        <v>CHENNAI</v>
      </c>
      <c r="D25" s="83"/>
      <c r="E25" s="82" t="str">
        <f>'input data'!B21</f>
        <v>HAI PHONG</v>
      </c>
      <c r="F25" s="84"/>
      <c r="G25" s="83"/>
      <c r="H25" s="82" t="str">
        <f>'input data'!B22</f>
        <v>HAI PHONG</v>
      </c>
      <c r="I25" s="84"/>
      <c r="J25" s="83"/>
    </row>
    <row r="26" spans="1:15" ht="15.75" customHeight="1" x14ac:dyDescent="0.25">
      <c r="A26" s="85" t="s">
        <v>66</v>
      </c>
      <c r="B26" s="87" t="s">
        <v>67</v>
      </c>
      <c r="C26" s="187"/>
      <c r="D26" s="187"/>
      <c r="E26" s="187"/>
      <c r="F26" s="187"/>
      <c r="G26" s="187"/>
      <c r="H26" s="188"/>
      <c r="I26" s="98" t="s">
        <v>70</v>
      </c>
      <c r="J26" s="89"/>
    </row>
    <row r="27" spans="1:15" ht="15.75" customHeight="1" thickBot="1" x14ac:dyDescent="0.3">
      <c r="A27" s="86"/>
      <c r="B27" s="189"/>
      <c r="C27" s="190"/>
      <c r="D27" s="190"/>
      <c r="E27" s="190"/>
      <c r="F27" s="190"/>
      <c r="G27" s="190"/>
      <c r="H27" s="191"/>
      <c r="I27" s="82" t="s">
        <v>72</v>
      </c>
      <c r="J27" s="83"/>
    </row>
    <row r="28" spans="1:15" ht="15.75" customHeight="1" thickBot="1" x14ac:dyDescent="0.3">
      <c r="A28" s="78">
        <v>1</v>
      </c>
      <c r="B28" s="192" t="s">
        <v>181</v>
      </c>
      <c r="C28" s="193"/>
      <c r="D28" s="193"/>
      <c r="E28" s="193"/>
      <c r="F28" s="193"/>
      <c r="G28" s="193"/>
      <c r="H28" s="194"/>
      <c r="I28" s="107">
        <v>400</v>
      </c>
      <c r="J28" s="97"/>
      <c r="O28" s="69"/>
    </row>
    <row r="29" spans="1:15" ht="15.75" customHeight="1" x14ac:dyDescent="0.25">
      <c r="A29" s="17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4"/>
      <c r="H29" s="108" t="s">
        <v>151</v>
      </c>
      <c r="I29" s="64"/>
      <c r="J29" s="18"/>
    </row>
    <row r="30" spans="1:15" ht="15.75" customHeight="1" x14ac:dyDescent="0.25">
      <c r="A30" s="4"/>
      <c r="B30" s="4"/>
      <c r="C30" s="4"/>
      <c r="D30" s="4"/>
      <c r="E30" s="4"/>
      <c r="F30" s="4"/>
      <c r="G30" s="64"/>
      <c r="H30" s="108"/>
      <c r="I30" s="64"/>
      <c r="J30" s="18"/>
    </row>
    <row r="31" spans="1:15" ht="15.75" customHeight="1" thickBot="1" x14ac:dyDescent="0.3">
      <c r="A31" s="17"/>
      <c r="B31" s="4"/>
      <c r="C31" s="4"/>
      <c r="D31" s="4"/>
      <c r="E31" s="4"/>
      <c r="F31" s="100"/>
      <c r="G31" s="101"/>
      <c r="H31" s="108"/>
      <c r="I31" s="64"/>
      <c r="J31" s="18"/>
    </row>
    <row r="32" spans="1:15" ht="15.75" customHeight="1" thickBot="1" x14ac:dyDescent="0.3">
      <c r="A32" s="28"/>
      <c r="B32" s="30"/>
      <c r="C32" s="30"/>
      <c r="D32" s="30"/>
      <c r="E32" s="30"/>
      <c r="F32" s="30"/>
      <c r="G32" s="65"/>
      <c r="H32" s="109"/>
      <c r="I32" s="99"/>
      <c r="J32" s="97"/>
    </row>
    <row r="33" spans="1:10" ht="15.75" customHeight="1" x14ac:dyDescent="0.25">
      <c r="A33" s="14" t="s">
        <v>77</v>
      </c>
      <c r="B33" s="15"/>
      <c r="C33" s="15"/>
      <c r="D33" s="15"/>
      <c r="E33" s="15"/>
      <c r="F33" s="15"/>
      <c r="G33" s="15"/>
      <c r="H33" s="66"/>
      <c r="I33" s="105">
        <f>SUM(I28:J32)</f>
        <v>400</v>
      </c>
      <c r="J33" s="89"/>
    </row>
    <row r="34" spans="1:10" ht="15.75" customHeight="1" thickBot="1" x14ac:dyDescent="0.3">
      <c r="A34" s="31" t="s">
        <v>180</v>
      </c>
      <c r="B34" s="30"/>
      <c r="C34" s="30"/>
      <c r="D34" s="30"/>
      <c r="E34" s="30"/>
      <c r="F34" s="30"/>
      <c r="G34" s="30"/>
      <c r="H34" s="27"/>
      <c r="I34" s="94"/>
      <c r="J34" s="83"/>
    </row>
    <row r="35" spans="1:10" ht="15.75" customHeight="1" x14ac:dyDescent="0.25">
      <c r="A35" s="103" t="s">
        <v>78</v>
      </c>
      <c r="B35" s="88"/>
      <c r="C35" s="88"/>
      <c r="D35" s="89"/>
      <c r="E35" s="106" t="s">
        <v>79</v>
      </c>
      <c r="F35" s="88"/>
      <c r="G35" s="88"/>
      <c r="H35" s="88"/>
      <c r="I35" s="88"/>
      <c r="J35" s="89"/>
    </row>
    <row r="36" spans="1:10" ht="19.5" customHeight="1" x14ac:dyDescent="0.25">
      <c r="A36" s="104" t="s">
        <v>80</v>
      </c>
      <c r="B36" s="80"/>
      <c r="C36" s="80"/>
      <c r="D36" s="91"/>
      <c r="E36" s="17" t="s">
        <v>81</v>
      </c>
      <c r="F36" s="4"/>
      <c r="G36" s="4"/>
      <c r="H36" s="4"/>
      <c r="I36" s="4"/>
      <c r="J36" s="18"/>
    </row>
    <row r="37" spans="1:10" ht="19.5" customHeight="1" x14ac:dyDescent="0.25">
      <c r="A37" s="90"/>
      <c r="B37" s="80"/>
      <c r="C37" s="80"/>
      <c r="D37" s="91"/>
      <c r="E37" s="17"/>
      <c r="F37" s="4"/>
      <c r="G37" s="4"/>
      <c r="H37" s="4"/>
      <c r="I37" s="4"/>
      <c r="J37" s="18"/>
    </row>
    <row r="38" spans="1:10" ht="15.75" customHeight="1" x14ac:dyDescent="0.25">
      <c r="A38" s="93" t="s">
        <v>82</v>
      </c>
      <c r="B38" s="80"/>
      <c r="C38" s="80"/>
      <c r="D38" s="91"/>
      <c r="E38" s="17"/>
      <c r="F38" s="4"/>
      <c r="G38" s="4"/>
      <c r="H38" s="4"/>
      <c r="I38" s="4"/>
      <c r="J38" s="18"/>
    </row>
    <row r="39" spans="1:10" ht="18.75" customHeight="1" thickBot="1" x14ac:dyDescent="0.3">
      <c r="A39" s="94"/>
      <c r="B39" s="84"/>
      <c r="C39" s="84"/>
      <c r="D39" s="83"/>
      <c r="E39" s="28" t="s">
        <v>83</v>
      </c>
      <c r="F39" s="30"/>
      <c r="G39" s="30"/>
      <c r="H39" s="30"/>
      <c r="I39" s="30"/>
      <c r="J39" s="27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56">
    <mergeCell ref="I33:J34"/>
    <mergeCell ref="A35:D35"/>
    <mergeCell ref="E35:J35"/>
    <mergeCell ref="A36:D37"/>
    <mergeCell ref="A38:D39"/>
    <mergeCell ref="B26:H27"/>
    <mergeCell ref="B28:H28"/>
    <mergeCell ref="I27:J27"/>
    <mergeCell ref="I28:J28"/>
    <mergeCell ref="H29:H32"/>
    <mergeCell ref="F31:G31"/>
    <mergeCell ref="I32:J32"/>
    <mergeCell ref="A25:B25"/>
    <mergeCell ref="C25:D25"/>
    <mergeCell ref="E25:G25"/>
    <mergeCell ref="H25:J25"/>
    <mergeCell ref="A26:A27"/>
    <mergeCell ref="I26:J26"/>
    <mergeCell ref="A22:B22"/>
    <mergeCell ref="C22:D23"/>
    <mergeCell ref="E22:G23"/>
    <mergeCell ref="H22:J23"/>
    <mergeCell ref="A23:B23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E9:G9"/>
    <mergeCell ref="H9:J9"/>
    <mergeCell ref="E10:G10"/>
    <mergeCell ref="H10:J10"/>
    <mergeCell ref="A11:D11"/>
    <mergeCell ref="E11:G11"/>
    <mergeCell ref="H11:J11"/>
    <mergeCell ref="E6:G6"/>
    <mergeCell ref="H6:J6"/>
    <mergeCell ref="E7:G7"/>
    <mergeCell ref="H7:J7"/>
    <mergeCell ref="E8:G8"/>
    <mergeCell ref="H8:J8"/>
    <mergeCell ref="A1:J2"/>
    <mergeCell ref="E3:G3"/>
    <mergeCell ref="H3:J3"/>
    <mergeCell ref="E4:G4"/>
    <mergeCell ref="H4:J4"/>
    <mergeCell ref="E5:G5"/>
    <mergeCell ref="H5:J5"/>
  </mergeCells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company data</vt:lpstr>
      <vt:lpstr>input data</vt:lpstr>
      <vt:lpstr>Invoice</vt:lpstr>
      <vt:lpstr>Sheet1</vt:lpstr>
      <vt:lpstr>Packing list</vt:lpstr>
      <vt:lpstr>PO</vt:lpstr>
      <vt:lpstr>credit note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2026-05-22T09:42:33Z</cp:lastPrinted>
  <dcterms:created xsi:type="dcterms:W3CDTF">2022-11-23T06:47:43Z</dcterms:created>
  <dcterms:modified xsi:type="dcterms:W3CDTF">2026-05-22T09:42:40Z</dcterms:modified>
</cp:coreProperties>
</file>
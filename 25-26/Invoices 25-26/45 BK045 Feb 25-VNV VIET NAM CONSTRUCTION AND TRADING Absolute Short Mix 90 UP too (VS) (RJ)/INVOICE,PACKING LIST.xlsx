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45 BK045 Feb 25-VNV VIET NAM CONSTRUCTION AND TRADING Absolute Short Mix 90 UP too (VS) (RJ)\"/>
    </mc:Choice>
  </mc:AlternateContent>
  <bookViews>
    <workbookView xWindow="0" yWindow="0" windowWidth="20400" windowHeight="7005" activeTab="1"/>
  </bookViews>
  <sheets>
    <sheet name="Invoice" sheetId="1" r:id="rId1"/>
    <sheet name="Packing List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2" l="1"/>
  <c r="I30" i="2"/>
  <c r="A12" i="2"/>
  <c r="I28" i="1"/>
  <c r="I33" i="1" s="1"/>
</calcChain>
</file>

<file path=xl/sharedStrings.xml><?xml version="1.0" encoding="utf-8"?>
<sst xmlns="http://schemas.openxmlformats.org/spreadsheetml/2006/main" count="134" uniqueCount="102">
  <si>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</si>
  <si>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</si>
  <si>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</si>
  <si>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</si>
  <si>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</si>
  <si>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</si>
  <si>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</si>
  <si>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</si>
  <si>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</si>
  <si>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</si>
  <si>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</si>
  <si>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</si>
  <si>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</si>
  <si>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</si>
  <si>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</si>
  <si>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</si>
  <si>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</si>
  <si>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</si>
  <si>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</si>
  <si>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</si>
  <si>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</si>
  <si>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</si>
  <si>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</si>
  <si>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</si>
  <si>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</si>
  <si>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>Place Of Receipt By Pre-Carrier</t>
  </si>
  <si>
    <t xml:space="preserve">Country Of Origin Of Goods </t>
  </si>
  <si>
    <t>Country Of Final Destination</t>
  </si>
  <si>
    <t>By Road Truck No.</t>
  </si>
  <si>
    <t>INDIA</t>
  </si>
  <si>
    <t>Vessel/ Flight No.</t>
  </si>
  <si>
    <t>Port Of Loading</t>
  </si>
  <si>
    <t xml:space="preserve">Port Of Discharge </t>
  </si>
  <si>
    <t xml:space="preserve">Place Of Delivery </t>
  </si>
  <si>
    <t>Sr. No.</t>
  </si>
  <si>
    <t xml:space="preserve">Description Of Goods </t>
  </si>
  <si>
    <t>HS CODE</t>
  </si>
  <si>
    <t>Quantity in</t>
  </si>
  <si>
    <t>Rate  Per</t>
  </si>
  <si>
    <t xml:space="preserve">TOTAL AMOUNT </t>
  </si>
  <si>
    <t>SQM</t>
  </si>
  <si>
    <t>(IN USD)</t>
  </si>
  <si>
    <t xml:space="preserve">  Container No.</t>
  </si>
  <si>
    <t>Slabs</t>
  </si>
  <si>
    <t>Gross Weight</t>
  </si>
  <si>
    <t>Net Weight</t>
  </si>
  <si>
    <t>Round Off</t>
  </si>
  <si>
    <t>28000 kgs</t>
  </si>
  <si>
    <t>27500 kgs</t>
  </si>
  <si>
    <t>Amount in Words:</t>
  </si>
  <si>
    <t>Eight Thousand Four Hundred Thirty Six Dollars and Twenty Four Cents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</si>
  <si>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</si>
  <si>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</si>
  <si>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</si>
  <si>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</si>
  <si>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</si>
  <si>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</si>
  <si>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BK045/25-26</t>
  </si>
  <si>
    <t>AD2403250650768</t>
  </si>
  <si>
    <t>1 FCL</t>
  </si>
  <si>
    <t>CNF</t>
  </si>
  <si>
    <t>VNV VIET NAM CONSTRUCTION AND TRADING INVESTMENT JOINT STOCK COMPANY
TAX NUMBER: 2902130554
EMAIL: granitevnvvietnam@gmail.com
PHONE NUMBER: 0919955533
ADDRESS: NO 40C, NGUYEN TIEN TAI STREET, THANH VINH WARD, NGHE AN PROVINCE, VIET NAM</t>
  </si>
  <si>
    <t>CHENNAI</t>
  </si>
  <si>
    <t>VIETNAM</t>
  </si>
  <si>
    <t>HAI PHONG</t>
  </si>
  <si>
    <t>NATURAL POLISHED GRANITE SLABS</t>
  </si>
  <si>
    <t>WHSU2558220</t>
  </si>
  <si>
    <t>Loose Packing</t>
  </si>
  <si>
    <t>To the order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</si>
  <si>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</si>
  <si>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</si>
  <si>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</si>
  <si>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</si>
  <si>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</si>
  <si>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</si>
  <si>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</si>
  <si>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</si>
  <si>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</si>
  <si>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</si>
  <si>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</si>
  <si>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</si>
  <si>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</si>
  <si>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</si>
  <si>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</si>
  <si>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</si>
  <si>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</si>
  <si>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</si>
  <si>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</si>
  <si>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</si>
  <si>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</si>
  <si>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</si>
  <si>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</si>
  <si>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</si>
  <si>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</si>
  <si>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</si>
  <si>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</si>
  <si>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</si>
  <si>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</si>
  <si>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</si>
  <si>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</si>
  <si>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</si>
  <si>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100% against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</si>
</sst>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&quot; / &quot;"/>
    <numFmt numFmtId="165" formatCode="[$-14009]dd/mm/yyyy;@"/>
    <numFmt numFmtId="166" formatCode="d/m/yyyy"/>
    <numFmt numFmtId="167" formatCode="_-[$$-409]* #,##0.00_ ;_-[$$-409]* \-#,##0.00\ ;_-[$$-409]* &quot;-&quot;??_ ;_-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164" fontId="5" fillId="0" borderId="7" xfId="0" applyNumberFormat="1" applyFont="1" applyBorder="1" applyAlignment="1">
      <alignment horizontal="center"/>
    </xf>
    <xf numFmtId="0" fontId="3" fillId="0" borderId="8" xfId="0" applyFont="1" applyBorder="1"/>
    <xf numFmtId="165" fontId="5" fillId="0" borderId="7" xfId="0" applyNumberFormat="1" applyFont="1" applyBorder="1" applyAlignment="1">
      <alignment horizontal="center"/>
    </xf>
    <xf numFmtId="165" fontId="3" fillId="0" borderId="1" xfId="0" applyNumberFormat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5" fillId="0" borderId="7" xfId="0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7" fillId="2" borderId="5" xfId="0" applyFont="1" applyFill="1" applyBorder="1"/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0" fontId="4" fillId="0" borderId="2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7" xfId="0" applyFont="1" applyBorder="1"/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3" fillId="0" borderId="5" xfId="0" applyFont="1" applyBorder="1"/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3" fillId="0" borderId="13" xfId="0" applyFont="1" applyBorder="1"/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5" xfId="0" applyFont="1" applyBorder="1"/>
    <xf numFmtId="0" fontId="5" fillId="0" borderId="10" xfId="0" applyFont="1" applyBorder="1" applyAlignment="1">
      <alignment horizontal="center"/>
    </xf>
    <xf numFmtId="167" fontId="5" fillId="0" borderId="16" xfId="0" applyNumberFormat="1" applyFon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1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Border="1"/>
    <xf numFmtId="0" fontId="5" fillId="0" borderId="7" xfId="0" applyFont="1" applyBorder="1"/>
    <xf numFmtId="0" fontId="5" fillId="0" borderId="1" xfId="0" applyFont="1" applyBorder="1"/>
    <xf numFmtId="0" fontId="4" fillId="0" borderId="18" xfId="0" applyFont="1" applyBorder="1" applyAlignment="1">
      <alignment horizontal="center"/>
    </xf>
    <xf numFmtId="167" fontId="10" fillId="0" borderId="2" xfId="0" applyNumberFormat="1" applyFont="1" applyBorder="1" applyAlignment="1">
      <alignment horizontal="center" vertical="center"/>
    </xf>
    <xf numFmtId="0" fontId="4" fillId="0" borderId="7" xfId="0" applyFont="1" applyBorder="1"/>
    <xf numFmtId="0" fontId="5" fillId="0" borderId="8" xfId="0" applyFont="1" applyBorder="1"/>
    <xf numFmtId="0" fontId="11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0" fontId="12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3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2" xfId="0" applyFont="1" applyBorder="1"/>
    <xf numFmtId="0" fontId="4" fillId="0" borderId="5" xfId="0" applyFont="1" applyBorder="1"/>
    <xf numFmtId="0" fontId="13" fillId="0" borderId="5" xfId="0" applyFont="1" applyBorder="1"/>
    <xf numFmtId="0" fontId="13" fillId="0" borderId="0" xfId="0" applyFont="1"/>
    <xf numFmtId="0" fontId="13" fillId="0" borderId="6" xfId="0" applyFont="1" applyBorder="1"/>
    <xf numFmtId="0" fontId="14" fillId="0" borderId="5" xfId="0" applyFont="1" applyBorder="1"/>
    <xf numFmtId="0" fontId="14" fillId="0" borderId="7" xfId="0" applyFont="1" applyBorder="1"/>
    <xf numFmtId="0" fontId="5" fillId="0" borderId="2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2" fontId="5" fillId="0" borderId="9" xfId="0" applyNumberFormat="1" applyFont="1" applyBorder="1" applyAlignment="1">
      <alignment horizontal="center"/>
    </xf>
    <xf numFmtId="0" fontId="4" fillId="0" borderId="9" xfId="0" applyFont="1" applyBorder="1"/>
    <xf numFmtId="2" fontId="4" fillId="0" borderId="1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2" borderId="5" xfId="0" applyFont="1" applyFill="1" applyBorder="1" applyAlignment="1">
      <alignment horizontal="left" vertical="top" wrapText="1"/>
    </xf>
    <xf numFmtId="0" fontId="3" fillId="0" borderId="0" xfId="0" applyFont="1" applyBorder="1"/>
    <xf numFmtId="0" fontId="12" fillId="2" borderId="7" xfId="0" applyFont="1" applyFill="1" applyBorder="1" applyAlignment="1">
      <alignment horizontal="left" vertical="top"/>
    </xf>
    <xf numFmtId="0" fontId="5" fillId="0" borderId="7" xfId="0" applyFont="1" applyBorder="1" applyAlignment="1">
      <alignment horizontal="left"/>
    </xf>
  </cellXfs>
  <cellStyles count="1">
    <cellStyle name="Normal" xfId="0" builtinId="0"/>
  </cellStyles>
  <dxfs count="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35</xdr:row>
      <xdr:rowOff>66675</xdr:rowOff>
    </xdr:from>
    <xdr:to>
      <xdr:col>8</xdr:col>
      <xdr:colOff>276225</xdr:colOff>
      <xdr:row>39</xdr:row>
      <xdr:rowOff>67777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26757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304799</xdr:colOff>
      <xdr:row>40</xdr:row>
      <xdr:rowOff>133351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voice%20template,PO,%20Packing%20List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data"/>
      <sheetName val="input data"/>
      <sheetName val="Invoice"/>
      <sheetName val="Sheet1"/>
      <sheetName val="Peacking List"/>
      <sheetName val="PO"/>
    </sheetNames>
    <sheetDataSet>
      <sheetData sheetId="0"/>
      <sheetData sheetId="1">
        <row r="6">
          <cell r="B6" t="str">
            <v>To the Order</v>
          </cell>
        </row>
        <row r="14">
          <cell r="B14" t="str">
            <v>Loose packing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9" workbookViewId="0">
      <selection activeCell="A30" sqref="A30:B30"/>
    </sheetView>
  </sheetViews>
  <sheetFormatPr defaultRowHeight="15" x14ac:dyDescent="0.25"/>
  <cols>
    <col min="4" max="4" width="21.42578125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4" t="s">
        <v>1</v>
      </c>
      <c r="B3" s="5"/>
      <c r="C3" s="5"/>
      <c r="D3" s="6"/>
      <c r="E3" s="7" t="s">
        <v>2</v>
      </c>
      <c r="F3" s="8"/>
      <c r="G3" s="9"/>
      <c r="H3" s="7" t="s">
        <v>3</v>
      </c>
      <c r="I3" s="8"/>
      <c r="J3" s="9"/>
    </row>
    <row r="4" spans="1:10" ht="15.75" thickBot="1" x14ac:dyDescent="0.3">
      <c r="A4" s="10" t="s">
        <v>4</v>
      </c>
      <c r="B4" s="11"/>
      <c r="C4" s="11"/>
      <c r="D4" s="12"/>
      <c r="E4" s="13" t="s">
        <v>57</v>
      </c>
      <c r="F4" s="3"/>
      <c r="G4" s="14"/>
      <c r="H4" s="15">
        <v>46059</v>
      </c>
      <c r="I4" s="16"/>
      <c r="J4" s="17"/>
    </row>
    <row r="5" spans="1:10" x14ac:dyDescent="0.25">
      <c r="A5" s="18" t="s">
        <v>5</v>
      </c>
      <c r="B5" s="11"/>
      <c r="C5" s="11"/>
      <c r="D5" s="12"/>
      <c r="E5" s="7" t="s">
        <v>6</v>
      </c>
      <c r="F5" s="8"/>
      <c r="G5" s="9"/>
      <c r="H5" s="7" t="s">
        <v>7</v>
      </c>
      <c r="I5" s="8"/>
      <c r="J5" s="9"/>
    </row>
    <row r="6" spans="1:10" ht="15.75" thickBot="1" x14ac:dyDescent="0.3">
      <c r="A6" s="18" t="s">
        <v>8</v>
      </c>
      <c r="B6" s="11"/>
      <c r="C6" s="11"/>
      <c r="D6" s="12"/>
      <c r="E6" s="19"/>
      <c r="F6" s="3"/>
      <c r="G6" s="14"/>
      <c r="H6" s="20" t="s">
        <v>58</v>
      </c>
      <c r="I6" s="3"/>
      <c r="J6" s="14"/>
    </row>
    <row r="7" spans="1:10" x14ac:dyDescent="0.25">
      <c r="A7" s="18" t="s">
        <v>9</v>
      </c>
      <c r="B7" s="11"/>
      <c r="C7" s="11"/>
      <c r="D7" s="12"/>
      <c r="E7" s="7" t="s">
        <v>10</v>
      </c>
      <c r="F7" s="8"/>
      <c r="G7" s="9"/>
      <c r="H7" s="7" t="s">
        <v>11</v>
      </c>
      <c r="I7" s="8"/>
      <c r="J7" s="9"/>
    </row>
    <row r="8" spans="1:10" ht="15.75" thickBot="1" x14ac:dyDescent="0.3">
      <c r="A8" s="10" t="s">
        <v>12</v>
      </c>
      <c r="B8" s="11"/>
      <c r="C8" s="11"/>
      <c r="D8" s="12"/>
      <c r="E8" s="19" t="s">
        <v>13</v>
      </c>
      <c r="F8" s="3"/>
      <c r="G8" s="14"/>
      <c r="H8" s="21" t="s">
        <v>14</v>
      </c>
      <c r="I8" s="3"/>
      <c r="J8" s="14"/>
    </row>
    <row r="9" spans="1:10" x14ac:dyDescent="0.25">
      <c r="A9" s="22" t="s">
        <v>15</v>
      </c>
      <c r="B9" s="11"/>
      <c r="C9" s="11"/>
      <c r="D9" s="12"/>
      <c r="E9" s="7" t="s">
        <v>16</v>
      </c>
      <c r="F9" s="8"/>
      <c r="G9" s="9"/>
      <c r="H9" s="7" t="s">
        <v>17</v>
      </c>
      <c r="I9" s="8"/>
      <c r="J9" s="9"/>
    </row>
    <row r="10" spans="1:10" ht="15.75" thickBot="1" x14ac:dyDescent="0.3">
      <c r="A10" s="22" t="s">
        <v>18</v>
      </c>
      <c r="B10" s="11"/>
      <c r="C10" s="11"/>
      <c r="D10" s="12"/>
      <c r="E10" s="23" t="s">
        <v>67</v>
      </c>
      <c r="F10" s="2"/>
      <c r="G10" s="24"/>
      <c r="H10" s="23" t="s">
        <v>59</v>
      </c>
      <c r="I10" s="2"/>
      <c r="J10" s="24"/>
    </row>
    <row r="11" spans="1:10" ht="15.75" thickBot="1" x14ac:dyDescent="0.3">
      <c r="A11" s="25" t="s">
        <v>19</v>
      </c>
      <c r="B11" s="8"/>
      <c r="C11" s="8"/>
      <c r="D11" s="9"/>
      <c r="E11" s="26" t="s">
        <v>20</v>
      </c>
      <c r="F11" s="27"/>
      <c r="G11" s="28"/>
      <c r="H11" s="29" t="s">
        <v>21</v>
      </c>
      <c r="I11" s="27"/>
      <c r="J11" s="28"/>
    </row>
    <row r="12" spans="1:10" x14ac:dyDescent="0.25">
      <c r="A12" s="30" t="s">
        <v>68</v>
      </c>
      <c r="B12" s="2"/>
      <c r="C12" s="2"/>
      <c r="D12" s="24"/>
      <c r="E12" s="31" t="s">
        <v>60</v>
      </c>
      <c r="F12" s="2"/>
      <c r="G12" s="24"/>
      <c r="H12" s="32" t="s">
        <v>101</v>
      </c>
      <c r="I12" s="2"/>
      <c r="J12" s="24"/>
    </row>
    <row r="13" spans="1:10" ht="15.75" thickBot="1" x14ac:dyDescent="0.3">
      <c r="A13" s="10"/>
      <c r="B13" s="11"/>
      <c r="C13" s="11"/>
      <c r="D13" s="12"/>
      <c r="E13" s="33"/>
      <c r="F13" s="3"/>
      <c r="G13" s="14"/>
      <c r="H13" s="3"/>
      <c r="I13" s="3"/>
      <c r="J13" s="14"/>
    </row>
    <row r="14" spans="1:10" x14ac:dyDescent="0.25">
      <c r="A14" s="4" t="s">
        <v>22</v>
      </c>
      <c r="B14" s="5"/>
      <c r="C14" s="5"/>
      <c r="D14" s="6"/>
      <c r="E14" s="34" t="s">
        <v>23</v>
      </c>
      <c r="F14" s="8"/>
      <c r="G14" s="8"/>
      <c r="H14" s="8"/>
      <c r="I14" s="8"/>
      <c r="J14" s="9"/>
    </row>
    <row r="15" spans="1:10" x14ac:dyDescent="0.25">
      <c r="A15" s="35" t="s">
        <v>61</v>
      </c>
      <c r="B15" s="2"/>
      <c r="C15" s="2"/>
      <c r="D15" s="24"/>
      <c r="E15" s="36"/>
      <c r="F15" s="2"/>
      <c r="G15" s="2"/>
      <c r="H15" s="2"/>
      <c r="I15" s="2"/>
      <c r="J15" s="24"/>
    </row>
    <row r="16" spans="1:10" x14ac:dyDescent="0.25">
      <c r="A16" s="36"/>
      <c r="B16" s="2"/>
      <c r="C16" s="2"/>
      <c r="D16" s="24"/>
      <c r="E16" s="36"/>
      <c r="F16" s="2"/>
      <c r="G16" s="2"/>
      <c r="H16" s="2"/>
      <c r="I16" s="2"/>
      <c r="J16" s="24"/>
    </row>
    <row r="17" spans="1:10" x14ac:dyDescent="0.25">
      <c r="A17" s="36"/>
      <c r="B17" s="2"/>
      <c r="C17" s="2"/>
      <c r="D17" s="24"/>
      <c r="E17" s="36"/>
      <c r="F17" s="2"/>
      <c r="G17" s="2"/>
      <c r="H17" s="2"/>
      <c r="I17" s="2"/>
      <c r="J17" s="24"/>
    </row>
    <row r="18" spans="1:10" x14ac:dyDescent="0.25">
      <c r="A18" s="36"/>
      <c r="B18" s="2"/>
      <c r="C18" s="2"/>
      <c r="D18" s="24"/>
      <c r="E18" s="36"/>
      <c r="F18" s="2"/>
      <c r="G18" s="2"/>
      <c r="H18" s="2"/>
      <c r="I18" s="2"/>
      <c r="J18" s="24"/>
    </row>
    <row r="19" spans="1:10" x14ac:dyDescent="0.25">
      <c r="A19" s="36"/>
      <c r="B19" s="2"/>
      <c r="C19" s="2"/>
      <c r="D19" s="24"/>
      <c r="E19" s="36"/>
      <c r="F19" s="2"/>
      <c r="G19" s="2"/>
      <c r="H19" s="2"/>
      <c r="I19" s="2"/>
      <c r="J19" s="24"/>
    </row>
    <row r="20" spans="1:10" ht="30.75" customHeight="1" thickBot="1" x14ac:dyDescent="0.3">
      <c r="A20" s="33"/>
      <c r="B20" s="3"/>
      <c r="C20" s="3"/>
      <c r="D20" s="14"/>
      <c r="E20" s="33"/>
      <c r="F20" s="3"/>
      <c r="G20" s="3"/>
      <c r="H20" s="3"/>
      <c r="I20" s="3"/>
      <c r="J20" s="14"/>
    </row>
    <row r="21" spans="1:10" x14ac:dyDescent="0.25">
      <c r="A21" s="37" t="s">
        <v>24</v>
      </c>
      <c r="B21" s="9"/>
      <c r="C21" s="37" t="s">
        <v>25</v>
      </c>
      <c r="D21" s="9"/>
      <c r="E21" s="37" t="s">
        <v>26</v>
      </c>
      <c r="F21" s="8"/>
      <c r="G21" s="9"/>
      <c r="H21" s="37" t="s">
        <v>27</v>
      </c>
      <c r="I21" s="8"/>
      <c r="J21" s="9"/>
    </row>
    <row r="22" spans="1:10" x14ac:dyDescent="0.25">
      <c r="A22" s="38" t="s">
        <v>28</v>
      </c>
      <c r="B22" s="24"/>
      <c r="C22" s="39" t="s">
        <v>62</v>
      </c>
      <c r="D22" s="24"/>
      <c r="E22" s="40" t="s">
        <v>29</v>
      </c>
      <c r="F22" s="2"/>
      <c r="G22" s="24"/>
      <c r="H22" s="40" t="s">
        <v>63</v>
      </c>
      <c r="I22" s="2"/>
      <c r="J22" s="24"/>
    </row>
    <row r="23" spans="1:10" ht="15.75" thickBot="1" x14ac:dyDescent="0.3">
      <c r="A23" s="41"/>
      <c r="B23" s="24"/>
      <c r="C23" s="33"/>
      <c r="D23" s="14"/>
      <c r="E23" s="33"/>
      <c r="F23" s="3"/>
      <c r="G23" s="14"/>
      <c r="H23" s="33"/>
      <c r="I23" s="3"/>
      <c r="J23" s="14"/>
    </row>
    <row r="24" spans="1:10" x14ac:dyDescent="0.25">
      <c r="A24" s="7" t="s">
        <v>30</v>
      </c>
      <c r="B24" s="9"/>
      <c r="C24" s="42" t="s">
        <v>31</v>
      </c>
      <c r="D24" s="9"/>
      <c r="E24" s="7" t="s">
        <v>32</v>
      </c>
      <c r="F24" s="8"/>
      <c r="G24" s="9"/>
      <c r="H24" s="42" t="s">
        <v>33</v>
      </c>
      <c r="I24" s="8"/>
      <c r="J24" s="9"/>
    </row>
    <row r="25" spans="1:10" ht="15.75" thickBot="1" x14ac:dyDescent="0.3">
      <c r="A25" s="19"/>
      <c r="B25" s="14"/>
      <c r="C25" s="21" t="s">
        <v>62</v>
      </c>
      <c r="D25" s="14"/>
      <c r="E25" s="21" t="s">
        <v>64</v>
      </c>
      <c r="F25" s="3"/>
      <c r="G25" s="14"/>
      <c r="H25" s="21" t="s">
        <v>64</v>
      </c>
      <c r="I25" s="3"/>
      <c r="J25" s="14"/>
    </row>
    <row r="26" spans="1:10" x14ac:dyDescent="0.25">
      <c r="A26" s="43" t="s">
        <v>34</v>
      </c>
      <c r="B26" s="44" t="s">
        <v>35</v>
      </c>
      <c r="C26" s="8"/>
      <c r="D26" s="9"/>
      <c r="E26" s="43" t="s">
        <v>36</v>
      </c>
      <c r="F26" s="7" t="s">
        <v>37</v>
      </c>
      <c r="G26" s="9"/>
      <c r="H26" s="45" t="s">
        <v>38</v>
      </c>
      <c r="I26" s="7" t="s">
        <v>39</v>
      </c>
      <c r="J26" s="9"/>
    </row>
    <row r="27" spans="1:10" ht="15.75" thickBot="1" x14ac:dyDescent="0.3">
      <c r="A27" s="46"/>
      <c r="B27" s="36"/>
      <c r="C27" s="2"/>
      <c r="D27" s="24"/>
      <c r="E27" s="46"/>
      <c r="F27" s="21" t="s">
        <v>40</v>
      </c>
      <c r="G27" s="14"/>
      <c r="H27" s="47" t="s">
        <v>40</v>
      </c>
      <c r="I27" s="21" t="s">
        <v>41</v>
      </c>
      <c r="J27" s="14"/>
    </row>
    <row r="28" spans="1:10" ht="15.75" thickBot="1" x14ac:dyDescent="0.3">
      <c r="A28" s="48">
        <v>1</v>
      </c>
      <c r="B28" s="49" t="s">
        <v>65</v>
      </c>
      <c r="C28" s="27"/>
      <c r="D28" s="28"/>
      <c r="E28" s="50">
        <v>68022390</v>
      </c>
      <c r="F28" s="51">
        <v>468.68</v>
      </c>
      <c r="G28" s="27"/>
      <c r="H28" s="52">
        <v>18</v>
      </c>
      <c r="I28" s="53">
        <f>F28*H28</f>
        <v>8436.24</v>
      </c>
      <c r="J28" s="28"/>
    </row>
    <row r="29" spans="1:10" x14ac:dyDescent="0.25">
      <c r="A29" s="10" t="s">
        <v>42</v>
      </c>
      <c r="B29" s="11"/>
      <c r="C29" s="11" t="s">
        <v>43</v>
      </c>
      <c r="D29" s="11" t="s">
        <v>44</v>
      </c>
      <c r="E29" s="11" t="s">
        <v>45</v>
      </c>
      <c r="F29" s="11"/>
      <c r="G29" s="54"/>
      <c r="H29" s="55" t="s">
        <v>46</v>
      </c>
      <c r="I29" s="54"/>
      <c r="J29" s="12"/>
    </row>
    <row r="30" spans="1:10" x14ac:dyDescent="0.25">
      <c r="A30" s="23" t="s">
        <v>66</v>
      </c>
      <c r="B30" s="2"/>
      <c r="C30" s="56">
        <v>450</v>
      </c>
      <c r="D30" s="11" t="s">
        <v>47</v>
      </c>
      <c r="E30" s="11" t="s">
        <v>48</v>
      </c>
      <c r="F30" s="11"/>
      <c r="G30" s="54"/>
      <c r="H30" s="55"/>
      <c r="I30" s="54"/>
      <c r="J30" s="12"/>
    </row>
    <row r="31" spans="1:10" ht="15.75" thickBot="1" x14ac:dyDescent="0.3">
      <c r="A31" s="10"/>
      <c r="B31" s="11"/>
      <c r="C31" s="11"/>
      <c r="D31" s="11"/>
      <c r="E31" s="11"/>
      <c r="F31" s="57"/>
      <c r="G31" s="58"/>
      <c r="H31" s="55"/>
      <c r="I31" s="54"/>
      <c r="J31" s="12"/>
    </row>
    <row r="32" spans="1:10" ht="15.75" thickBot="1" x14ac:dyDescent="0.3">
      <c r="A32" s="59"/>
      <c r="B32" s="60"/>
      <c r="C32" s="60"/>
      <c r="D32" s="60"/>
      <c r="E32" s="60"/>
      <c r="F32" s="60"/>
      <c r="G32" s="60"/>
      <c r="H32" s="61"/>
      <c r="I32" s="51"/>
      <c r="J32" s="28"/>
    </row>
    <row r="33" spans="1:10" x14ac:dyDescent="0.25">
      <c r="A33" s="4" t="s">
        <v>49</v>
      </c>
      <c r="B33" s="5"/>
      <c r="C33" s="5"/>
      <c r="D33" s="5"/>
      <c r="E33" s="5"/>
      <c r="F33" s="5"/>
      <c r="G33" s="5"/>
      <c r="H33" s="12"/>
      <c r="I33" s="62">
        <f>SUM(I28:J32)</f>
        <v>8436.24</v>
      </c>
      <c r="J33" s="9"/>
    </row>
    <row r="34" spans="1:10" ht="15.75" thickBot="1" x14ac:dyDescent="0.3">
      <c r="A34" s="63" t="s">
        <v>50</v>
      </c>
      <c r="B34" s="60"/>
      <c r="C34" s="60"/>
      <c r="D34" s="60"/>
      <c r="E34" s="60"/>
      <c r="F34" s="60"/>
      <c r="G34" s="60"/>
      <c r="H34" s="64"/>
      <c r="I34" s="33"/>
      <c r="J34" s="14"/>
    </row>
    <row r="35" spans="1:10" x14ac:dyDescent="0.25">
      <c r="A35" s="65" t="s">
        <v>51</v>
      </c>
      <c r="B35" s="8"/>
      <c r="C35" s="8"/>
      <c r="D35" s="9"/>
      <c r="E35" s="25" t="s">
        <v>52</v>
      </c>
      <c r="F35" s="8"/>
      <c r="G35" s="8"/>
      <c r="H35" s="8"/>
      <c r="I35" s="8"/>
      <c r="J35" s="9"/>
    </row>
    <row r="36" spans="1:10" x14ac:dyDescent="0.25">
      <c r="A36" s="66" t="s">
        <v>53</v>
      </c>
      <c r="B36" s="2"/>
      <c r="C36" s="2"/>
      <c r="D36" s="24"/>
      <c r="E36" s="10" t="s">
        <v>54</v>
      </c>
      <c r="F36" s="11"/>
      <c r="G36" s="11"/>
      <c r="H36" s="11"/>
      <c r="I36" s="11"/>
      <c r="J36" s="12"/>
    </row>
    <row r="37" spans="1:10" x14ac:dyDescent="0.25">
      <c r="A37" s="36"/>
      <c r="B37" s="2"/>
      <c r="C37" s="2"/>
      <c r="D37" s="24"/>
      <c r="E37" s="10"/>
      <c r="F37" s="11"/>
      <c r="G37" s="11"/>
      <c r="H37" s="11"/>
      <c r="I37" s="11"/>
      <c r="J37" s="12"/>
    </row>
    <row r="38" spans="1:10" x14ac:dyDescent="0.25">
      <c r="A38" s="67" t="s">
        <v>55</v>
      </c>
      <c r="B38" s="2"/>
      <c r="C38" s="2"/>
      <c r="D38" s="24"/>
      <c r="E38" s="10"/>
      <c r="F38" s="11"/>
      <c r="G38" s="11"/>
      <c r="H38" s="11"/>
      <c r="I38" s="11"/>
      <c r="J38" s="12"/>
    </row>
    <row r="39" spans="1:10" ht="15.75" thickBot="1" x14ac:dyDescent="0.3">
      <c r="A39" s="33"/>
      <c r="B39" s="3"/>
      <c r="C39" s="3"/>
      <c r="D39" s="14"/>
      <c r="E39" s="59" t="s">
        <v>56</v>
      </c>
      <c r="F39" s="60"/>
      <c r="G39" s="60"/>
      <c r="H39" s="60"/>
      <c r="I39" s="60"/>
      <c r="J39" s="64"/>
    </row>
  </sheetData>
  <mergeCells count="61">
    <mergeCell ref="A35:D35"/>
    <mergeCell ref="E35:J35"/>
    <mergeCell ref="A36:D37"/>
    <mergeCell ref="A38:D39"/>
    <mergeCell ref="I27:J27"/>
    <mergeCell ref="B28:D28"/>
    <mergeCell ref="F28:G28"/>
    <mergeCell ref="I28:J28"/>
    <mergeCell ref="H29:H32"/>
    <mergeCell ref="F31:G31"/>
    <mergeCell ref="I32:J32"/>
    <mergeCell ref="A25:B25"/>
    <mergeCell ref="C25:D25"/>
    <mergeCell ref="E25:G25"/>
    <mergeCell ref="H25:J25"/>
    <mergeCell ref="A26:A27"/>
    <mergeCell ref="B26:D27"/>
    <mergeCell ref="E26:E27"/>
    <mergeCell ref="F26:G26"/>
    <mergeCell ref="I26:J26"/>
    <mergeCell ref="F27:G27"/>
    <mergeCell ref="C22:D23"/>
    <mergeCell ref="E22:G23"/>
    <mergeCell ref="H22:J23"/>
    <mergeCell ref="A23:B23"/>
    <mergeCell ref="A24:B24"/>
    <mergeCell ref="C24:D24"/>
    <mergeCell ref="E24:G24"/>
    <mergeCell ref="H24:J24"/>
    <mergeCell ref="A12:D12"/>
    <mergeCell ref="E12:G13"/>
    <mergeCell ref="H12:J13"/>
    <mergeCell ref="E14:J20"/>
    <mergeCell ref="A15:D20"/>
    <mergeCell ref="A21:B21"/>
    <mergeCell ref="C21:D21"/>
    <mergeCell ref="E21:G21"/>
    <mergeCell ref="H21:J21"/>
    <mergeCell ref="E8:G8"/>
    <mergeCell ref="H8:J8"/>
    <mergeCell ref="E9:G9"/>
    <mergeCell ref="H9:J9"/>
    <mergeCell ref="E10:G10"/>
    <mergeCell ref="H10:J10"/>
    <mergeCell ref="E5:G5"/>
    <mergeCell ref="H5:J5"/>
    <mergeCell ref="E6:G6"/>
    <mergeCell ref="H6:J6"/>
    <mergeCell ref="E7:G7"/>
    <mergeCell ref="H7:J7"/>
    <mergeCell ref="A1:J2"/>
    <mergeCell ref="E3:G3"/>
    <mergeCell ref="H3:J3"/>
    <mergeCell ref="E4:G4"/>
    <mergeCell ref="H4:J4"/>
    <mergeCell ref="I33:J34"/>
    <mergeCell ref="A30:B30"/>
    <mergeCell ref="A22:B22"/>
    <mergeCell ref="A11:D11"/>
    <mergeCell ref="E11:G11"/>
    <mergeCell ref="H11:J11"/>
  </mergeCells>
  <conditionalFormatting sqref="A30:B30">
    <cfRule type="containsBlanks" dxfId="3" priority="2">
      <formula>LEN(TRIM(A30))=0</formula>
    </cfRule>
  </conditionalFormatting>
  <conditionalFormatting sqref="C30">
    <cfRule type="containsBlanks" dxfId="1" priority="1">
      <formula>LEN(TRIM(C30))=0</formula>
    </cfRule>
  </conditionalFormatting>
  <hyperlinks>
    <hyperlink ref="A9" r:id="rId1"/>
    <hyperlink ref="A10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25" workbookViewId="0">
      <selection activeCell="L36" sqref="L36"/>
    </sheetView>
  </sheetViews>
  <sheetFormatPr defaultRowHeight="15" x14ac:dyDescent="0.25"/>
  <sheetData>
    <row r="1" spans="1:10" ht="21.75" thickBot="1" x14ac:dyDescent="0.4">
      <c r="A1" s="71" t="s">
        <v>69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5" t="s">
        <v>70</v>
      </c>
      <c r="B2" s="8"/>
      <c r="C2" s="8"/>
      <c r="D2" s="8"/>
      <c r="E2" s="8"/>
      <c r="F2" s="9"/>
      <c r="G2" s="7" t="s">
        <v>2</v>
      </c>
      <c r="H2" s="9"/>
      <c r="I2" s="72" t="s">
        <v>3</v>
      </c>
      <c r="J2" s="9"/>
    </row>
    <row r="3" spans="1:10" ht="16.5" thickBot="1" x14ac:dyDescent="0.3">
      <c r="A3" s="73" t="s">
        <v>71</v>
      </c>
      <c r="B3" s="2"/>
      <c r="C3" s="2"/>
      <c r="D3" s="2"/>
      <c r="E3" s="2"/>
      <c r="F3" s="24"/>
      <c r="G3" s="13" t="s">
        <v>57</v>
      </c>
      <c r="H3" s="14"/>
      <c r="I3" s="15">
        <v>46059</v>
      </c>
      <c r="J3" s="17"/>
    </row>
    <row r="4" spans="1:10" x14ac:dyDescent="0.25">
      <c r="A4" s="10" t="s">
        <v>72</v>
      </c>
      <c r="B4" s="11"/>
      <c r="C4" s="11"/>
      <c r="D4" s="11"/>
      <c r="E4" s="11"/>
      <c r="F4" s="12"/>
      <c r="G4" s="72" t="s">
        <v>7</v>
      </c>
      <c r="H4" s="8"/>
      <c r="I4" s="8"/>
      <c r="J4" s="9"/>
    </row>
    <row r="5" spans="1:10" ht="15.75" thickBot="1" x14ac:dyDescent="0.3">
      <c r="A5" s="10" t="s">
        <v>73</v>
      </c>
      <c r="B5" s="11"/>
      <c r="C5" s="11"/>
      <c r="D5" s="11"/>
      <c r="E5" s="11"/>
      <c r="F5" s="12"/>
      <c r="G5" s="21" t="s">
        <v>58</v>
      </c>
      <c r="H5" s="3"/>
      <c r="I5" s="3"/>
      <c r="J5" s="14"/>
    </row>
    <row r="6" spans="1:10" ht="15.75" thickBot="1" x14ac:dyDescent="0.3">
      <c r="A6" s="74" t="s">
        <v>74</v>
      </c>
      <c r="B6" s="2"/>
      <c r="C6" s="2"/>
      <c r="D6" s="2"/>
      <c r="E6" s="2"/>
      <c r="F6" s="12"/>
      <c r="G6" s="69"/>
      <c r="H6" s="70"/>
      <c r="I6" s="70"/>
      <c r="J6" s="75"/>
    </row>
    <row r="7" spans="1:10" x14ac:dyDescent="0.25">
      <c r="A7" s="10" t="s">
        <v>75</v>
      </c>
      <c r="B7" s="11"/>
      <c r="C7" s="11"/>
      <c r="D7" s="11"/>
      <c r="E7" s="11"/>
      <c r="F7" s="12"/>
      <c r="G7" s="76" t="s">
        <v>76</v>
      </c>
      <c r="H7" s="5"/>
      <c r="I7" s="5"/>
      <c r="J7" s="6"/>
    </row>
    <row r="8" spans="1:10" ht="15.75" x14ac:dyDescent="0.25">
      <c r="A8" s="77" t="s">
        <v>77</v>
      </c>
      <c r="B8" s="11"/>
      <c r="C8" s="11"/>
      <c r="D8" s="11"/>
      <c r="E8" s="11"/>
      <c r="F8" s="12"/>
      <c r="G8" s="78" t="s">
        <v>78</v>
      </c>
      <c r="H8" s="79"/>
      <c r="I8" s="79"/>
      <c r="J8" s="80"/>
    </row>
    <row r="9" spans="1:10" ht="15.75" x14ac:dyDescent="0.25">
      <c r="A9" s="81" t="s">
        <v>15</v>
      </c>
      <c r="B9" s="11"/>
      <c r="C9" s="11"/>
      <c r="D9" s="11"/>
      <c r="E9" s="11"/>
      <c r="F9" s="12"/>
      <c r="G9" s="78" t="s">
        <v>79</v>
      </c>
      <c r="H9" s="79"/>
      <c r="I9" s="79"/>
      <c r="J9" s="80"/>
    </row>
    <row r="10" spans="1:10" ht="15.75" thickBot="1" x14ac:dyDescent="0.3">
      <c r="A10" s="82" t="s">
        <v>18</v>
      </c>
      <c r="B10" s="60"/>
      <c r="C10" s="60"/>
      <c r="D10" s="60"/>
      <c r="E10" s="60"/>
      <c r="F10" s="64"/>
      <c r="G10" s="59"/>
      <c r="H10" s="60"/>
      <c r="I10" s="60"/>
      <c r="J10" s="64"/>
    </row>
    <row r="11" spans="1:10" x14ac:dyDescent="0.25">
      <c r="A11" s="83" t="s">
        <v>19</v>
      </c>
      <c r="B11" s="8"/>
      <c r="C11" s="8"/>
      <c r="D11" s="8"/>
      <c r="E11" s="8"/>
      <c r="F11" s="6"/>
      <c r="G11" s="76" t="s">
        <v>80</v>
      </c>
      <c r="H11" s="5"/>
      <c r="I11" s="5"/>
      <c r="J11" s="6"/>
    </row>
    <row r="12" spans="1:10" x14ac:dyDescent="0.25">
      <c r="A12" s="84" t="str">
        <f>'[1]input data'!B6</f>
        <v>To the Order</v>
      </c>
      <c r="B12" s="2"/>
      <c r="C12" s="2"/>
      <c r="D12" s="2"/>
      <c r="E12" s="2"/>
      <c r="F12" s="12"/>
      <c r="G12" s="10"/>
      <c r="H12" s="11"/>
      <c r="I12" s="11"/>
      <c r="J12" s="12"/>
    </row>
    <row r="13" spans="1:10" ht="15.75" thickBot="1" x14ac:dyDescent="0.3">
      <c r="A13" s="33"/>
      <c r="B13" s="3"/>
      <c r="C13" s="3"/>
      <c r="D13" s="3"/>
      <c r="E13" s="3"/>
      <c r="F13" s="64"/>
      <c r="G13" s="10"/>
      <c r="H13" s="11"/>
      <c r="I13" s="11"/>
      <c r="J13" s="12"/>
    </row>
    <row r="14" spans="1:10" x14ac:dyDescent="0.25">
      <c r="A14" s="83" t="s">
        <v>22</v>
      </c>
      <c r="B14" s="8"/>
      <c r="C14" s="8"/>
      <c r="D14" s="8"/>
      <c r="E14" s="8"/>
      <c r="F14" s="9"/>
      <c r="G14" s="10"/>
      <c r="H14" s="11"/>
      <c r="I14" s="11"/>
      <c r="J14" s="12"/>
    </row>
    <row r="15" spans="1:10" x14ac:dyDescent="0.25">
      <c r="A15" s="35" t="s">
        <v>61</v>
      </c>
      <c r="B15" s="2"/>
      <c r="C15" s="2"/>
      <c r="D15" s="2"/>
      <c r="E15" s="2"/>
      <c r="F15" s="24"/>
      <c r="G15" s="10"/>
      <c r="H15" s="11"/>
      <c r="I15" s="11"/>
      <c r="J15" s="12"/>
    </row>
    <row r="16" spans="1:10" x14ac:dyDescent="0.25">
      <c r="A16" s="36"/>
      <c r="B16" s="2"/>
      <c r="C16" s="2"/>
      <c r="D16" s="2"/>
      <c r="E16" s="2"/>
      <c r="F16" s="24"/>
      <c r="G16" s="10"/>
      <c r="H16" s="11"/>
      <c r="I16" s="11"/>
      <c r="J16" s="12"/>
    </row>
    <row r="17" spans="1:10" ht="15.75" thickBot="1" x14ac:dyDescent="0.3">
      <c r="A17" s="36"/>
      <c r="B17" s="2"/>
      <c r="C17" s="2"/>
      <c r="D17" s="2"/>
      <c r="E17" s="2"/>
      <c r="F17" s="24"/>
      <c r="G17" s="10"/>
      <c r="H17" s="11"/>
      <c r="I17" s="11"/>
      <c r="J17" s="12"/>
    </row>
    <row r="18" spans="1:10" x14ac:dyDescent="0.25">
      <c r="A18" s="36"/>
      <c r="B18" s="2"/>
      <c r="C18" s="2"/>
      <c r="D18" s="2"/>
      <c r="E18" s="2"/>
      <c r="F18" s="24"/>
      <c r="G18" s="85" t="s">
        <v>81</v>
      </c>
      <c r="H18" s="9"/>
      <c r="I18" s="86" t="s">
        <v>82</v>
      </c>
      <c r="J18" s="9"/>
    </row>
    <row r="19" spans="1:10" ht="15.75" thickBot="1" x14ac:dyDescent="0.3">
      <c r="A19" s="36"/>
      <c r="B19" s="2"/>
      <c r="C19" s="2"/>
      <c r="D19" s="2"/>
      <c r="E19" s="2"/>
      <c r="F19" s="24"/>
      <c r="G19" s="33"/>
      <c r="H19" s="14"/>
      <c r="I19" s="3"/>
      <c r="J19" s="14"/>
    </row>
    <row r="20" spans="1:10" ht="33.75" customHeight="1" thickBot="1" x14ac:dyDescent="0.3">
      <c r="A20" s="33"/>
      <c r="B20" s="3"/>
      <c r="C20" s="3"/>
      <c r="D20" s="3"/>
      <c r="E20" s="3"/>
      <c r="F20" s="14"/>
      <c r="G20" s="87" t="s">
        <v>29</v>
      </c>
      <c r="H20" s="14"/>
      <c r="I20" s="87" t="s">
        <v>63</v>
      </c>
      <c r="J20" s="14"/>
    </row>
    <row r="21" spans="1:10" ht="15.75" thickBot="1" x14ac:dyDescent="0.3">
      <c r="A21" s="88" t="s">
        <v>83</v>
      </c>
      <c r="B21" s="8"/>
      <c r="C21" s="9"/>
      <c r="D21" s="88" t="s">
        <v>84</v>
      </c>
      <c r="E21" s="8"/>
      <c r="F21" s="9"/>
      <c r="G21" s="89" t="s">
        <v>85</v>
      </c>
      <c r="H21" s="27"/>
      <c r="I21" s="27"/>
      <c r="J21" s="28"/>
    </row>
    <row r="22" spans="1:10" ht="15.75" thickBot="1" x14ac:dyDescent="0.3">
      <c r="A22" s="19"/>
      <c r="B22" s="3"/>
      <c r="C22" s="14"/>
      <c r="D22" s="21" t="s">
        <v>62</v>
      </c>
      <c r="E22" s="3"/>
      <c r="F22" s="14"/>
      <c r="G22" s="90" t="s">
        <v>60</v>
      </c>
      <c r="H22" s="3"/>
      <c r="I22" s="3"/>
      <c r="J22" s="14"/>
    </row>
    <row r="23" spans="1:10" x14ac:dyDescent="0.25">
      <c r="A23" s="88" t="s">
        <v>86</v>
      </c>
      <c r="B23" s="8"/>
      <c r="C23" s="9"/>
      <c r="D23" s="88" t="s">
        <v>87</v>
      </c>
      <c r="E23" s="8"/>
      <c r="F23" s="9"/>
      <c r="G23" s="91"/>
      <c r="H23" s="92"/>
      <c r="I23" s="92"/>
      <c r="J23" s="93"/>
    </row>
    <row r="24" spans="1:10" ht="15.75" thickBot="1" x14ac:dyDescent="0.3">
      <c r="A24" s="19"/>
      <c r="B24" s="3"/>
      <c r="C24" s="14"/>
      <c r="D24" s="21" t="s">
        <v>62</v>
      </c>
      <c r="E24" s="3"/>
      <c r="F24" s="14"/>
      <c r="G24" s="59"/>
      <c r="H24" s="60"/>
      <c r="I24" s="60"/>
      <c r="J24" s="64"/>
    </row>
    <row r="25" spans="1:10" ht="15.75" thickBot="1" x14ac:dyDescent="0.3">
      <c r="A25" s="88" t="s">
        <v>32</v>
      </c>
      <c r="B25" s="8"/>
      <c r="C25" s="9"/>
      <c r="D25" s="88" t="s">
        <v>33</v>
      </c>
      <c r="E25" s="8"/>
      <c r="F25" s="9"/>
      <c r="G25" s="94" t="s">
        <v>88</v>
      </c>
      <c r="H25" s="27"/>
      <c r="I25" s="27"/>
      <c r="J25" s="28"/>
    </row>
    <row r="26" spans="1:10" ht="15.75" thickBot="1" x14ac:dyDescent="0.3">
      <c r="A26" s="41" t="s">
        <v>64</v>
      </c>
      <c r="B26" s="2"/>
      <c r="C26" s="24"/>
      <c r="D26" s="41" t="s">
        <v>64</v>
      </c>
      <c r="E26" s="2"/>
      <c r="F26" s="24"/>
      <c r="G26" s="85" t="s">
        <v>101</v>
      </c>
      <c r="H26" s="8"/>
      <c r="I26" s="8"/>
      <c r="J26" s="9"/>
    </row>
    <row r="27" spans="1:10" ht="15.75" thickBot="1" x14ac:dyDescent="0.3">
      <c r="A27" s="95"/>
      <c r="B27" s="96"/>
      <c r="C27" s="96"/>
      <c r="D27" s="96"/>
      <c r="E27" s="96"/>
      <c r="F27" s="96"/>
      <c r="G27" s="96"/>
      <c r="H27" s="96"/>
      <c r="I27" s="96"/>
      <c r="J27" s="97"/>
    </row>
    <row r="28" spans="1:10" ht="15.75" thickBot="1" x14ac:dyDescent="0.3">
      <c r="A28" s="98" t="s">
        <v>34</v>
      </c>
      <c r="B28" s="21" t="s">
        <v>89</v>
      </c>
      <c r="C28" s="14"/>
      <c r="D28" s="21" t="s">
        <v>35</v>
      </c>
      <c r="E28" s="3"/>
      <c r="F28" s="3"/>
      <c r="G28" s="99"/>
      <c r="H28" s="100"/>
      <c r="I28" s="21" t="s">
        <v>40</v>
      </c>
      <c r="J28" s="14"/>
    </row>
    <row r="29" spans="1:10" ht="15.75" thickBot="1" x14ac:dyDescent="0.3">
      <c r="A29" s="48">
        <v>1</v>
      </c>
      <c r="B29" s="49">
        <v>68022390</v>
      </c>
      <c r="C29" s="28"/>
      <c r="D29" s="101" t="s">
        <v>65</v>
      </c>
      <c r="E29" s="27"/>
      <c r="F29" s="27"/>
      <c r="G29" s="27"/>
      <c r="H29" s="28"/>
      <c r="I29" s="102">
        <v>468.68</v>
      </c>
      <c r="J29" s="28"/>
    </row>
    <row r="30" spans="1:10" ht="15.75" thickBot="1" x14ac:dyDescent="0.3">
      <c r="A30" s="103" t="s">
        <v>90</v>
      </c>
      <c r="B30" s="96"/>
      <c r="C30" s="96"/>
      <c r="D30" s="96"/>
      <c r="E30" s="96"/>
      <c r="F30" s="96"/>
      <c r="G30" s="96"/>
      <c r="H30" s="96"/>
      <c r="I30" s="104">
        <f>SUM(I29:I29)</f>
        <v>468.68</v>
      </c>
      <c r="J30" s="28"/>
    </row>
    <row r="31" spans="1:10" x14ac:dyDescent="0.25">
      <c r="A31" s="77"/>
      <c r="B31" s="11"/>
      <c r="C31" s="11"/>
      <c r="D31" s="11"/>
      <c r="E31" s="11"/>
      <c r="F31" s="11"/>
      <c r="G31" s="11"/>
      <c r="H31" s="11"/>
      <c r="I31" s="70"/>
      <c r="J31" s="75"/>
    </row>
    <row r="32" spans="1:10" x14ac:dyDescent="0.25">
      <c r="A32" s="41" t="s">
        <v>91</v>
      </c>
      <c r="B32" s="2"/>
      <c r="C32" s="70" t="s">
        <v>43</v>
      </c>
      <c r="D32" s="57" t="s">
        <v>44</v>
      </c>
      <c r="E32" s="2"/>
      <c r="F32" s="70" t="s">
        <v>45</v>
      </c>
      <c r="G32" s="70"/>
      <c r="H32" s="11"/>
      <c r="I32" s="70"/>
      <c r="J32" s="75"/>
    </row>
    <row r="33" spans="1:10" x14ac:dyDescent="0.25">
      <c r="A33" s="23" t="s">
        <v>66</v>
      </c>
      <c r="B33" s="2"/>
      <c r="C33" s="105">
        <v>450</v>
      </c>
      <c r="D33" s="106" t="s">
        <v>92</v>
      </c>
      <c r="E33" s="2"/>
      <c r="F33" s="105" t="s">
        <v>93</v>
      </c>
      <c r="G33" s="105"/>
      <c r="H33" s="11"/>
      <c r="I33" s="11"/>
      <c r="J33" s="12"/>
    </row>
    <row r="34" spans="1:10" x14ac:dyDescent="0.25">
      <c r="A34" s="68"/>
      <c r="B34" s="107"/>
      <c r="C34" s="107"/>
      <c r="D34" s="107"/>
      <c r="E34" s="107"/>
      <c r="F34" s="107"/>
      <c r="G34" s="107"/>
      <c r="H34" s="107"/>
      <c r="I34" s="107"/>
      <c r="J34" s="108"/>
    </row>
    <row r="35" spans="1:10" x14ac:dyDescent="0.25">
      <c r="A35" s="68" t="s">
        <v>94</v>
      </c>
      <c r="B35" s="107"/>
      <c r="C35" s="107" t="str">
        <f>'[1]input data'!B14</f>
        <v>Loose packing</v>
      </c>
      <c r="D35" s="107"/>
      <c r="E35" s="107"/>
      <c r="F35" s="107"/>
      <c r="G35" s="107"/>
      <c r="H35" s="107"/>
      <c r="I35" s="107"/>
      <c r="J35" s="108"/>
    </row>
    <row r="36" spans="1:10" x14ac:dyDescent="0.25">
      <c r="A36" s="68" t="s">
        <v>95</v>
      </c>
      <c r="B36" s="107"/>
      <c r="C36" s="107"/>
      <c r="D36" s="107"/>
      <c r="E36" s="107"/>
      <c r="F36" s="107"/>
      <c r="G36" s="107"/>
      <c r="H36" s="107"/>
      <c r="I36" s="107"/>
      <c r="J36" s="108"/>
    </row>
    <row r="37" spans="1:10" ht="15.75" thickBot="1" x14ac:dyDescent="0.3">
      <c r="A37" s="109"/>
      <c r="B37" s="110"/>
      <c r="C37" s="110"/>
      <c r="D37" s="110"/>
      <c r="E37" s="110"/>
      <c r="F37" s="110"/>
      <c r="G37" s="110"/>
      <c r="H37" s="110"/>
      <c r="I37" s="110"/>
      <c r="J37" s="111"/>
    </row>
    <row r="38" spans="1:10" x14ac:dyDescent="0.25">
      <c r="A38" s="25" t="s">
        <v>96</v>
      </c>
      <c r="B38" s="8"/>
      <c r="C38" s="8"/>
      <c r="D38" s="8"/>
      <c r="E38" s="8"/>
      <c r="F38" s="9"/>
      <c r="G38" s="25" t="s">
        <v>52</v>
      </c>
      <c r="H38" s="8"/>
      <c r="I38" s="8"/>
      <c r="J38" s="9"/>
    </row>
    <row r="39" spans="1:10" x14ac:dyDescent="0.25">
      <c r="A39" s="112" t="s">
        <v>97</v>
      </c>
      <c r="B39" s="2"/>
      <c r="C39" s="2"/>
      <c r="D39" s="2"/>
      <c r="E39" s="2"/>
      <c r="F39" s="24"/>
      <c r="G39" s="10"/>
      <c r="H39" s="11"/>
      <c r="I39" s="11"/>
      <c r="J39" s="12"/>
    </row>
    <row r="40" spans="1:10" x14ac:dyDescent="0.25">
      <c r="A40" s="113" t="s">
        <v>98</v>
      </c>
      <c r="B40" s="114"/>
      <c r="C40" s="114"/>
      <c r="D40" s="114"/>
      <c r="E40" s="114"/>
      <c r="F40" s="24"/>
      <c r="G40" s="10"/>
      <c r="H40" s="11"/>
      <c r="I40" s="11"/>
      <c r="J40" s="12"/>
    </row>
    <row r="41" spans="1:10" ht="15.75" thickBot="1" x14ac:dyDescent="0.3">
      <c r="A41" s="115" t="s">
        <v>99</v>
      </c>
      <c r="B41" s="3"/>
      <c r="C41" s="3"/>
      <c r="D41" s="3"/>
      <c r="E41" s="3"/>
      <c r="F41" s="14"/>
      <c r="G41" s="116" t="s">
        <v>100</v>
      </c>
      <c r="H41" s="3"/>
      <c r="I41" s="3"/>
      <c r="J41" s="14"/>
    </row>
  </sheetData>
  <mergeCells count="51">
    <mergeCell ref="A39:F39"/>
    <mergeCell ref="A40:F40"/>
    <mergeCell ref="A41:F41"/>
    <mergeCell ref="G41:J41"/>
    <mergeCell ref="I30:J30"/>
    <mergeCell ref="A32:B32"/>
    <mergeCell ref="D32:E32"/>
    <mergeCell ref="A33:B33"/>
    <mergeCell ref="D33:E33"/>
    <mergeCell ref="A38:F38"/>
    <mergeCell ref="G38:J38"/>
    <mergeCell ref="B28:C28"/>
    <mergeCell ref="D28:F28"/>
    <mergeCell ref="I28:J28"/>
    <mergeCell ref="B29:C29"/>
    <mergeCell ref="D29:H29"/>
    <mergeCell ref="I29:J29"/>
    <mergeCell ref="A25:C25"/>
    <mergeCell ref="D25:F25"/>
    <mergeCell ref="G25:J25"/>
    <mergeCell ref="A26:C26"/>
    <mergeCell ref="D26:F26"/>
    <mergeCell ref="G26:J26"/>
    <mergeCell ref="A22:C22"/>
    <mergeCell ref="D22:F22"/>
    <mergeCell ref="G22:J22"/>
    <mergeCell ref="A23:C23"/>
    <mergeCell ref="D23:F23"/>
    <mergeCell ref="A24:C24"/>
    <mergeCell ref="D24:F24"/>
    <mergeCell ref="A15:F20"/>
    <mergeCell ref="G18:H19"/>
    <mergeCell ref="I18:J19"/>
    <mergeCell ref="G20:H20"/>
    <mergeCell ref="I20:J20"/>
    <mergeCell ref="A21:C21"/>
    <mergeCell ref="D21:F21"/>
    <mergeCell ref="G21:J21"/>
    <mergeCell ref="G4:J4"/>
    <mergeCell ref="G5:J5"/>
    <mergeCell ref="A6:E6"/>
    <mergeCell ref="A11:E11"/>
    <mergeCell ref="A12:E13"/>
    <mergeCell ref="A14:F14"/>
    <mergeCell ref="A1:J1"/>
    <mergeCell ref="A2:F2"/>
    <mergeCell ref="G2:H2"/>
    <mergeCell ref="I2:J2"/>
    <mergeCell ref="A3:F3"/>
    <mergeCell ref="G3:H3"/>
    <mergeCell ref="I3:J3"/>
  </mergeCells>
  <hyperlinks>
    <hyperlink ref="A9" r:id="rId1"/>
    <hyperlink ref="A10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2026-02-07T05:24:31Z</dcterms:created>
  <dcterms:modified xsi:type="dcterms:W3CDTF">2026-02-07T05:46:31Z</dcterms:modified>
</cp:coreProperties>
</file>
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33 BK033 November 25-26 HOANG MINH STONE TRADING COMPANY LIMITED (Nam stone) Absolute Mix (VS Trans)\"/>
    </mc:Choice>
  </mc:AlternateContent>
  <bookViews>
    <workbookView xWindow="0" yWindow="0" windowWidth="20490" windowHeight="7245" activeTab="4"/>
  </bookViews>
  <sheets>
    <sheet name="company data" sheetId="1" r:id="rId1"/>
    <sheet name="input data" sheetId="2" r:id="rId2"/>
    <sheet name="Invoice" sheetId="3" r:id="rId3"/>
    <sheet name="Sheet1" sheetId="6" r:id="rId4"/>
    <sheet name="Peacking List" sheetId="4" r:id="rId5"/>
    <sheet name="PO" sheetId="5" r:id="rId6"/>
    <sheet name="Sheet2" sheetId="7" r:id="rId7"/>
  </sheets>
  <definedNames>
    <definedName name="_xlnm.Print_Area" localSheetId="5">PO!$A$1:$K$43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I29" i="3" l="1"/>
  <c r="I28" i="3"/>
  <c r="J22" i="5"/>
  <c r="J21" i="5"/>
  <c r="J20" i="5"/>
  <c r="D4" i="6" l="1"/>
  <c r="B30" i="4" l="1"/>
  <c r="D30" i="4"/>
  <c r="I30" i="4"/>
  <c r="C9" i="5" l="1"/>
  <c r="D3" i="6" l="1"/>
  <c r="D5" i="6" s="1"/>
  <c r="D7" i="6" s="1"/>
  <c r="J19" i="5" l="1"/>
  <c r="C34" i="4" l="1"/>
  <c r="A12" i="4"/>
  <c r="A12" i="3"/>
  <c r="A15" i="3" l="1"/>
  <c r="B3" i="2" l="1"/>
  <c r="B5" i="2"/>
  <c r="G5" i="4" l="1"/>
  <c r="C38" i="5"/>
  <c r="H6" i="3"/>
  <c r="I29" i="4"/>
  <c r="I31" i="4" s="1"/>
  <c r="C36" i="4"/>
  <c r="B29" i="4"/>
  <c r="G26" i="4"/>
  <c r="G22" i="4"/>
  <c r="C31" i="3"/>
  <c r="A31" i="3"/>
  <c r="A34" i="4" s="1"/>
  <c r="B28" i="3"/>
  <c r="D29" i="4" s="1"/>
  <c r="H25" i="3"/>
  <c r="D26" i="4" s="1"/>
  <c r="E25" i="3"/>
  <c r="A26" i="4" s="1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4" i="5" l="1"/>
  <c r="I34" i="3"/>
</calcChain>
</file>

<file path=xl/sharedStrings.xml><?xml version="1.0" encoding="utf-8"?>
<sst xmlns="http://schemas.openxmlformats.org/spreadsheetml/2006/main" count="209" uniqueCount="171">
  <si>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</si>
  <si>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</si>
  <si>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</si>
  <si>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</si>
  <si>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</si>
  <si>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</si>
  <si>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</si>
  <si>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</si>
  <si>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</si>
  <si>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</si>
  <si>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</si>
  <si>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</si>
  <si>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</si>
  <si>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</si>
  <si>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</si>
  <si>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</si>
  <si>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</si>
  <si>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</si>
  <si>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</si>
  <si>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</si>
  <si>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</si>
  <si>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</si>
  <si>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</si>
  <si>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</si>
  <si>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</si>
  <si>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</si>
  <si>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</si>
  <si>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</si>
  <si>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POLISHED GRANITE SLABS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</si>
  <si>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</si>
  <si>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</si>
  <si>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</si>
  <si>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</si>
  <si>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</si>
  <si>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</si>
  <si>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</si>
  <si>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</si>
  <si>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</si>
  <si>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</si>
  <si>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</si>
  <si>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</si>
  <si>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</si>
  <si>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</si>
  <si>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</si>
  <si>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</si>
  <si>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</si>
  <si>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</si>
  <si>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</si>
  <si>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</si>
  <si>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</si>
  <si>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</si>
  <si>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</si>
  <si>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</si>
  <si>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</si>
  <si>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</si>
  <si>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</si>
  <si>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</si>
  <si>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</si>
  <si>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</si>
  <si>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</si>
  <si>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</si>
  <si>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</si>
  <si>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</si>
  <si>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</si>
  <si>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</si>
  <si>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</si>
  <si>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</si>
  <si>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</si>
  <si>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</si>
  <si>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</si>
  <si>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</si>
  <si>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</si>
  <si>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</si>
  <si>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</si>
  <si>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</si>
  <si>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</si>
  <si>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</si>
  <si>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</si>
  <si>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</si>
  <si>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</si>
  <si>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</si>
  <si>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</si>
  <si>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</si>
  <si>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</si>
  <si>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</si>
  <si>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</si>
  <si>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</si>
  <si>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</si>
  <si>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</si>
  <si>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</si>
  <si>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</si>
  <si>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</si>
  <si>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</si>
  <si>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</si>
  <si>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</si>
  <si>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</si>
  <si>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</si>
  <si>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</si>
  <si>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</si>
  <si>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</si>
  <si>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</si>
  <si>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</si>
  <si>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</si>
  <si>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</si>
  <si>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</si>
  <si>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</si>
  <si>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</si>
  <si>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</si>
  <si>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</si>
  <si>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</si>
  <si>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</si>
  <si>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</si>
  <si>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</si>
  <si>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</si>
  <si>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</si>
  <si>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</si>
  <si>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</si>
  <si>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</si>
  <si>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</si>
  <si>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</si>
  <si>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</si>
  <si>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</si>
  <si>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</si>
  <si>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</si>
  <si>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</si>
  <si>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</si>
  <si>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</si>
  <si>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</si>
  <si>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</si>
  <si>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</si>
  <si>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</si>
  <si>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</si>
  <si>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</si>
  <si>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</si>
  <si>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</si>
  <si>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</si>
  <si>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</si>
  <si>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</si>
  <si>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</si>
  <si>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</si>
  <si>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</si>
  <si>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</si>
  <si>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</si>
  <si>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</si>
  <si>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</si>
  <si>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</si>
  <si>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</si>
  <si>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</si>
  <si>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</si>
  <si>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VIETNAM</t>
  </si>
  <si>
    <t>Loose Packing</t>
  </si>
  <si>
    <t>Chennai</t>
  </si>
  <si>
    <t>Round Off</t>
  </si>
  <si>
    <t>GST 0.1%</t>
  </si>
  <si>
    <t>need to pay in company's bank account</t>
  </si>
  <si>
    <t>need to pay in vietnamese account</t>
  </si>
  <si>
    <t>after inspection</t>
  </si>
  <si>
    <t>invoice</t>
  </si>
  <si>
    <t xml:space="preserve">actual </t>
  </si>
  <si>
    <t>HOANG MINH STONE TRADING COMPANY LIMITED
Lot 175 MBQH 6804 Hac Thanh Ward, Thanh Hoa Province
 Tax ID: 2803146553
 TEL:  0392794691
 hoangminh6868vn@gmail.com</t>
  </si>
  <si>
    <t>NATURAL POLISHED GRANITE SLABS</t>
  </si>
  <si>
    <t>33</t>
  </si>
  <si>
    <t>HAI PHONG</t>
  </si>
  <si>
    <t>WHSU0423098</t>
  </si>
  <si>
    <t>long</t>
  </si>
  <si>
    <t>short</t>
  </si>
  <si>
    <t>BK033</t>
  </si>
  <si>
    <t>PO033/25-26</t>
  </si>
  <si>
    <t>SIRI GRANITES</t>
  </si>
  <si>
    <t>SY NO 277/AA, TELDARUPALLY VILLAGE,
KHAMMAM RURAL MANDAL, 
KHAMMAM DIST, TELANGANA, 507170
GSTIN: 36ACAFS7174H1ZW</t>
  </si>
  <si>
    <t>Eight Thousand One Hundred Fifty Seven Dollars and Twenty One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</si>
</sst>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 applyFont="1" applyAlignme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49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165" fontId="9" fillId="0" borderId="0" xfId="0" applyNumberFormat="1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7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12" fillId="0" borderId="5" xfId="0" applyFont="1" applyBorder="1"/>
    <xf numFmtId="0" fontId="13" fillId="2" borderId="9" xfId="0" applyFont="1" applyFill="1" applyBorder="1"/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0" borderId="15" xfId="0" applyFont="1" applyBorder="1" applyAlignment="1"/>
    <xf numFmtId="0" fontId="9" fillId="0" borderId="8" xfId="0" applyFont="1" applyBorder="1"/>
    <xf numFmtId="0" fontId="9" fillId="0" borderId="7" xfId="0" applyFont="1" applyBorder="1"/>
    <xf numFmtId="0" fontId="7" fillId="0" borderId="0" xfId="0" applyFont="1" applyAlignment="1">
      <alignment horizontal="center"/>
    </xf>
    <xf numFmtId="0" fontId="9" fillId="0" borderId="1" xfId="0" applyFont="1" applyBorder="1"/>
    <xf numFmtId="0" fontId="7" fillId="0" borderId="6" xfId="0" applyFont="1" applyBorder="1" applyAlignment="1">
      <alignment horizontal="center"/>
    </xf>
    <xf numFmtId="0" fontId="9" fillId="0" borderId="2" xfId="0" applyFont="1" applyBorder="1"/>
    <xf numFmtId="0" fontId="7" fillId="0" borderId="5" xfId="0" applyFont="1" applyBorder="1"/>
    <xf numFmtId="0" fontId="19" fillId="0" borderId="5" xfId="0" applyFont="1" applyBorder="1"/>
    <xf numFmtId="0" fontId="19" fillId="0" borderId="0" xfId="0" applyFont="1"/>
    <xf numFmtId="0" fontId="19" fillId="0" borderId="6" xfId="0" applyFont="1" applyBorder="1"/>
    <xf numFmtId="0" fontId="20" fillId="0" borderId="5" xfId="0" applyFont="1" applyBorder="1"/>
    <xf numFmtId="0" fontId="21" fillId="0" borderId="7" xfId="0" applyFont="1" applyBorder="1"/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2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left" vertical="top" wrapText="1"/>
    </xf>
    <xf numFmtId="0" fontId="9" fillId="0" borderId="27" xfId="0" applyFont="1" applyBorder="1"/>
    <xf numFmtId="0" fontId="2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5" fontId="19" fillId="0" borderId="0" xfId="0" applyNumberFormat="1" applyFont="1"/>
    <xf numFmtId="0" fontId="6" fillId="0" borderId="0" xfId="0" applyFont="1"/>
    <xf numFmtId="0" fontId="0" fillId="0" borderId="0" xfId="0" applyFont="1" applyAlignment="1"/>
    <xf numFmtId="0" fontId="5" fillId="0" borderId="0" xfId="0" applyFont="1" applyAlignment="1"/>
    <xf numFmtId="0" fontId="9" fillId="0" borderId="17" xfId="0" applyFont="1" applyBorder="1"/>
    <xf numFmtId="0" fontId="9" fillId="0" borderId="20" xfId="0" applyFont="1" applyBorder="1"/>
    <xf numFmtId="166" fontId="9" fillId="0" borderId="13" xfId="0" applyNumberFormat="1" applyFont="1" applyBorder="1" applyAlignment="1">
      <alignment horizontal="center"/>
    </xf>
    <xf numFmtId="0" fontId="9" fillId="0" borderId="18" xfId="0" applyFont="1" applyBorder="1"/>
    <xf numFmtId="2" fontId="0" fillId="0" borderId="34" xfId="0" applyNumberFormat="1" applyFont="1" applyBorder="1" applyAlignment="1"/>
    <xf numFmtId="0" fontId="0" fillId="0" borderId="36" xfId="0" applyFont="1" applyBorder="1" applyAlignment="1"/>
    <xf numFmtId="0" fontId="0" fillId="0" borderId="37" xfId="0" applyFont="1" applyBorder="1" applyAlignment="1"/>
    <xf numFmtId="0" fontId="4" fillId="0" borderId="38" xfId="0" applyFont="1" applyBorder="1" applyAlignment="1"/>
    <xf numFmtId="2" fontId="0" fillId="0" borderId="39" xfId="0" applyNumberFormat="1" applyFont="1" applyBorder="1" applyAlignment="1"/>
    <xf numFmtId="0" fontId="4" fillId="0" borderId="4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0" fillId="0" borderId="42" xfId="0" applyFont="1" applyBorder="1" applyAlignment="1"/>
    <xf numFmtId="0" fontId="0" fillId="0" borderId="43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7" fillId="0" borderId="0" xfId="0" applyFont="1" applyAlignment="1">
      <alignment horizontal="left" vertical="center"/>
    </xf>
    <xf numFmtId="0" fontId="0" fillId="0" borderId="0" xfId="0" applyFont="1" applyAlignment="1"/>
    <xf numFmtId="0" fontId="9" fillId="0" borderId="0" xfId="0" applyFont="1" applyAlignment="1">
      <alignment horizontal="left" vertical="top" wrapText="1"/>
    </xf>
    <xf numFmtId="0" fontId="7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1" fillId="0" borderId="11" xfId="0" applyFont="1" applyBorder="1"/>
    <xf numFmtId="0" fontId="11" fillId="0" borderId="12" xfId="0" applyFont="1" applyBorder="1"/>
    <xf numFmtId="0" fontId="9" fillId="0" borderId="11" xfId="0" applyFont="1" applyBorder="1" applyAlignment="1">
      <alignment horizontal="center"/>
    </xf>
    <xf numFmtId="166" fontId="9" fillId="0" borderId="10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0" borderId="8" xfId="0" applyFont="1" applyBorder="1"/>
    <xf numFmtId="0" fontId="7" fillId="0" borderId="7" xfId="0" applyFont="1" applyBorder="1" applyAlignment="1">
      <alignment horizontal="center"/>
    </xf>
    <xf numFmtId="0" fontId="11" fillId="0" borderId="1" xfId="0" applyFont="1" applyBorder="1"/>
    <xf numFmtId="0" fontId="7" fillId="0" borderId="13" xfId="0" applyFont="1" applyBorder="1" applyAlignment="1">
      <alignment horizontal="center" vertical="center"/>
    </xf>
    <xf numFmtId="0" fontId="11" fillId="0" borderId="14" xfId="0" applyFont="1" applyBorder="1"/>
    <xf numFmtId="0" fontId="7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8" fillId="0" borderId="5" xfId="0" applyFont="1" applyBorder="1" applyAlignment="1">
      <alignment horizontal="left" vertical="top" wrapText="1"/>
    </xf>
    <xf numFmtId="0" fontId="11" fillId="0" borderId="7" xfId="0" applyFont="1" applyBorder="1"/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17" xfId="0" applyFont="1" applyBorder="1" applyAlignment="1"/>
    <xf numFmtId="0" fontId="9" fillId="0" borderId="5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 wrapText="1"/>
    </xf>
    <xf numFmtId="166" fontId="1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166" fontId="9" fillId="0" borderId="11" xfId="0" applyNumberFormat="1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164" fontId="9" fillId="0" borderId="7" xfId="0" applyNumberFormat="1" applyFont="1" applyBorder="1" applyAlignment="1">
      <alignment horizontal="center"/>
    </xf>
    <xf numFmtId="168" fontId="9" fillId="0" borderId="7" xfId="0" applyNumberFormat="1" applyFont="1" applyBorder="1" applyAlignment="1">
      <alignment horizontal="center"/>
    </xf>
    <xf numFmtId="168" fontId="11" fillId="0" borderId="1" xfId="0" applyNumberFormat="1" applyFont="1" applyBorder="1"/>
    <xf numFmtId="168" fontId="11" fillId="0" borderId="8" xfId="0" applyNumberFormat="1" applyFont="1" applyBorder="1"/>
    <xf numFmtId="165" fontId="7" fillId="0" borderId="7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9" fillId="0" borderId="5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9" fillId="0" borderId="5" xfId="0" applyFont="1" applyBorder="1" applyAlignment="1">
      <alignment horizontal="left" vertical="center"/>
    </xf>
    <xf numFmtId="0" fontId="18" fillId="0" borderId="2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9" fillId="0" borderId="5" xfId="0" applyFont="1" applyBorder="1" applyAlignment="1">
      <alignment horizontal="left"/>
    </xf>
    <xf numFmtId="0" fontId="7" fillId="0" borderId="7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/>
    </xf>
    <xf numFmtId="2" fontId="9" fillId="0" borderId="10" xfId="0" applyNumberFormat="1" applyFont="1" applyBorder="1" applyAlignment="1">
      <alignment horizontal="center"/>
    </xf>
    <xf numFmtId="0" fontId="18" fillId="2" borderId="16" xfId="0" applyFont="1" applyFill="1" applyBorder="1" applyAlignment="1">
      <alignment horizontal="left" vertical="top" wrapText="1"/>
    </xf>
    <xf numFmtId="0" fontId="11" fillId="0" borderId="17" xfId="0" applyFont="1" applyBorder="1"/>
    <xf numFmtId="0" fontId="11" fillId="0" borderId="18" xfId="0" applyFont="1" applyBorder="1"/>
    <xf numFmtId="0" fontId="18" fillId="2" borderId="19" xfId="0" applyFont="1" applyFill="1" applyBorder="1" applyAlignment="1">
      <alignment horizontal="left" vertical="top"/>
    </xf>
    <xf numFmtId="0" fontId="11" fillId="0" borderId="20" xfId="0" applyFont="1" applyBorder="1"/>
    <xf numFmtId="0" fontId="11" fillId="0" borderId="21" xfId="0" applyFont="1" applyBorder="1"/>
    <xf numFmtId="0" fontId="9" fillId="0" borderId="7" xfId="0" applyFont="1" applyBorder="1" applyAlignment="1">
      <alignment horizontal="left"/>
    </xf>
    <xf numFmtId="0" fontId="9" fillId="0" borderId="0" xfId="0" applyFont="1" applyAlignment="1">
      <alignment horizontal="center" vertical="top"/>
    </xf>
    <xf numFmtId="0" fontId="18" fillId="0" borderId="5" xfId="0" applyFont="1" applyBorder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6" xfId="0" applyFont="1" applyBorder="1" applyAlignment="1">
      <alignment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1" fontId="7" fillId="0" borderId="30" xfId="0" applyNumberFormat="1" applyFont="1" applyBorder="1" applyAlignment="1">
      <alignment horizontal="center"/>
    </xf>
    <xf numFmtId="0" fontId="11" fillId="0" borderId="31" xfId="0" applyFont="1" applyBorder="1"/>
    <xf numFmtId="4" fontId="7" fillId="0" borderId="10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7" fillId="0" borderId="10" xfId="0" applyFont="1" applyBorder="1" applyAlignment="1">
      <alignment horizontal="left"/>
    </xf>
    <xf numFmtId="1" fontId="7" fillId="0" borderId="11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11" fillId="0" borderId="22" xfId="0" applyFont="1" applyBorder="1"/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" fontId="7" fillId="0" borderId="25" xfId="0" applyNumberFormat="1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1" fillId="0" borderId="24" xfId="0" applyFont="1" applyBorder="1"/>
    <xf numFmtId="0" fontId="26" fillId="0" borderId="5" xfId="0" applyFont="1" applyBorder="1" applyAlignment="1">
      <alignment horizontal="left"/>
    </xf>
    <xf numFmtId="0" fontId="19" fillId="0" borderId="28" xfId="0" applyFont="1" applyBorder="1" applyAlignment="1">
      <alignment horizontal="center"/>
    </xf>
    <xf numFmtId="0" fontId="11" fillId="0" borderId="29" xfId="0" applyFont="1" applyBorder="1"/>
    <xf numFmtId="1" fontId="11" fillId="0" borderId="26" xfId="0" applyNumberFormat="1" applyFont="1" applyBorder="1"/>
    <xf numFmtId="0" fontId="1" fillId="0" borderId="35" xfId="0" applyFont="1" applyBorder="1" applyAlignment="1"/>
    <xf numFmtId="166" fontId="2" fillId="0" borderId="0" xfId="0" applyNumberFormat="1" applyFont="1" applyAlignment="1"/>
    <xf numFmtId="166" fontId="0" fillId="0" borderId="0" xfId="0" applyNumberFormat="1" applyFont="1" applyAlignment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43445</xdr:colOff>
      <xdr:row>36</xdr:row>
      <xdr:rowOff>0</xdr:rowOff>
    </xdr:from>
    <xdr:to>
      <xdr:col>8</xdr:col>
      <xdr:colOff>476250</xdr:colOff>
      <xdr:row>39</xdr:row>
      <xdr:rowOff>67777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845" y="7400925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39</xdr:row>
      <xdr:rowOff>1</xdr:rowOff>
    </xdr:from>
    <xdr:to>
      <xdr:col>9</xdr:col>
      <xdr:colOff>361949</xdr:colOff>
      <xdr:row>41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39</xdr:row>
      <xdr:rowOff>9526</xdr:rowOff>
    </xdr:from>
    <xdr:to>
      <xdr:col>2</xdr:col>
      <xdr:colOff>769942</xdr:colOff>
      <xdr:row>41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5" t="s">
        <v>145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7" t="s">
        <v>146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12" workbookViewId="0">
      <selection activeCell="B26" sqref="B26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161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BK033/25-26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45983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6" customFormat="1" x14ac:dyDescent="0.25">
      <c r="A6" s="1" t="s">
        <v>57</v>
      </c>
      <c r="B6" s="8" t="s">
        <v>147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88" t="s">
        <v>21</v>
      </c>
      <c r="B7" s="90" t="s">
        <v>159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89"/>
      <c r="B8" s="89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89"/>
      <c r="B9" s="89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89"/>
      <c r="B10" s="89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89"/>
      <c r="B11" s="89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89"/>
      <c r="B12" s="89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160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29</v>
      </c>
      <c r="B19" s="3" t="s">
        <v>148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30</v>
      </c>
      <c r="B20" s="3" t="s">
        <v>148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31</v>
      </c>
      <c r="B21" s="4" t="s">
        <v>162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32</v>
      </c>
      <c r="B22" s="4" t="s">
        <v>162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33</v>
      </c>
      <c r="B23" s="3" t="s">
        <v>149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34</v>
      </c>
      <c r="B24" s="15" t="s">
        <v>163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35</v>
      </c>
      <c r="B25" s="15">
        <v>480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36</v>
      </c>
      <c r="B26" s="15">
        <v>400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37</v>
      </c>
      <c r="B27" s="15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3" priority="1">
      <formula>LEN(TRIM(B1))=0</formula>
    </cfRule>
  </conditionalFormatting>
  <conditionalFormatting sqref="B5:B6">
    <cfRule type="containsText" dxfId="2" priority="2" operator="containsText" text="FALSE">
      <formula>NOT(ISERROR(SEARCH(("FALSE"),(B5))))</formula>
    </cfRule>
  </conditionalFormatting>
  <conditionalFormatting sqref="B5:B6">
    <cfRule type="containsText" dxfId="1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8"/>
  <sheetViews>
    <sheetView topLeftCell="A22" workbookViewId="0">
      <selection activeCell="O41" sqref="O41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12" width="8.7109375" customWidth="1"/>
    <col min="13" max="13" width="13.28515625" bestFit="1" customWidth="1"/>
    <col min="14" max="14" width="10.28515625" bestFit="1" customWidth="1"/>
    <col min="15" max="15" width="15.140625" bestFit="1" customWidth="1"/>
    <col min="16" max="26" width="8.7109375" customWidth="1"/>
  </cols>
  <sheetData>
    <row r="1" spans="1:10" x14ac:dyDescent="0.25">
      <c r="A1" s="124" t="s">
        <v>38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x14ac:dyDescent="0.25">
      <c r="A2" s="102"/>
      <c r="B2" s="102"/>
      <c r="C2" s="102"/>
      <c r="D2" s="102"/>
      <c r="E2" s="102"/>
      <c r="F2" s="102"/>
      <c r="G2" s="102"/>
      <c r="H2" s="102"/>
      <c r="I2" s="102"/>
      <c r="J2" s="102"/>
    </row>
    <row r="3" spans="1:10" x14ac:dyDescent="0.25">
      <c r="A3" s="16" t="s">
        <v>39</v>
      </c>
      <c r="B3" s="17"/>
      <c r="C3" s="17"/>
      <c r="D3" s="18"/>
      <c r="E3" s="112" t="s">
        <v>40</v>
      </c>
      <c r="F3" s="106"/>
      <c r="G3" s="107"/>
      <c r="H3" s="112" t="s">
        <v>41</v>
      </c>
      <c r="I3" s="106"/>
      <c r="J3" s="107"/>
    </row>
    <row r="4" spans="1:10" x14ac:dyDescent="0.25">
      <c r="A4" s="19" t="s">
        <v>42</v>
      </c>
      <c r="B4" s="4"/>
      <c r="C4" s="4"/>
      <c r="D4" s="20"/>
      <c r="E4" s="125" t="str">
        <f>'input data'!B3</f>
        <v>BK033/25-26</v>
      </c>
      <c r="F4" s="102"/>
      <c r="G4" s="100"/>
      <c r="H4" s="126">
        <f>'input data'!B4</f>
        <v>45983</v>
      </c>
      <c r="I4" s="127"/>
      <c r="J4" s="128"/>
    </row>
    <row r="5" spans="1:10" x14ac:dyDescent="0.25">
      <c r="A5" s="21" t="s">
        <v>43</v>
      </c>
      <c r="B5" s="4"/>
      <c r="C5" s="4"/>
      <c r="D5" s="20"/>
      <c r="E5" s="112" t="s">
        <v>44</v>
      </c>
      <c r="F5" s="106"/>
      <c r="G5" s="107"/>
      <c r="H5" s="112" t="s">
        <v>45</v>
      </c>
      <c r="I5" s="106"/>
      <c r="J5" s="107"/>
    </row>
    <row r="6" spans="1:10" x14ac:dyDescent="0.25">
      <c r="A6" s="21" t="s">
        <v>46</v>
      </c>
      <c r="B6" s="4"/>
      <c r="C6" s="4"/>
      <c r="D6" s="20"/>
      <c r="E6" s="99"/>
      <c r="F6" s="102"/>
      <c r="G6" s="100"/>
      <c r="H6" s="129" t="str">
        <f>'input data'!B5</f>
        <v>AD2403250650768</v>
      </c>
      <c r="I6" s="102"/>
      <c r="J6" s="100"/>
    </row>
    <row r="7" spans="1:10" x14ac:dyDescent="0.25">
      <c r="A7" s="21" t="s">
        <v>47</v>
      </c>
      <c r="B7" s="4"/>
      <c r="C7" s="4"/>
      <c r="D7" s="20"/>
      <c r="E7" s="112" t="s">
        <v>48</v>
      </c>
      <c r="F7" s="106"/>
      <c r="G7" s="107"/>
      <c r="H7" s="112" t="s">
        <v>49</v>
      </c>
      <c r="I7" s="106"/>
      <c r="J7" s="107"/>
    </row>
    <row r="8" spans="1:10" x14ac:dyDescent="0.25">
      <c r="A8" s="19" t="s">
        <v>50</v>
      </c>
      <c r="B8" s="4"/>
      <c r="C8" s="4"/>
      <c r="D8" s="20"/>
      <c r="E8" s="99" t="s">
        <v>51</v>
      </c>
      <c r="F8" s="102"/>
      <c r="G8" s="100"/>
      <c r="H8" s="101" t="s">
        <v>52</v>
      </c>
      <c r="I8" s="102"/>
      <c r="J8" s="100"/>
    </row>
    <row r="9" spans="1:10" x14ac:dyDescent="0.25">
      <c r="A9" s="22" t="s">
        <v>53</v>
      </c>
      <c r="B9" s="4"/>
      <c r="C9" s="4"/>
      <c r="D9" s="20"/>
      <c r="E9" s="112" t="s">
        <v>54</v>
      </c>
      <c r="F9" s="106"/>
      <c r="G9" s="107"/>
      <c r="H9" s="112" t="s">
        <v>55</v>
      </c>
      <c r="I9" s="106"/>
      <c r="J9" s="107"/>
    </row>
    <row r="10" spans="1:10" x14ac:dyDescent="0.25">
      <c r="A10" s="22" t="s">
        <v>56</v>
      </c>
      <c r="B10" s="4"/>
      <c r="C10" s="4"/>
      <c r="D10" s="20"/>
      <c r="E10" s="115" t="str">
        <f>'input data'!B14</f>
        <v>Loose packing</v>
      </c>
      <c r="F10" s="89"/>
      <c r="G10" s="109"/>
      <c r="H10" s="115" t="str">
        <f>'input data'!B13 &amp; " " &amp; 'input data'!B15</f>
        <v>1 FCL</v>
      </c>
      <c r="I10" s="89"/>
      <c r="J10" s="109"/>
    </row>
    <row r="11" spans="1:10" x14ac:dyDescent="0.25">
      <c r="A11" s="119" t="s">
        <v>57</v>
      </c>
      <c r="B11" s="106"/>
      <c r="C11" s="106"/>
      <c r="D11" s="107"/>
      <c r="E11" s="135" t="s">
        <v>58</v>
      </c>
      <c r="F11" s="95"/>
      <c r="G11" s="96"/>
      <c r="H11" s="130" t="s">
        <v>59</v>
      </c>
      <c r="I11" s="95"/>
      <c r="J11" s="96"/>
    </row>
    <row r="12" spans="1:10" ht="15" customHeight="1" x14ac:dyDescent="0.25">
      <c r="A12" s="133" t="str">
        <f>'input data'!B6</f>
        <v>To the Order</v>
      </c>
      <c r="B12" s="89"/>
      <c r="C12" s="89"/>
      <c r="D12" s="109"/>
      <c r="E12" s="134" t="str">
        <f>'input data'!B16</f>
        <v>CNF</v>
      </c>
      <c r="F12" s="89"/>
      <c r="G12" s="109"/>
      <c r="H12" s="131" t="str">
        <f>'input data'!B17</f>
        <v>100% Against Documents</v>
      </c>
      <c r="I12" s="89"/>
      <c r="J12" s="109"/>
    </row>
    <row r="13" spans="1:10" x14ac:dyDescent="0.25">
      <c r="A13" s="19"/>
      <c r="B13" s="4"/>
      <c r="C13" s="4"/>
      <c r="D13" s="20"/>
      <c r="E13" s="111"/>
      <c r="F13" s="102"/>
      <c r="G13" s="100"/>
      <c r="H13" s="102"/>
      <c r="I13" s="102"/>
      <c r="J13" s="100"/>
    </row>
    <row r="14" spans="1:10" x14ac:dyDescent="0.25">
      <c r="A14" s="16" t="s">
        <v>60</v>
      </c>
      <c r="B14" s="17"/>
      <c r="C14" s="17"/>
      <c r="D14" s="18"/>
      <c r="E14" s="132" t="s">
        <v>61</v>
      </c>
      <c r="F14" s="106"/>
      <c r="G14" s="106"/>
      <c r="H14" s="106"/>
      <c r="I14" s="106"/>
      <c r="J14" s="107"/>
    </row>
    <row r="15" spans="1:10" x14ac:dyDescent="0.25">
      <c r="A15" s="136" t="str">
        <f>'input data'!B7</f>
        <v>HOANG MINH STONE TRADING COMPANY LIMITED
Lot 175 MBQH 6804 Hac Thanh Ward, Thanh Hoa Province
 Tax ID: 2803146553
 TEL:  0392794691
 hoangminh6868vn@gmail.com</v>
      </c>
      <c r="B15" s="89"/>
      <c r="C15" s="89"/>
      <c r="D15" s="109"/>
      <c r="E15" s="108"/>
      <c r="F15" s="89"/>
      <c r="G15" s="89"/>
      <c r="H15" s="89"/>
      <c r="I15" s="89"/>
      <c r="J15" s="109"/>
    </row>
    <row r="16" spans="1:10" x14ac:dyDescent="0.25">
      <c r="A16" s="108"/>
      <c r="B16" s="89"/>
      <c r="C16" s="89"/>
      <c r="D16" s="109"/>
      <c r="E16" s="108"/>
      <c r="F16" s="89"/>
      <c r="G16" s="89"/>
      <c r="H16" s="89"/>
      <c r="I16" s="89"/>
      <c r="J16" s="109"/>
    </row>
    <row r="17" spans="1:17" x14ac:dyDescent="0.25">
      <c r="A17" s="108"/>
      <c r="B17" s="89"/>
      <c r="C17" s="89"/>
      <c r="D17" s="109"/>
      <c r="E17" s="108"/>
      <c r="F17" s="89"/>
      <c r="G17" s="89"/>
      <c r="H17" s="89"/>
      <c r="I17" s="89"/>
      <c r="J17" s="109"/>
    </row>
    <row r="18" spans="1:17" x14ac:dyDescent="0.25">
      <c r="A18" s="108"/>
      <c r="B18" s="89"/>
      <c r="C18" s="89"/>
      <c r="D18" s="109"/>
      <c r="E18" s="108"/>
      <c r="F18" s="89"/>
      <c r="G18" s="89"/>
      <c r="H18" s="89"/>
      <c r="I18" s="89"/>
      <c r="J18" s="109"/>
    </row>
    <row r="19" spans="1:17" x14ac:dyDescent="0.25">
      <c r="A19" s="108"/>
      <c r="B19" s="89"/>
      <c r="C19" s="89"/>
      <c r="D19" s="109"/>
      <c r="E19" s="108"/>
      <c r="F19" s="89"/>
      <c r="G19" s="89"/>
      <c r="H19" s="89"/>
      <c r="I19" s="89"/>
      <c r="J19" s="109"/>
    </row>
    <row r="20" spans="1:17" ht="48" customHeight="1" x14ac:dyDescent="0.25">
      <c r="A20" s="111"/>
      <c r="B20" s="102"/>
      <c r="C20" s="102"/>
      <c r="D20" s="100"/>
      <c r="E20" s="111"/>
      <c r="F20" s="102"/>
      <c r="G20" s="102"/>
      <c r="H20" s="102"/>
      <c r="I20" s="102"/>
      <c r="J20" s="100"/>
    </row>
    <row r="21" spans="1:17" ht="15.75" customHeight="1" x14ac:dyDescent="0.25">
      <c r="A21" s="137" t="s">
        <v>62</v>
      </c>
      <c r="B21" s="107"/>
      <c r="C21" s="137" t="s">
        <v>29</v>
      </c>
      <c r="D21" s="107"/>
      <c r="E21" s="137" t="s">
        <v>63</v>
      </c>
      <c r="F21" s="106"/>
      <c r="G21" s="107"/>
      <c r="H21" s="137" t="s">
        <v>33</v>
      </c>
      <c r="I21" s="106"/>
      <c r="J21" s="107"/>
    </row>
    <row r="22" spans="1:17" ht="14.25" customHeight="1" x14ac:dyDescent="0.25">
      <c r="A22" s="138" t="s">
        <v>64</v>
      </c>
      <c r="B22" s="109"/>
      <c r="C22" s="140" t="str">
        <f>'input data'!B19</f>
        <v>CHENNAI</v>
      </c>
      <c r="D22" s="109"/>
      <c r="E22" s="141" t="s">
        <v>65</v>
      </c>
      <c r="F22" s="89"/>
      <c r="G22" s="109"/>
      <c r="H22" s="141" t="str">
        <f>'input data'!B23</f>
        <v>VIETNAM</v>
      </c>
      <c r="I22" s="89"/>
      <c r="J22" s="109"/>
    </row>
    <row r="23" spans="1:17" ht="15" customHeight="1" x14ac:dyDescent="0.25">
      <c r="A23" s="142"/>
      <c r="B23" s="109"/>
      <c r="C23" s="111"/>
      <c r="D23" s="100"/>
      <c r="E23" s="111"/>
      <c r="F23" s="102"/>
      <c r="G23" s="100"/>
      <c r="H23" s="111"/>
      <c r="I23" s="102"/>
      <c r="J23" s="100"/>
    </row>
    <row r="24" spans="1:17" ht="15.75" customHeight="1" x14ac:dyDescent="0.25">
      <c r="A24" s="112" t="s">
        <v>66</v>
      </c>
      <c r="B24" s="107"/>
      <c r="C24" s="139" t="s">
        <v>30</v>
      </c>
      <c r="D24" s="107"/>
      <c r="E24" s="112" t="s">
        <v>31</v>
      </c>
      <c r="F24" s="106"/>
      <c r="G24" s="107"/>
      <c r="H24" s="139" t="s">
        <v>32</v>
      </c>
      <c r="I24" s="106"/>
      <c r="J24" s="107"/>
    </row>
    <row r="25" spans="1:17" ht="15.75" customHeight="1" x14ac:dyDescent="0.25">
      <c r="A25" s="99"/>
      <c r="B25" s="100"/>
      <c r="C25" s="101" t="str">
        <f>'input data'!B20</f>
        <v>CHENNAI</v>
      </c>
      <c r="D25" s="100"/>
      <c r="E25" s="101" t="str">
        <f>'input data'!B21</f>
        <v>HAI PHONG</v>
      </c>
      <c r="F25" s="102"/>
      <c r="G25" s="100"/>
      <c r="H25" s="101" t="str">
        <f>'input data'!B22</f>
        <v>HAI PHONG</v>
      </c>
      <c r="I25" s="102"/>
      <c r="J25" s="100"/>
    </row>
    <row r="26" spans="1:17" ht="15.75" customHeight="1" x14ac:dyDescent="0.25">
      <c r="A26" s="103" t="s">
        <v>67</v>
      </c>
      <c r="B26" s="105" t="s">
        <v>68</v>
      </c>
      <c r="C26" s="106"/>
      <c r="D26" s="107"/>
      <c r="E26" s="103" t="s">
        <v>69</v>
      </c>
      <c r="F26" s="112" t="s">
        <v>70</v>
      </c>
      <c r="G26" s="107"/>
      <c r="H26" s="25" t="s">
        <v>37</v>
      </c>
      <c r="I26" s="112" t="s">
        <v>71</v>
      </c>
      <c r="J26" s="107"/>
    </row>
    <row r="27" spans="1:17" ht="15.75" customHeight="1" thickBot="1" x14ac:dyDescent="0.3">
      <c r="A27" s="104"/>
      <c r="B27" s="108"/>
      <c r="C27" s="89"/>
      <c r="D27" s="109"/>
      <c r="E27" s="104"/>
      <c r="F27" s="101" t="s">
        <v>72</v>
      </c>
      <c r="G27" s="100"/>
      <c r="H27" s="26" t="s">
        <v>72</v>
      </c>
      <c r="I27" s="101" t="s">
        <v>73</v>
      </c>
      <c r="J27" s="100"/>
      <c r="N27" s="81"/>
      <c r="O27" s="81"/>
      <c r="P27" s="81"/>
    </row>
    <row r="28" spans="1:17" ht="15.75" customHeight="1" thickBot="1" x14ac:dyDescent="0.3">
      <c r="A28" s="27">
        <v>1</v>
      </c>
      <c r="B28" s="94" t="str">
        <f>'input data'!B18</f>
        <v>NATURAL POLISHED GRANITE SLABS</v>
      </c>
      <c r="C28" s="95"/>
      <c r="D28" s="96"/>
      <c r="E28" s="28">
        <v>68022390</v>
      </c>
      <c r="F28" s="97">
        <v>43.55</v>
      </c>
      <c r="G28" s="96"/>
      <c r="H28" s="70">
        <v>20.8</v>
      </c>
      <c r="I28" s="98">
        <f>F28*H28</f>
        <v>905.83999999999992</v>
      </c>
      <c r="J28" s="96"/>
      <c r="M28" s="207"/>
      <c r="O28" s="208"/>
    </row>
    <row r="29" spans="1:17" s="85" customFormat="1" ht="15.75" customHeight="1" thickBot="1" x14ac:dyDescent="0.3">
      <c r="A29" s="27">
        <v>2</v>
      </c>
      <c r="B29" s="94" t="s">
        <v>160</v>
      </c>
      <c r="C29" s="95"/>
      <c r="D29" s="96"/>
      <c r="E29" s="28">
        <v>68022390</v>
      </c>
      <c r="F29" s="97">
        <v>425.3</v>
      </c>
      <c r="G29" s="96"/>
      <c r="H29" s="70">
        <v>17.05</v>
      </c>
      <c r="I29" s="98">
        <f>F29*H29</f>
        <v>7251.3650000000007</v>
      </c>
      <c r="J29" s="96"/>
      <c r="M29" s="207"/>
      <c r="O29" s="208"/>
    </row>
    <row r="30" spans="1:17" ht="15.75" customHeight="1" x14ac:dyDescent="0.25">
      <c r="A30" s="19" t="s">
        <v>34</v>
      </c>
      <c r="B30" s="4"/>
      <c r="C30" s="4" t="s">
        <v>35</v>
      </c>
      <c r="D30" s="4" t="s">
        <v>74</v>
      </c>
      <c r="E30" s="4" t="s">
        <v>75</v>
      </c>
      <c r="F30" s="4"/>
      <c r="G30" s="68"/>
      <c r="H30" s="91" t="s">
        <v>152</v>
      </c>
      <c r="I30" s="68"/>
      <c r="J30" s="20"/>
      <c r="M30" s="208"/>
      <c r="O30" s="207"/>
    </row>
    <row r="31" spans="1:17" ht="15.75" customHeight="1" x14ac:dyDescent="0.25">
      <c r="A31" s="115" t="str">
        <f>UPPER('input data'!B24)</f>
        <v>WHSU0423098</v>
      </c>
      <c r="B31" s="89"/>
      <c r="C31" s="3">
        <f>'input data'!B25</f>
        <v>480</v>
      </c>
      <c r="D31" s="4" t="s">
        <v>76</v>
      </c>
      <c r="E31" s="4" t="s">
        <v>77</v>
      </c>
      <c r="F31" s="4"/>
      <c r="G31" s="68"/>
      <c r="H31" s="92"/>
      <c r="I31" s="68"/>
      <c r="J31" s="20"/>
      <c r="O31" s="81"/>
      <c r="Q31" s="81"/>
    </row>
    <row r="32" spans="1:17" ht="15.75" customHeight="1" thickBot="1" x14ac:dyDescent="0.3">
      <c r="A32" s="19"/>
      <c r="B32" s="4"/>
      <c r="C32" s="4"/>
      <c r="D32" s="4"/>
      <c r="E32" s="4"/>
      <c r="F32" s="113"/>
      <c r="G32" s="114"/>
      <c r="H32" s="92"/>
      <c r="I32" s="68"/>
      <c r="J32" s="20"/>
      <c r="N32" s="208"/>
      <c r="Q32" s="81"/>
    </row>
    <row r="33" spans="1:13" ht="15.75" customHeight="1" thickBot="1" x14ac:dyDescent="0.3">
      <c r="A33" s="30"/>
      <c r="B33" s="32"/>
      <c r="C33" s="32"/>
      <c r="D33" s="32"/>
      <c r="E33" s="32"/>
      <c r="F33" s="32"/>
      <c r="G33" s="69"/>
      <c r="H33" s="93"/>
      <c r="I33" s="120">
        <v>0</v>
      </c>
      <c r="J33" s="96"/>
    </row>
    <row r="34" spans="1:13" ht="15.75" customHeight="1" x14ac:dyDescent="0.25">
      <c r="A34" s="16" t="s">
        <v>78</v>
      </c>
      <c r="B34" s="17"/>
      <c r="C34" s="17"/>
      <c r="D34" s="17"/>
      <c r="E34" s="17"/>
      <c r="F34" s="17"/>
      <c r="G34" s="17"/>
      <c r="H34" s="71"/>
      <c r="I34" s="118">
        <f>SUM(I28:J33)</f>
        <v>8157.2050000000008</v>
      </c>
      <c r="J34" s="107"/>
    </row>
    <row r="35" spans="1:13" ht="15.75" customHeight="1" thickBot="1" x14ac:dyDescent="0.3">
      <c r="A35" s="121" t="s">
        <v>170</v>
      </c>
      <c r="B35" s="122"/>
      <c r="C35" s="122"/>
      <c r="D35" s="122"/>
      <c r="E35" s="122"/>
      <c r="F35" s="122"/>
      <c r="G35" s="122"/>
      <c r="H35" s="123"/>
      <c r="I35" s="111"/>
      <c r="J35" s="100"/>
      <c r="M35" s="87"/>
    </row>
    <row r="36" spans="1:13" ht="15.75" customHeight="1" x14ac:dyDescent="0.25">
      <c r="A36" s="116" t="s">
        <v>79</v>
      </c>
      <c r="B36" s="106"/>
      <c r="C36" s="106"/>
      <c r="D36" s="107"/>
      <c r="E36" s="119" t="s">
        <v>80</v>
      </c>
      <c r="F36" s="106"/>
      <c r="G36" s="106"/>
      <c r="H36" s="106"/>
      <c r="I36" s="106"/>
      <c r="J36" s="107"/>
    </row>
    <row r="37" spans="1:13" ht="19.5" customHeight="1" x14ac:dyDescent="0.25">
      <c r="A37" s="117" t="s">
        <v>81</v>
      </c>
      <c r="B37" s="89"/>
      <c r="C37" s="89"/>
      <c r="D37" s="109"/>
      <c r="E37" s="19" t="s">
        <v>82</v>
      </c>
      <c r="F37" s="4"/>
      <c r="G37" s="4"/>
      <c r="H37" s="4"/>
      <c r="I37" s="4"/>
      <c r="J37" s="20"/>
    </row>
    <row r="38" spans="1:13" ht="19.5" customHeight="1" x14ac:dyDescent="0.25">
      <c r="A38" s="108"/>
      <c r="B38" s="89"/>
      <c r="C38" s="89"/>
      <c r="D38" s="109"/>
      <c r="E38" s="19"/>
      <c r="F38" s="4"/>
      <c r="G38" s="4"/>
      <c r="H38" s="4"/>
      <c r="I38" s="4"/>
      <c r="J38" s="20"/>
    </row>
    <row r="39" spans="1:13" ht="15.75" customHeight="1" x14ac:dyDescent="0.25">
      <c r="A39" s="110" t="s">
        <v>83</v>
      </c>
      <c r="B39" s="89"/>
      <c r="C39" s="89"/>
      <c r="D39" s="109"/>
      <c r="E39" s="19"/>
      <c r="F39" s="4"/>
      <c r="G39" s="4"/>
      <c r="H39" s="4"/>
      <c r="I39" s="4"/>
      <c r="J39" s="20"/>
    </row>
    <row r="40" spans="1:13" ht="18.75" customHeight="1" x14ac:dyDescent="0.25">
      <c r="A40" s="111"/>
      <c r="B40" s="102"/>
      <c r="C40" s="102"/>
      <c r="D40" s="100"/>
      <c r="E40" s="30" t="s">
        <v>84</v>
      </c>
      <c r="F40" s="32"/>
      <c r="G40" s="32"/>
      <c r="H40" s="32"/>
      <c r="I40" s="32"/>
      <c r="J40" s="29"/>
    </row>
    <row r="41" spans="1:13" ht="15.75" customHeight="1" x14ac:dyDescent="0.25"/>
    <row r="42" spans="1:13" ht="15.75" customHeight="1" x14ac:dyDescent="0.25"/>
    <row r="43" spans="1:13" ht="15.75" customHeight="1" x14ac:dyDescent="0.25"/>
    <row r="44" spans="1:13" ht="15.75" customHeight="1" x14ac:dyDescent="0.25"/>
    <row r="45" spans="1:13" ht="15.75" customHeight="1" x14ac:dyDescent="0.25"/>
    <row r="46" spans="1:13" ht="15.75" customHeight="1" x14ac:dyDescent="0.25"/>
    <row r="47" spans="1:13" ht="15.75" customHeight="1" x14ac:dyDescent="0.25"/>
    <row r="48" spans="1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65"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  <mergeCell ref="H11:J11"/>
    <mergeCell ref="H12:J13"/>
    <mergeCell ref="E14:J20"/>
    <mergeCell ref="A12:D12"/>
    <mergeCell ref="E12:G13"/>
    <mergeCell ref="A11:D11"/>
    <mergeCell ref="E11:G11"/>
    <mergeCell ref="A15:D20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A1:J2"/>
    <mergeCell ref="E3:G3"/>
    <mergeCell ref="H3:J3"/>
    <mergeCell ref="E4:G4"/>
    <mergeCell ref="H4:J4"/>
    <mergeCell ref="A39:D40"/>
    <mergeCell ref="B28:D28"/>
    <mergeCell ref="F26:G26"/>
    <mergeCell ref="F28:G28"/>
    <mergeCell ref="I26:J26"/>
    <mergeCell ref="F27:G27"/>
    <mergeCell ref="I27:J27"/>
    <mergeCell ref="F32:G32"/>
    <mergeCell ref="A31:B31"/>
    <mergeCell ref="A36:D36"/>
    <mergeCell ref="A37:D38"/>
    <mergeCell ref="I34:J35"/>
    <mergeCell ref="E36:J36"/>
    <mergeCell ref="I33:J33"/>
    <mergeCell ref="I28:J28"/>
    <mergeCell ref="A35:H35"/>
    <mergeCell ref="H30:H33"/>
    <mergeCell ref="B29:D29"/>
    <mergeCell ref="F29:G29"/>
    <mergeCell ref="I29:J29"/>
    <mergeCell ref="A25:B25"/>
    <mergeCell ref="C25:D25"/>
    <mergeCell ref="E25:G25"/>
    <mergeCell ref="H25:J25"/>
    <mergeCell ref="A26:A27"/>
    <mergeCell ref="B26:D27"/>
    <mergeCell ref="E26:E27"/>
  </mergeCells>
  <conditionalFormatting sqref="A35">
    <cfRule type="containsBlanks" dxfId="0" priority="1">
      <formula>LEN(TRIM(A35))=0</formula>
    </cfRule>
  </conditionalFormatting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workbookViewId="0">
      <selection activeCell="G15" sqref="G15"/>
    </sheetView>
  </sheetViews>
  <sheetFormatPr defaultRowHeight="15" x14ac:dyDescent="0.25"/>
  <cols>
    <col min="5" max="5" width="38.28515625" customWidth="1"/>
  </cols>
  <sheetData>
    <row r="2" spans="1:5" ht="15.75" thickBot="1" x14ac:dyDescent="0.3">
      <c r="A2" t="s">
        <v>166</v>
      </c>
    </row>
    <row r="3" spans="1:5" ht="15.75" thickBot="1" x14ac:dyDescent="0.3">
      <c r="A3" s="206" t="s">
        <v>164</v>
      </c>
      <c r="B3" s="73">
        <v>43.55</v>
      </c>
      <c r="C3" s="73">
        <v>23</v>
      </c>
      <c r="D3" s="73">
        <f>B3*C3</f>
        <v>1001.65</v>
      </c>
      <c r="E3" s="74"/>
    </row>
    <row r="4" spans="1:5" s="86" customFormat="1" x14ac:dyDescent="0.25">
      <c r="A4" s="206" t="s">
        <v>165</v>
      </c>
      <c r="B4" s="73">
        <v>425.3</v>
      </c>
      <c r="C4" s="73">
        <v>18</v>
      </c>
      <c r="D4" s="73">
        <f>B4*C4</f>
        <v>7655.4000000000005</v>
      </c>
      <c r="E4" s="83"/>
    </row>
    <row r="5" spans="1:5" s="79" customFormat="1" x14ac:dyDescent="0.25">
      <c r="A5" s="143" t="s">
        <v>158</v>
      </c>
      <c r="B5" s="144"/>
      <c r="C5" s="145"/>
      <c r="D5" s="82">
        <f>D3+D4</f>
        <v>8657.0500000000011</v>
      </c>
      <c r="E5" s="83"/>
    </row>
    <row r="6" spans="1:5" x14ac:dyDescent="0.25">
      <c r="A6" s="143" t="s">
        <v>157</v>
      </c>
      <c r="B6" s="146"/>
      <c r="C6" s="147"/>
      <c r="D6" s="72">
        <v>8157.21</v>
      </c>
      <c r="E6" s="75" t="s">
        <v>154</v>
      </c>
    </row>
    <row r="7" spans="1:5" ht="15.75" thickBot="1" x14ac:dyDescent="0.3">
      <c r="A7" s="148" t="s">
        <v>156</v>
      </c>
      <c r="B7" s="149"/>
      <c r="C7" s="150"/>
      <c r="D7" s="76">
        <f>D5-D6</f>
        <v>499.84000000000106</v>
      </c>
      <c r="E7" s="77" t="s">
        <v>155</v>
      </c>
    </row>
  </sheetData>
  <mergeCells count="3">
    <mergeCell ref="A5:C5"/>
    <mergeCell ref="A6:C6"/>
    <mergeCell ref="A7:C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9"/>
  <sheetViews>
    <sheetView tabSelected="1" workbookViewId="0">
      <selection activeCell="K31" sqref="K31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58" t="s">
        <v>85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x14ac:dyDescent="0.25">
      <c r="A2" s="119" t="s">
        <v>86</v>
      </c>
      <c r="B2" s="106"/>
      <c r="C2" s="106"/>
      <c r="D2" s="106"/>
      <c r="E2" s="106"/>
      <c r="F2" s="107"/>
      <c r="G2" s="112" t="s">
        <v>40</v>
      </c>
      <c r="H2" s="107"/>
      <c r="I2" s="151" t="s">
        <v>41</v>
      </c>
      <c r="J2" s="107"/>
    </row>
    <row r="3" spans="1:10" ht="15.75" x14ac:dyDescent="0.25">
      <c r="A3" s="159" t="s">
        <v>87</v>
      </c>
      <c r="B3" s="89"/>
      <c r="C3" s="89"/>
      <c r="D3" s="89"/>
      <c r="E3" s="89"/>
      <c r="F3" s="109"/>
      <c r="G3" s="125" t="str">
        <f>Invoice!E4</f>
        <v>BK033/25-26</v>
      </c>
      <c r="H3" s="100"/>
      <c r="I3" s="126">
        <f>Invoice!H4</f>
        <v>45983</v>
      </c>
      <c r="J3" s="128"/>
    </row>
    <row r="4" spans="1:10" x14ac:dyDescent="0.25">
      <c r="A4" s="19" t="s">
        <v>88</v>
      </c>
      <c r="B4" s="4"/>
      <c r="C4" s="4"/>
      <c r="D4" s="4"/>
      <c r="E4" s="4"/>
      <c r="F4" s="20"/>
      <c r="G4" s="151" t="s">
        <v>45</v>
      </c>
      <c r="H4" s="106"/>
      <c r="I4" s="106"/>
      <c r="J4" s="107"/>
    </row>
    <row r="5" spans="1:10" x14ac:dyDescent="0.25">
      <c r="A5" s="19" t="s">
        <v>89</v>
      </c>
      <c r="B5" s="4"/>
      <c r="C5" s="4"/>
      <c r="D5" s="4"/>
      <c r="E5" s="4"/>
      <c r="F5" s="20"/>
      <c r="G5" s="101" t="str">
        <f>'input data'!B5</f>
        <v>AD2403250650768</v>
      </c>
      <c r="H5" s="102"/>
      <c r="I5" s="102"/>
      <c r="J5" s="100"/>
    </row>
    <row r="6" spans="1:10" x14ac:dyDescent="0.25">
      <c r="A6" s="153" t="s">
        <v>90</v>
      </c>
      <c r="B6" s="89"/>
      <c r="C6" s="89"/>
      <c r="D6" s="89"/>
      <c r="E6" s="89"/>
      <c r="F6" s="20"/>
      <c r="G6" s="24"/>
      <c r="H6" s="31"/>
      <c r="I6" s="31"/>
      <c r="J6" s="33"/>
    </row>
    <row r="7" spans="1:10" x14ac:dyDescent="0.25">
      <c r="A7" s="19" t="s">
        <v>91</v>
      </c>
      <c r="B7" s="4"/>
      <c r="C7" s="4"/>
      <c r="D7" s="4"/>
      <c r="E7" s="4"/>
      <c r="F7" s="20"/>
      <c r="G7" s="34" t="s">
        <v>92</v>
      </c>
      <c r="H7" s="17"/>
      <c r="I7" s="17"/>
      <c r="J7" s="18"/>
    </row>
    <row r="8" spans="1:10" ht="15.75" x14ac:dyDescent="0.25">
      <c r="A8" s="35" t="s">
        <v>93</v>
      </c>
      <c r="B8" s="4"/>
      <c r="C8" s="4"/>
      <c r="D8" s="4"/>
      <c r="E8" s="4"/>
      <c r="F8" s="20"/>
      <c r="G8" s="36" t="s">
        <v>94</v>
      </c>
      <c r="H8" s="37"/>
      <c r="I8" s="37"/>
      <c r="J8" s="38"/>
    </row>
    <row r="9" spans="1:10" ht="15.75" x14ac:dyDescent="0.25">
      <c r="A9" s="39" t="s">
        <v>53</v>
      </c>
      <c r="B9" s="4"/>
      <c r="C9" s="4"/>
      <c r="D9" s="4"/>
      <c r="E9" s="4"/>
      <c r="F9" s="20"/>
      <c r="G9" s="36" t="s">
        <v>95</v>
      </c>
      <c r="H9" s="37"/>
      <c r="I9" s="37"/>
      <c r="J9" s="38"/>
    </row>
    <row r="10" spans="1:10" x14ac:dyDescent="0.25">
      <c r="A10" s="40" t="s">
        <v>56</v>
      </c>
      <c r="B10" s="32"/>
      <c r="C10" s="32"/>
      <c r="D10" s="32"/>
      <c r="E10" s="32"/>
      <c r="F10" s="29"/>
      <c r="G10" s="30"/>
      <c r="H10" s="32"/>
      <c r="I10" s="32"/>
      <c r="J10" s="29"/>
    </row>
    <row r="11" spans="1:10" x14ac:dyDescent="0.25">
      <c r="A11" s="154" t="s">
        <v>57</v>
      </c>
      <c r="B11" s="106"/>
      <c r="C11" s="106"/>
      <c r="D11" s="106"/>
      <c r="E11" s="106"/>
      <c r="F11" s="18"/>
      <c r="G11" s="34" t="s">
        <v>96</v>
      </c>
      <c r="H11" s="17"/>
      <c r="I11" s="17"/>
      <c r="J11" s="18"/>
    </row>
    <row r="12" spans="1:10" x14ac:dyDescent="0.25">
      <c r="A12" s="155" t="str">
        <f>'input data'!B6</f>
        <v>To the Order</v>
      </c>
      <c r="B12" s="89"/>
      <c r="C12" s="89"/>
      <c r="D12" s="89"/>
      <c r="E12" s="89"/>
      <c r="F12" s="20"/>
      <c r="G12" s="19"/>
      <c r="H12" s="4"/>
      <c r="I12" s="4"/>
      <c r="J12" s="20"/>
    </row>
    <row r="13" spans="1:10" x14ac:dyDescent="0.25">
      <c r="A13" s="111"/>
      <c r="B13" s="102"/>
      <c r="C13" s="102"/>
      <c r="D13" s="102"/>
      <c r="E13" s="102"/>
      <c r="F13" s="29"/>
      <c r="G13" s="19"/>
      <c r="H13" s="4"/>
      <c r="I13" s="4"/>
      <c r="J13" s="20"/>
    </row>
    <row r="14" spans="1:10" x14ac:dyDescent="0.25">
      <c r="A14" s="154" t="s">
        <v>60</v>
      </c>
      <c r="B14" s="106"/>
      <c r="C14" s="106"/>
      <c r="D14" s="106"/>
      <c r="E14" s="106"/>
      <c r="F14" s="107"/>
      <c r="G14" s="19"/>
      <c r="H14" s="4"/>
      <c r="I14" s="4"/>
      <c r="J14" s="20"/>
    </row>
    <row r="15" spans="1:10" x14ac:dyDescent="0.25">
      <c r="A15" s="136" t="str">
        <f>Invoice!A15</f>
        <v>HOANG MINH STONE TRADING COMPANY LIMITED
Lot 175 MBQH 6804 Hac Thanh Ward, Thanh Hoa Province
 Tax ID: 2803146553
 TEL:  0392794691
 hoangminh6868vn@gmail.com</v>
      </c>
      <c r="B15" s="89"/>
      <c r="C15" s="89"/>
      <c r="D15" s="89"/>
      <c r="E15" s="89"/>
      <c r="F15" s="109"/>
      <c r="G15" s="19"/>
      <c r="H15" s="4"/>
      <c r="I15" s="4"/>
      <c r="J15" s="20"/>
    </row>
    <row r="16" spans="1:10" x14ac:dyDescent="0.25">
      <c r="A16" s="108"/>
      <c r="B16" s="89"/>
      <c r="C16" s="89"/>
      <c r="D16" s="89"/>
      <c r="E16" s="89"/>
      <c r="F16" s="109"/>
      <c r="G16" s="19"/>
      <c r="H16" s="4"/>
      <c r="I16" s="4"/>
      <c r="J16" s="20"/>
    </row>
    <row r="17" spans="1:10" x14ac:dyDescent="0.25">
      <c r="A17" s="108"/>
      <c r="B17" s="89"/>
      <c r="C17" s="89"/>
      <c r="D17" s="89"/>
      <c r="E17" s="89"/>
      <c r="F17" s="109"/>
      <c r="G17" s="19"/>
      <c r="H17" s="4"/>
      <c r="I17" s="4"/>
      <c r="J17" s="20"/>
    </row>
    <row r="18" spans="1:10" ht="37.5" customHeight="1" x14ac:dyDescent="0.25">
      <c r="A18" s="108"/>
      <c r="B18" s="89"/>
      <c r="C18" s="89"/>
      <c r="D18" s="89"/>
      <c r="E18" s="89"/>
      <c r="F18" s="109"/>
      <c r="G18" s="152" t="s">
        <v>97</v>
      </c>
      <c r="H18" s="107"/>
      <c r="I18" s="161" t="s">
        <v>98</v>
      </c>
      <c r="J18" s="107"/>
    </row>
    <row r="19" spans="1:10" ht="15" customHeight="1" x14ac:dyDescent="0.25">
      <c r="A19" s="108"/>
      <c r="B19" s="89"/>
      <c r="C19" s="89"/>
      <c r="D19" s="89"/>
      <c r="E19" s="89"/>
      <c r="F19" s="109"/>
      <c r="G19" s="111"/>
      <c r="H19" s="100"/>
      <c r="I19" s="102"/>
      <c r="J19" s="100"/>
    </row>
    <row r="20" spans="1:10" ht="30.75" customHeight="1" x14ac:dyDescent="0.25">
      <c r="A20" s="111"/>
      <c r="B20" s="102"/>
      <c r="C20" s="102"/>
      <c r="D20" s="102"/>
      <c r="E20" s="102"/>
      <c r="F20" s="100"/>
      <c r="G20" s="162" t="s">
        <v>65</v>
      </c>
      <c r="H20" s="100"/>
      <c r="I20" s="162" t="str">
        <f>Invoice!H22</f>
        <v>VIETNAM</v>
      </c>
      <c r="J20" s="100"/>
    </row>
    <row r="21" spans="1:10" ht="15.75" customHeight="1" x14ac:dyDescent="0.25">
      <c r="A21" s="156" t="s">
        <v>99</v>
      </c>
      <c r="B21" s="106"/>
      <c r="C21" s="107"/>
      <c r="D21" s="156" t="s">
        <v>100</v>
      </c>
      <c r="E21" s="106"/>
      <c r="F21" s="107"/>
      <c r="G21" s="157" t="s">
        <v>101</v>
      </c>
      <c r="H21" s="95"/>
      <c r="I21" s="95"/>
      <c r="J21" s="96"/>
    </row>
    <row r="22" spans="1:10" ht="15.75" customHeight="1" x14ac:dyDescent="0.25">
      <c r="A22" s="99"/>
      <c r="B22" s="102"/>
      <c r="C22" s="100"/>
      <c r="D22" s="101" t="str">
        <f>Invoice!C22</f>
        <v>CHENNAI</v>
      </c>
      <c r="E22" s="102"/>
      <c r="F22" s="100"/>
      <c r="G22" s="160" t="str">
        <f>'input data'!B16</f>
        <v>CNF</v>
      </c>
      <c r="H22" s="102"/>
      <c r="I22" s="102"/>
      <c r="J22" s="100"/>
    </row>
    <row r="23" spans="1:10" ht="15.75" customHeight="1" x14ac:dyDescent="0.25">
      <c r="A23" s="156" t="s">
        <v>102</v>
      </c>
      <c r="B23" s="106"/>
      <c r="C23" s="107"/>
      <c r="D23" s="156" t="s">
        <v>103</v>
      </c>
      <c r="E23" s="106"/>
      <c r="F23" s="107"/>
      <c r="G23" s="41"/>
      <c r="H23" s="42"/>
      <c r="I23" s="42"/>
      <c r="J23" s="43"/>
    </row>
    <row r="24" spans="1:10" ht="15.75" customHeight="1" x14ac:dyDescent="0.25">
      <c r="A24" s="99"/>
      <c r="B24" s="102"/>
      <c r="C24" s="100"/>
      <c r="D24" s="101" t="str">
        <f>Invoice!C25</f>
        <v>CHENNAI</v>
      </c>
      <c r="E24" s="102"/>
      <c r="F24" s="100"/>
      <c r="G24" s="30"/>
      <c r="H24" s="32"/>
      <c r="I24" s="32"/>
      <c r="J24" s="29"/>
    </row>
    <row r="25" spans="1:10" ht="15.75" customHeight="1" x14ac:dyDescent="0.25">
      <c r="A25" s="156" t="s">
        <v>31</v>
      </c>
      <c r="B25" s="106"/>
      <c r="C25" s="107"/>
      <c r="D25" s="156" t="s">
        <v>32</v>
      </c>
      <c r="E25" s="106"/>
      <c r="F25" s="107"/>
      <c r="G25" s="164" t="s">
        <v>104</v>
      </c>
      <c r="H25" s="95"/>
      <c r="I25" s="95"/>
      <c r="J25" s="96"/>
    </row>
    <row r="26" spans="1:10" ht="15.75" customHeight="1" x14ac:dyDescent="0.25">
      <c r="A26" s="142" t="str">
        <f>Invoice!E25</f>
        <v>HAI PHONG</v>
      </c>
      <c r="B26" s="89"/>
      <c r="C26" s="109"/>
      <c r="D26" s="142" t="str">
        <f>Invoice!H25</f>
        <v>HAI PHONG</v>
      </c>
      <c r="E26" s="89"/>
      <c r="F26" s="109"/>
      <c r="G26" s="152" t="str">
        <f>'input data'!B17</f>
        <v>100% Against Documents</v>
      </c>
      <c r="H26" s="106"/>
      <c r="I26" s="106"/>
      <c r="J26" s="107"/>
    </row>
    <row r="27" spans="1:10" ht="15.75" customHeight="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6"/>
    </row>
    <row r="28" spans="1:10" ht="15.75" customHeight="1" x14ac:dyDescent="0.25">
      <c r="A28" s="26" t="s">
        <v>67</v>
      </c>
      <c r="B28" s="101" t="s">
        <v>105</v>
      </c>
      <c r="C28" s="100"/>
      <c r="D28" s="101" t="s">
        <v>68</v>
      </c>
      <c r="E28" s="102"/>
      <c r="F28" s="102"/>
      <c r="G28" s="47"/>
      <c r="H28" s="48"/>
      <c r="I28" s="101" t="s">
        <v>72</v>
      </c>
      <c r="J28" s="100"/>
    </row>
    <row r="29" spans="1:10" ht="15.75" customHeight="1" thickBot="1" x14ac:dyDescent="0.3">
      <c r="A29" s="27">
        <v>1</v>
      </c>
      <c r="B29" s="94">
        <f>Invoice!E28</f>
        <v>68022390</v>
      </c>
      <c r="C29" s="96"/>
      <c r="D29" s="165" t="str">
        <f>Invoice!B28</f>
        <v>NATURAL POLISHED GRANITE SLABS</v>
      </c>
      <c r="E29" s="95"/>
      <c r="F29" s="95"/>
      <c r="G29" s="95"/>
      <c r="H29" s="96"/>
      <c r="I29" s="166">
        <f>Invoice!F28</f>
        <v>43.55</v>
      </c>
      <c r="J29" s="96"/>
    </row>
    <row r="30" spans="1:10" s="85" customFormat="1" ht="15.75" customHeight="1" thickBot="1" x14ac:dyDescent="0.3">
      <c r="A30" s="27">
        <v>2</v>
      </c>
      <c r="B30" s="94">
        <f>Invoice!E29</f>
        <v>68022390</v>
      </c>
      <c r="C30" s="96"/>
      <c r="D30" s="165" t="str">
        <f>Invoice!B29</f>
        <v>NATURAL POLISHED GRANITE SLABS</v>
      </c>
      <c r="E30" s="95"/>
      <c r="F30" s="95"/>
      <c r="G30" s="95"/>
      <c r="H30" s="96"/>
      <c r="I30" s="166">
        <f>Invoice!F29</f>
        <v>425.3</v>
      </c>
      <c r="J30" s="96"/>
    </row>
    <row r="31" spans="1:10" ht="15.75" customHeight="1" thickBot="1" x14ac:dyDescent="0.3">
      <c r="A31" s="49" t="s">
        <v>106</v>
      </c>
      <c r="B31" s="45"/>
      <c r="C31" s="45"/>
      <c r="D31" s="45"/>
      <c r="E31" s="45"/>
      <c r="F31" s="45"/>
      <c r="G31" s="45"/>
      <c r="H31" s="45"/>
      <c r="I31" s="163">
        <f>I29+I30</f>
        <v>468.85</v>
      </c>
      <c r="J31" s="96"/>
    </row>
    <row r="32" spans="1:10" ht="15.75" customHeight="1" x14ac:dyDescent="0.25">
      <c r="A32" s="35"/>
      <c r="B32" s="4"/>
      <c r="C32" s="4"/>
      <c r="D32" s="4"/>
      <c r="E32" s="4"/>
      <c r="F32" s="4"/>
      <c r="G32" s="4"/>
      <c r="H32" s="4"/>
      <c r="I32" s="31"/>
      <c r="J32" s="33"/>
    </row>
    <row r="33" spans="1:10" ht="15.75" customHeight="1" x14ac:dyDescent="0.25">
      <c r="A33" s="142" t="s">
        <v>107</v>
      </c>
      <c r="B33" s="89"/>
      <c r="C33" s="31" t="s">
        <v>35</v>
      </c>
      <c r="D33" s="113" t="s">
        <v>74</v>
      </c>
      <c r="E33" s="89"/>
      <c r="F33" s="31" t="s">
        <v>75</v>
      </c>
      <c r="G33" s="31"/>
      <c r="H33" s="4"/>
      <c r="I33" s="31"/>
      <c r="J33" s="33"/>
    </row>
    <row r="34" spans="1:10" ht="15.75" customHeight="1" x14ac:dyDescent="0.25">
      <c r="A34" s="115" t="str">
        <f>Invoice!A31</f>
        <v>WHSU0423098</v>
      </c>
      <c r="B34" s="89"/>
      <c r="C34" s="50">
        <f>'input data'!B25</f>
        <v>480</v>
      </c>
      <c r="D34" s="174" t="s">
        <v>108</v>
      </c>
      <c r="E34" s="89"/>
      <c r="F34" s="50" t="s">
        <v>109</v>
      </c>
      <c r="G34" s="50"/>
      <c r="H34" s="4"/>
      <c r="I34" s="4"/>
      <c r="J34" s="20"/>
    </row>
    <row r="35" spans="1:10" ht="15.75" customHeight="1" x14ac:dyDescent="0.25">
      <c r="A35" s="23"/>
      <c r="B35" s="51"/>
      <c r="C35" s="51"/>
      <c r="D35" s="51"/>
      <c r="E35" s="51"/>
      <c r="F35" s="51"/>
      <c r="G35" s="51"/>
      <c r="H35" s="51"/>
      <c r="I35" s="51"/>
      <c r="J35" s="52"/>
    </row>
    <row r="36" spans="1:10" ht="15.75" customHeight="1" x14ac:dyDescent="0.25">
      <c r="A36" s="23" t="s">
        <v>110</v>
      </c>
      <c r="B36" s="51"/>
      <c r="C36" s="51" t="str">
        <f>'input data'!B14</f>
        <v>Loose packing</v>
      </c>
      <c r="D36" s="51"/>
      <c r="E36" s="51"/>
      <c r="F36" s="51"/>
      <c r="G36" s="51"/>
      <c r="H36" s="51"/>
      <c r="I36" s="51"/>
      <c r="J36" s="52"/>
    </row>
    <row r="37" spans="1:10" ht="15.75" customHeight="1" x14ac:dyDescent="0.25">
      <c r="A37" s="23" t="s">
        <v>111</v>
      </c>
      <c r="B37" s="51"/>
      <c r="C37" s="51"/>
      <c r="D37" s="51"/>
      <c r="E37" s="51"/>
      <c r="F37" s="51"/>
      <c r="G37" s="51"/>
      <c r="H37" s="51"/>
      <c r="I37" s="51"/>
      <c r="J37" s="52"/>
    </row>
    <row r="38" spans="1:10" ht="15.75" customHeight="1" x14ac:dyDescent="0.25">
      <c r="A38" s="53"/>
      <c r="B38" s="54"/>
      <c r="C38" s="54"/>
      <c r="D38" s="54"/>
      <c r="E38" s="54"/>
      <c r="F38" s="54"/>
      <c r="G38" s="54"/>
      <c r="H38" s="54"/>
      <c r="I38" s="54"/>
      <c r="J38" s="55"/>
    </row>
    <row r="39" spans="1:10" ht="15.75" customHeight="1" x14ac:dyDescent="0.25">
      <c r="A39" s="119" t="s">
        <v>112</v>
      </c>
      <c r="B39" s="106"/>
      <c r="C39" s="106"/>
      <c r="D39" s="106"/>
      <c r="E39" s="106"/>
      <c r="F39" s="107"/>
      <c r="G39" s="119" t="s">
        <v>80</v>
      </c>
      <c r="H39" s="106"/>
      <c r="I39" s="106"/>
      <c r="J39" s="107"/>
    </row>
    <row r="40" spans="1:10" ht="15.75" customHeight="1" x14ac:dyDescent="0.25">
      <c r="A40" s="175" t="s">
        <v>113</v>
      </c>
      <c r="B40" s="89"/>
      <c r="C40" s="89"/>
      <c r="D40" s="89"/>
      <c r="E40" s="89"/>
      <c r="F40" s="109"/>
      <c r="G40" s="19"/>
      <c r="H40" s="4"/>
      <c r="I40" s="4"/>
      <c r="J40" s="20"/>
    </row>
    <row r="41" spans="1:10" ht="15.75" customHeight="1" x14ac:dyDescent="0.25">
      <c r="A41" s="167" t="s">
        <v>114</v>
      </c>
      <c r="B41" s="168"/>
      <c r="C41" s="168"/>
      <c r="D41" s="168"/>
      <c r="E41" s="168"/>
      <c r="F41" s="169"/>
      <c r="G41" s="19"/>
      <c r="H41" s="4"/>
      <c r="I41" s="4"/>
      <c r="J41" s="20"/>
    </row>
    <row r="42" spans="1:10" ht="15.75" customHeight="1" x14ac:dyDescent="0.25">
      <c r="A42" s="170" t="s">
        <v>115</v>
      </c>
      <c r="B42" s="171"/>
      <c r="C42" s="171"/>
      <c r="D42" s="171"/>
      <c r="E42" s="171"/>
      <c r="F42" s="172"/>
      <c r="G42" s="173" t="s">
        <v>116</v>
      </c>
      <c r="H42" s="102"/>
      <c r="I42" s="102"/>
      <c r="J42" s="100"/>
    </row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54">
    <mergeCell ref="A41:F41"/>
    <mergeCell ref="A42:F42"/>
    <mergeCell ref="G42:J42"/>
    <mergeCell ref="A33:B33"/>
    <mergeCell ref="D33:E33"/>
    <mergeCell ref="A34:B34"/>
    <mergeCell ref="D34:E34"/>
    <mergeCell ref="A39:F39"/>
    <mergeCell ref="G39:J39"/>
    <mergeCell ref="A40:F40"/>
    <mergeCell ref="I31:J31"/>
    <mergeCell ref="D23:F23"/>
    <mergeCell ref="A23:C23"/>
    <mergeCell ref="A24:C24"/>
    <mergeCell ref="D24:F24"/>
    <mergeCell ref="A25:C25"/>
    <mergeCell ref="D25:F25"/>
    <mergeCell ref="G25:J25"/>
    <mergeCell ref="A26:C26"/>
    <mergeCell ref="B29:C29"/>
    <mergeCell ref="D29:H29"/>
    <mergeCell ref="I29:J29"/>
    <mergeCell ref="B30:C30"/>
    <mergeCell ref="D30:H30"/>
    <mergeCell ref="I30:J30"/>
    <mergeCell ref="D22:F22"/>
    <mergeCell ref="G22:J22"/>
    <mergeCell ref="G18:H19"/>
    <mergeCell ref="I18:J19"/>
    <mergeCell ref="G20:H20"/>
    <mergeCell ref="I20:J20"/>
    <mergeCell ref="A1:J1"/>
    <mergeCell ref="A2:F2"/>
    <mergeCell ref="G2:H2"/>
    <mergeCell ref="I2:J2"/>
    <mergeCell ref="A3:F3"/>
    <mergeCell ref="G3:H3"/>
    <mergeCell ref="I3:J3"/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8"/>
  <sheetViews>
    <sheetView zoomScaleNormal="100" workbookViewId="0">
      <selection activeCell="R19" sqref="R19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6"/>
      <c r="B1" s="176" t="s">
        <v>42</v>
      </c>
      <c r="C1" s="177"/>
      <c r="D1" s="177"/>
      <c r="E1" s="177"/>
      <c r="F1" s="177"/>
      <c r="G1" s="177"/>
      <c r="H1" s="177"/>
      <c r="I1" s="177"/>
      <c r="J1" s="177"/>
      <c r="K1" s="178"/>
      <c r="R1" s="182"/>
      <c r="S1" s="89"/>
      <c r="T1" s="89"/>
      <c r="U1" s="89"/>
      <c r="V1" s="89"/>
      <c r="W1" s="183"/>
      <c r="X1" s="89"/>
      <c r="Y1" s="89"/>
    </row>
    <row r="2" spans="1:25" ht="36.75" thickBot="1" x14ac:dyDescent="0.6">
      <c r="A2" s="56"/>
      <c r="B2" s="179"/>
      <c r="C2" s="180"/>
      <c r="D2" s="180"/>
      <c r="E2" s="180"/>
      <c r="F2" s="180"/>
      <c r="G2" s="180"/>
      <c r="H2" s="180"/>
      <c r="I2" s="180"/>
      <c r="J2" s="180"/>
      <c r="K2" s="181"/>
    </row>
    <row r="3" spans="1:25" x14ac:dyDescent="0.25">
      <c r="A3" s="57"/>
      <c r="B3" s="184" t="s">
        <v>117</v>
      </c>
      <c r="C3" s="106"/>
      <c r="D3" s="106"/>
      <c r="E3" s="106"/>
      <c r="F3" s="106"/>
      <c r="G3" s="106"/>
      <c r="H3" s="106"/>
      <c r="I3" s="106"/>
      <c r="J3" s="106"/>
      <c r="K3" s="107"/>
    </row>
    <row r="4" spans="1:25" x14ac:dyDescent="0.25">
      <c r="A4" s="57"/>
      <c r="B4" s="185" t="s">
        <v>118</v>
      </c>
      <c r="C4" s="89"/>
      <c r="D4" s="89"/>
      <c r="E4" s="89"/>
      <c r="F4" s="89"/>
      <c r="G4" s="89"/>
      <c r="H4" s="89"/>
      <c r="I4" s="89"/>
      <c r="J4" s="89"/>
      <c r="K4" s="109"/>
    </row>
    <row r="5" spans="1:25" x14ac:dyDescent="0.25">
      <c r="A5" s="50"/>
      <c r="B5" s="99" t="s">
        <v>119</v>
      </c>
      <c r="C5" s="102"/>
      <c r="D5" s="102"/>
      <c r="E5" s="102"/>
      <c r="F5" s="102"/>
      <c r="G5" s="102"/>
      <c r="H5" s="102"/>
      <c r="I5" s="102"/>
      <c r="J5" s="102"/>
      <c r="K5" s="100"/>
    </row>
    <row r="6" spans="1:25" x14ac:dyDescent="0.25">
      <c r="A6" s="4"/>
      <c r="B6" s="34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58"/>
      <c r="B7" s="186" t="s">
        <v>120</v>
      </c>
      <c r="C7" s="89"/>
      <c r="D7" s="89"/>
      <c r="E7" s="89"/>
      <c r="F7" s="89"/>
      <c r="G7" s="89"/>
      <c r="H7" s="89"/>
      <c r="I7" s="89"/>
      <c r="J7" s="89"/>
      <c r="K7" s="109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121</v>
      </c>
      <c r="C9" s="188">
        <f ca="1">TODAY()</f>
        <v>45983</v>
      </c>
      <c r="D9" s="188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122</v>
      </c>
      <c r="C10" s="59" t="s">
        <v>167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123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53" t="s">
        <v>168</v>
      </c>
      <c r="C13" s="89"/>
      <c r="D13" s="89"/>
      <c r="E13" s="89"/>
      <c r="F13" s="89"/>
      <c r="G13" s="89"/>
      <c r="H13" s="4"/>
      <c r="I13" s="4"/>
      <c r="J13" s="4"/>
      <c r="K13" s="20"/>
    </row>
    <row r="14" spans="1:25" x14ac:dyDescent="0.25">
      <c r="A14" s="60"/>
      <c r="B14" s="136" t="s">
        <v>169</v>
      </c>
      <c r="C14" s="89"/>
      <c r="D14" s="89"/>
      <c r="E14" s="89"/>
      <c r="F14" s="89"/>
      <c r="G14" s="89"/>
      <c r="H14" s="4"/>
      <c r="I14" s="4"/>
      <c r="J14" s="4"/>
      <c r="K14" s="20"/>
    </row>
    <row r="15" spans="1:25" ht="49.5" customHeight="1" x14ac:dyDescent="0.25">
      <c r="A15" s="60"/>
      <c r="B15" s="108"/>
      <c r="C15" s="89"/>
      <c r="D15" s="89"/>
      <c r="E15" s="89"/>
      <c r="F15" s="89"/>
      <c r="G15" s="89"/>
      <c r="H15" s="4"/>
      <c r="I15" s="4"/>
      <c r="J15" s="4"/>
      <c r="K15" s="20"/>
    </row>
    <row r="16" spans="1:25" x14ac:dyDescent="0.25">
      <c r="A16" s="4"/>
      <c r="B16" s="19" t="s">
        <v>124</v>
      </c>
      <c r="C16" s="4"/>
      <c r="D16" s="4"/>
      <c r="E16" s="4"/>
      <c r="F16" s="4"/>
      <c r="G16" s="4"/>
      <c r="H16" s="4"/>
      <c r="I16" s="4"/>
      <c r="J16" s="4"/>
      <c r="K16" s="20"/>
    </row>
    <row r="17" spans="1:21" ht="15.75" thickBot="1" x14ac:dyDescent="0.3">
      <c r="A17" s="4"/>
      <c r="B17" s="30"/>
      <c r="C17" s="32"/>
      <c r="D17" s="32"/>
      <c r="E17" s="32"/>
      <c r="F17" s="32"/>
      <c r="G17" s="32"/>
      <c r="H17" s="32"/>
      <c r="I17" s="32"/>
      <c r="J17" s="32"/>
      <c r="K17" s="29"/>
      <c r="P17" s="80"/>
    </row>
    <row r="18" spans="1:21" ht="15.75" thickBot="1" x14ac:dyDescent="0.3">
      <c r="A18" s="51"/>
      <c r="B18" s="135" t="s">
        <v>125</v>
      </c>
      <c r="C18" s="130"/>
      <c r="D18" s="130"/>
      <c r="E18" s="187"/>
      <c r="F18" s="135" t="s">
        <v>126</v>
      </c>
      <c r="G18" s="96"/>
      <c r="H18" s="135" t="s">
        <v>127</v>
      </c>
      <c r="I18" s="96"/>
      <c r="J18" s="135" t="s">
        <v>128</v>
      </c>
      <c r="K18" s="96"/>
      <c r="N18" s="80"/>
      <c r="U18" s="84"/>
    </row>
    <row r="19" spans="1:21" ht="15.75" customHeight="1" thickBot="1" x14ac:dyDescent="0.3">
      <c r="A19" s="3"/>
      <c r="B19" s="165" t="s">
        <v>28</v>
      </c>
      <c r="C19" s="197"/>
      <c r="D19" s="197"/>
      <c r="E19" s="198"/>
      <c r="F19" s="135">
        <v>111.25</v>
      </c>
      <c r="G19" s="96"/>
      <c r="H19" s="191">
        <v>4576.22</v>
      </c>
      <c r="I19" s="96"/>
      <c r="J19" s="195">
        <f>F19*H19</f>
        <v>509104.47500000003</v>
      </c>
      <c r="K19" s="96"/>
      <c r="N19" s="80"/>
      <c r="Q19" s="78"/>
    </row>
    <row r="20" spans="1:21" s="87" customFormat="1" ht="15.75" customHeight="1" thickBot="1" x14ac:dyDescent="0.3">
      <c r="A20" s="15"/>
      <c r="B20" s="165" t="s">
        <v>28</v>
      </c>
      <c r="C20" s="197"/>
      <c r="D20" s="197"/>
      <c r="E20" s="198"/>
      <c r="F20" s="135">
        <v>150.83000000000001</v>
      </c>
      <c r="G20" s="96"/>
      <c r="H20" s="191">
        <v>468.6</v>
      </c>
      <c r="I20" s="96"/>
      <c r="J20" s="195">
        <f>F20*H20</f>
        <v>70678.938000000009</v>
      </c>
      <c r="K20" s="96"/>
      <c r="N20" s="80"/>
    </row>
    <row r="21" spans="1:21" ht="15.75" customHeight="1" x14ac:dyDescent="0.25">
      <c r="A21" s="50"/>
      <c r="B21" s="115"/>
      <c r="C21" s="89"/>
      <c r="D21" s="89"/>
      <c r="E21" s="89"/>
      <c r="F21" s="183"/>
      <c r="G21" s="196"/>
      <c r="H21" s="200" t="s">
        <v>153</v>
      </c>
      <c r="I21" s="201"/>
      <c r="J21" s="199">
        <f>(J19+J20)*0.001</f>
        <v>579.78341300000011</v>
      </c>
      <c r="K21" s="205"/>
      <c r="M21" s="80"/>
      <c r="N21" s="80"/>
      <c r="Q21" s="87"/>
      <c r="R21" s="84"/>
    </row>
    <row r="22" spans="1:21" ht="15.75" customHeight="1" thickBot="1" x14ac:dyDescent="0.3">
      <c r="A22" s="3"/>
      <c r="B22" s="173"/>
      <c r="C22" s="102"/>
      <c r="D22" s="102"/>
      <c r="E22" s="102"/>
      <c r="F22" s="32"/>
      <c r="G22" s="61"/>
      <c r="H22" s="203" t="s">
        <v>106</v>
      </c>
      <c r="I22" s="204"/>
      <c r="J22" s="189">
        <f>J19+J20+J21</f>
        <v>580363.19641300011</v>
      </c>
      <c r="K22" s="190"/>
      <c r="M22" s="80"/>
      <c r="O22" s="78"/>
      <c r="Q22" s="78"/>
      <c r="R22" s="78"/>
    </row>
    <row r="23" spans="1:21" ht="15.75" customHeight="1" thickBot="1" x14ac:dyDescent="0.3">
      <c r="A23" s="50"/>
      <c r="B23" s="115"/>
      <c r="C23" s="89"/>
      <c r="D23" s="89"/>
      <c r="E23" s="89"/>
      <c r="F23" s="4"/>
      <c r="G23" s="4"/>
      <c r="H23" s="192"/>
      <c r="I23" s="89"/>
      <c r="J23" s="183"/>
      <c r="K23" s="109"/>
    </row>
    <row r="24" spans="1:21" ht="15.75" customHeight="1" x14ac:dyDescent="0.25">
      <c r="A24" s="51"/>
      <c r="B24" s="193" t="s">
        <v>129</v>
      </c>
      <c r="C24" s="95"/>
      <c r="D24" s="45"/>
      <c r="E24" s="45"/>
      <c r="F24" s="45"/>
      <c r="G24" s="45"/>
      <c r="H24" s="45"/>
      <c r="I24" s="45"/>
      <c r="J24" s="194">
        <f>J22</f>
        <v>580363.19641300011</v>
      </c>
      <c r="K24" s="96"/>
    </row>
    <row r="25" spans="1:21" ht="15.75" customHeight="1" x14ac:dyDescent="0.25">
      <c r="A25" s="4"/>
      <c r="B25" s="19"/>
      <c r="C25" s="4"/>
      <c r="D25" s="4"/>
      <c r="E25" s="4"/>
      <c r="F25" s="4"/>
      <c r="G25" s="4"/>
      <c r="H25" s="4"/>
      <c r="I25" s="4"/>
      <c r="J25" s="4"/>
      <c r="K25" s="20"/>
    </row>
    <row r="26" spans="1:21" ht="15.75" customHeight="1" x14ac:dyDescent="0.25">
      <c r="A26" s="62"/>
      <c r="B26" s="202" t="s">
        <v>130</v>
      </c>
      <c r="C26" s="89"/>
      <c r="D26" s="4"/>
      <c r="E26" s="4"/>
      <c r="F26" s="4"/>
      <c r="G26" s="4"/>
      <c r="H26" s="4"/>
      <c r="I26" s="4"/>
      <c r="J26" s="4"/>
      <c r="K26" s="20"/>
      <c r="O26" s="87"/>
    </row>
    <row r="27" spans="1:21" ht="15.75" customHeight="1" x14ac:dyDescent="0.25">
      <c r="A27" s="4"/>
      <c r="B27" s="19" t="s">
        <v>131</v>
      </c>
      <c r="C27" s="4"/>
      <c r="D27" s="4" t="s">
        <v>150</v>
      </c>
      <c r="E27" s="4"/>
      <c r="F27" s="4"/>
      <c r="G27" s="4"/>
      <c r="H27" s="4"/>
      <c r="I27" s="4"/>
      <c r="J27" s="4"/>
      <c r="K27" s="20"/>
      <c r="P27" s="84"/>
    </row>
    <row r="28" spans="1:21" ht="15.75" customHeight="1" x14ac:dyDescent="0.25">
      <c r="A28" s="4"/>
      <c r="B28" s="19" t="s">
        <v>132</v>
      </c>
      <c r="C28" s="4"/>
      <c r="D28" s="4"/>
      <c r="E28" s="4"/>
      <c r="F28" s="4"/>
      <c r="G28" s="4"/>
      <c r="H28" s="4"/>
      <c r="I28" s="4"/>
      <c r="J28" s="4"/>
      <c r="K28" s="20"/>
    </row>
    <row r="29" spans="1:21" ht="15.75" customHeight="1" x14ac:dyDescent="0.25">
      <c r="A29" s="4"/>
      <c r="B29" s="19" t="s">
        <v>133</v>
      </c>
      <c r="C29" s="4"/>
      <c r="D29" s="4"/>
      <c r="E29" s="4"/>
      <c r="F29" s="4"/>
      <c r="G29" s="4"/>
      <c r="H29" s="4"/>
      <c r="I29" s="4"/>
      <c r="J29" s="4"/>
      <c r="K29" s="20"/>
    </row>
    <row r="30" spans="1:21" ht="15.75" customHeight="1" x14ac:dyDescent="0.25">
      <c r="A30" s="4"/>
      <c r="B30" s="19" t="s">
        <v>134</v>
      </c>
      <c r="C30" s="4"/>
      <c r="D30" s="4" t="s">
        <v>151</v>
      </c>
      <c r="E30" s="4"/>
      <c r="F30" s="4"/>
      <c r="G30" s="4"/>
      <c r="H30" s="4"/>
      <c r="I30" s="4"/>
      <c r="J30" s="4"/>
      <c r="K30" s="20"/>
    </row>
    <row r="31" spans="1:21" ht="15.75" customHeight="1" x14ac:dyDescent="0.25">
      <c r="A31" s="4"/>
      <c r="B31" s="19" t="s">
        <v>135</v>
      </c>
      <c r="C31" s="4"/>
      <c r="D31" s="4"/>
      <c r="E31" s="4"/>
      <c r="F31" s="4"/>
      <c r="G31" s="4"/>
      <c r="H31" s="4"/>
      <c r="I31" s="4"/>
      <c r="J31" s="4"/>
      <c r="K31" s="20"/>
    </row>
    <row r="32" spans="1:21" ht="15.75" customHeight="1" x14ac:dyDescent="0.25">
      <c r="A32" s="4"/>
      <c r="B32" s="19" t="s">
        <v>136</v>
      </c>
      <c r="C32" s="4"/>
      <c r="D32" s="4"/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 t="s">
        <v>137</v>
      </c>
      <c r="C33" s="4"/>
      <c r="D33" s="4" t="s">
        <v>138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1" t="s">
        <v>139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4"/>
      <c r="B35" s="19"/>
      <c r="C35" s="4"/>
      <c r="D35" s="4" t="s">
        <v>140</v>
      </c>
      <c r="E35" s="4"/>
      <c r="F35" s="4"/>
      <c r="G35" s="4"/>
      <c r="H35" s="4"/>
      <c r="I35" s="4"/>
      <c r="J35" s="4"/>
      <c r="K35" s="20"/>
    </row>
    <row r="36" spans="1:11" ht="15.75" customHeight="1" x14ac:dyDescent="0.25">
      <c r="A36" s="63"/>
      <c r="B36" s="159" t="s">
        <v>141</v>
      </c>
      <c r="C36" s="89"/>
      <c r="D36" s="89"/>
      <c r="E36" s="89"/>
      <c r="F36" s="89"/>
      <c r="G36" s="89"/>
      <c r="H36" s="4"/>
      <c r="I36" s="4"/>
      <c r="J36" s="4"/>
      <c r="K36" s="20"/>
    </row>
    <row r="37" spans="1:11" ht="15.75" customHeight="1" x14ac:dyDescent="0.25">
      <c r="A37" s="63"/>
      <c r="B37" s="159" t="s">
        <v>142</v>
      </c>
      <c r="C37" s="89"/>
      <c r="D37" s="89"/>
      <c r="E37" s="89"/>
      <c r="F37" s="89"/>
      <c r="G37" s="89"/>
      <c r="H37" s="4"/>
      <c r="I37" s="4"/>
      <c r="J37" s="4"/>
      <c r="K37" s="20"/>
    </row>
    <row r="38" spans="1:11" ht="15.75" customHeight="1" x14ac:dyDescent="0.25">
      <c r="A38" s="37"/>
      <c r="B38" s="36" t="s">
        <v>143</v>
      </c>
      <c r="C38" s="64" t="str">
        <f>'input data'!B5</f>
        <v>AD2403250650768</v>
      </c>
      <c r="D38" s="37"/>
      <c r="E38" s="37"/>
      <c r="F38" s="37"/>
      <c r="G38" s="37"/>
      <c r="H38" s="4"/>
      <c r="I38" s="4"/>
      <c r="J38" s="4"/>
      <c r="K38" s="20"/>
    </row>
    <row r="39" spans="1:11" ht="15.75" customHeight="1" x14ac:dyDescent="0.25">
      <c r="A39" s="4"/>
      <c r="B39" s="19" t="s">
        <v>144</v>
      </c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19"/>
      <c r="C41" s="4"/>
      <c r="D41" s="4"/>
      <c r="E41" s="4"/>
      <c r="F41" s="4"/>
      <c r="G41" s="4"/>
      <c r="H41" s="4"/>
      <c r="I41" s="4"/>
      <c r="J41" s="4"/>
      <c r="K41" s="20"/>
    </row>
    <row r="42" spans="1:11" ht="15.75" customHeight="1" x14ac:dyDescent="0.25">
      <c r="A42" s="4"/>
      <c r="B42" s="30"/>
      <c r="C42" s="32"/>
      <c r="D42" s="32"/>
      <c r="E42" s="32"/>
      <c r="F42" s="32"/>
      <c r="G42" s="32"/>
      <c r="H42" s="32"/>
      <c r="I42" s="32"/>
      <c r="J42" s="32"/>
      <c r="K42" s="29"/>
    </row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7">
    <mergeCell ref="H20:I20"/>
    <mergeCell ref="J20:K20"/>
    <mergeCell ref="B37:G37"/>
    <mergeCell ref="B22:E22"/>
    <mergeCell ref="H21:I21"/>
    <mergeCell ref="B26:C26"/>
    <mergeCell ref="H22:I22"/>
    <mergeCell ref="J22:K22"/>
    <mergeCell ref="F19:G19"/>
    <mergeCell ref="H19:I19"/>
    <mergeCell ref="B36:G36"/>
    <mergeCell ref="B23:E23"/>
    <mergeCell ref="H23:I23"/>
    <mergeCell ref="J23:K23"/>
    <mergeCell ref="B24:C24"/>
    <mergeCell ref="J24:K24"/>
    <mergeCell ref="J19:K19"/>
    <mergeCell ref="B21:E21"/>
    <mergeCell ref="F21:G21"/>
    <mergeCell ref="B19:E19"/>
    <mergeCell ref="J21:K21"/>
    <mergeCell ref="B20:E20"/>
    <mergeCell ref="F20:G20"/>
    <mergeCell ref="B5:K5"/>
    <mergeCell ref="B7:K7"/>
    <mergeCell ref="B13:G13"/>
    <mergeCell ref="B14:G15"/>
    <mergeCell ref="F18:G18"/>
    <mergeCell ref="H18:I18"/>
    <mergeCell ref="J18:K18"/>
    <mergeCell ref="B18:E18"/>
    <mergeCell ref="C9:D9"/>
    <mergeCell ref="B1:K2"/>
    <mergeCell ref="R1:V1"/>
    <mergeCell ref="W1:Y1"/>
    <mergeCell ref="B3:K3"/>
    <mergeCell ref="B4:K4"/>
  </mergeCells>
  <pageMargins left="0.7" right="0.7" top="0.75" bottom="0.75" header="0" footer="0"/>
  <pageSetup scale="7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company data</vt:lpstr>
      <vt:lpstr>input data</vt:lpstr>
      <vt:lpstr>Invoice</vt:lpstr>
      <vt:lpstr>Sheet1</vt:lpstr>
      <vt:lpstr>Peacking List</vt:lpstr>
      <vt:lpstr>PO</vt:lpstr>
      <vt:lpstr>Sheet2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2025-11-22T08:47:11Z</cp:lastPrinted>
  <dcterms:created xsi:type="dcterms:W3CDTF">2022-11-23T06:47:43Z</dcterms:created>
  <dcterms:modified xsi:type="dcterms:W3CDTF">2025-11-22T08:48:01Z</dcterms:modified>
</cp:coreProperties>
</file>
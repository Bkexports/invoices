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2 BK042 December 25-26 CMK TRADING COMPANY LIMITED (Nhan Lee) G20 LINE POLISH (VS Trans) (MC)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3" r:id="rId3"/>
    <sheet name="Sheet2" sheetId="7" r:id="rId4"/>
    <sheet name="Sheet1" sheetId="6" r:id="rId5"/>
    <sheet name="Peacking List" sheetId="4" r:id="rId6"/>
    <sheet name="PO" sheetId="5" r:id="rId7"/>
  </sheets>
  <functionGroups builtInGroupCount="18"/>
  <definedNames>
    <definedName name="_xlnm.Print_Area" localSheetId="6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A30" i="7" l="1"/>
  <c r="I33" i="7"/>
  <c r="H25" i="7"/>
  <c r="E25" i="7"/>
  <c r="C25" i="7"/>
  <c r="H22" i="7"/>
  <c r="C22" i="7"/>
  <c r="A15" i="7"/>
  <c r="H12" i="7"/>
  <c r="E12" i="7"/>
  <c r="A12" i="7"/>
  <c r="H10" i="7"/>
  <c r="E10" i="7"/>
  <c r="H6" i="7"/>
  <c r="H4" i="7"/>
  <c r="A34" i="7"/>
  <c r="D6" i="6" l="1"/>
  <c r="D4" i="6"/>
  <c r="D3" i="6"/>
  <c r="F28" i="3" l="1"/>
  <c r="H28" i="3"/>
  <c r="Q20" i="5" l="1"/>
  <c r="Q19" i="5"/>
  <c r="O25" i="5" l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<sst xmlns="http://schemas.openxmlformats.org/spreadsheetml/2006/main" count="271" uniqueCount="181">
  <si>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</si>
  <si>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</si>
  <si>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</si>
  <si>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</si>
  <si>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</si>
  <si>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</si>
  <si>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</si>
  <si>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</si>
  <si>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</si>
  <si>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</si>
  <si>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</si>
  <si>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</si>
  <si>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</si>
  <si>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</si>
  <si>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</si>
  <si>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</si>
  <si>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</si>
  <si>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</si>
  <si>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</si>
  <si>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</si>
  <si>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</si>
  <si>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</si>
  <si>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</si>
  <si>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</si>
  <si>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</si>
  <si>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</si>
  <si>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</si>
  <si>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</si>
  <si>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</si>
  <si>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</si>
  <si>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</si>
  <si>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</si>
  <si>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</si>
  <si>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</si>
  <si>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</si>
  <si>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</si>
  <si>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</si>
  <si>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</si>
  <si>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</si>
  <si>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</si>
  <si>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</si>
  <si>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</si>
  <si>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</si>
  <si>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</si>
  <si>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</si>
  <si>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</si>
  <si>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</si>
  <si>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</si>
  <si>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</si>
  <si>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</si>
  <si>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</si>
  <si>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</si>
  <si>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</si>
  <si>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</si>
  <si>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</si>
  <si>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</si>
  <si>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</si>
  <si>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</si>
  <si>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</si>
  <si>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</si>
  <si>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</si>
  <si>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</si>
  <si>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</si>
  <si>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</si>
  <si>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</si>
  <si>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</si>
  <si>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</si>
  <si>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</si>
  <si>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</si>
  <si>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</si>
  <si>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</si>
  <si>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</si>
  <si>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</si>
  <si>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</si>
  <si>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</si>
  <si>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</si>
  <si>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</si>
  <si>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</si>
  <si>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</si>
  <si>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</si>
  <si>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</si>
  <si>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</si>
  <si>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</si>
  <si>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</si>
  <si>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</si>
  <si>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</si>
  <si>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</si>
  <si>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</si>
  <si>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</si>
  <si>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</si>
  <si>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</si>
  <si>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</si>
  <si>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</si>
  <si>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</si>
  <si>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</si>
  <si>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</si>
  <si>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</si>
  <si>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</si>
  <si>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</si>
  <si>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</si>
  <si>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</si>
  <si>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</si>
  <si>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</si>
  <si>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</si>
  <si>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</si>
  <si>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</si>
  <si>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</si>
  <si>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</si>
  <si>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</si>
  <si>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</si>
  <si>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</si>
  <si>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</si>
  <si>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</si>
  <si>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</si>
  <si>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</si>
  <si>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</si>
  <si>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</si>
  <si>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</si>
  <si>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</si>
  <si>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</si>
  <si>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</si>
  <si>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</si>
  <si>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</si>
  <si>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</si>
  <si>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</si>
  <si>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</si>
  <si>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</si>
  <si>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</si>
  <si>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</si>
  <si>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</si>
  <si>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</si>
  <si>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</si>
  <si>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</si>
  <si>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</si>
  <si>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</si>
  <si>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</si>
  <si>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</si>
  <si>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</si>
  <si>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</si>
  <si>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</si>
  <si>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</si>
  <si>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</si>
  <si>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</si>
  <si>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</si>
  <si>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</si>
  <si>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</si>
  <si>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</si>
  <si>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</si>
  <si>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</si>
  <si>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</si>
  <si>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</si>
  <si>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</si>
  <si>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</si>
  <si>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</si>
  <si>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</si>
  <si>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short</t>
  </si>
  <si>
    <t>long</t>
  </si>
  <si>
    <t>extra</t>
  </si>
  <si>
    <t>buyer</t>
  </si>
  <si>
    <t>supplier</t>
  </si>
  <si>
    <t>SQ FEET</t>
  </si>
  <si>
    <t>42</t>
  </si>
  <si>
    <t>CMK TRADING COMPANY LIMITED
ADD: No 60 street 64-TML, Quarter 1, Cat Lai Ward, Ho Chi Minh city, Vietnam
TAX ID : 0317762127
PHONE : +84 974778685
EMAIL : cmktrading.coltd@gmail.com</t>
  </si>
  <si>
    <t>CAT LAI</t>
  </si>
  <si>
    <t>WHSU2517410</t>
  </si>
  <si>
    <t>GST 0.1%</t>
  </si>
  <si>
    <t>PO042/25-26</t>
  </si>
  <si>
    <t>SARVA SIDDI VINAYAKA GRANITES</t>
  </si>
  <si>
    <t>Sy .NO 84/5A,5D &amp; 84-6, NARIGA PALLI  Village &amp; Post, 
Chittoor (M) &amp; District (A.P) 517002
GST NO : 37ADEFS4472M1ZI</t>
  </si>
  <si>
    <t>sr no</t>
  </si>
  <si>
    <t>qty</t>
  </si>
  <si>
    <t>rate</t>
  </si>
  <si>
    <t>total</t>
  </si>
  <si>
    <t>BK042 Account</t>
  </si>
  <si>
    <t>at port (70%)</t>
  </si>
  <si>
    <t>After inspection (30%)</t>
  </si>
  <si>
    <t>CREDIT NOTE</t>
  </si>
  <si>
    <t>CR NO.</t>
  </si>
  <si>
    <t>BK002/25-26</t>
  </si>
  <si>
    <t xml:space="preserve">    </t>
  </si>
  <si>
    <t>invoice number: BK042/25-26. DISCOUNT FOR DEFECT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</si>
</sst>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04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0" fillId="0" borderId="36" xfId="0" applyFont="1" applyBorder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6" fillId="0" borderId="37" xfId="0" applyFont="1" applyBorder="1" applyAlignment="1">
      <alignment horizontal="left"/>
    </xf>
  </cellXfs>
  <cellStyles count="1">
    <cellStyle name="Normal" xfId="0" builtinId="0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276225</xdr:colOff>
      <xdr:row>39</xdr:row>
      <xdr:rowOff>67777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267575"/>
          <a:ext cx="1861555" cy="7631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8" workbookViewId="0">
      <selection activeCell="B27" sqref="B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BK042/25-26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46003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8" t="s">
        <v>21</v>
      </c>
      <c r="B7" s="90" t="s">
        <v>162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9"/>
      <c r="B8" s="89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9"/>
      <c r="B9" s="89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9"/>
      <c r="B10" s="89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9"/>
      <c r="B11" s="89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9"/>
      <c r="B12" s="89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163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163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221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431.5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26.1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10" priority="1">
      <formula>LEN(TRIM(B1))=0</formula>
    </cfRule>
  </conditionalFormatting>
  <conditionalFormatting sqref="B5:B6">
    <cfRule type="containsText" dxfId="9" priority="2" operator="containsText" text="FALSE">
      <formula>NOT(ISERROR(SEARCH(("FALSE"),(B5))))</formula>
    </cfRule>
  </conditionalFormatting>
  <conditionalFormatting sqref="B5:B6">
    <cfRule type="containsText" dxfId="8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21" workbookViewId="0">
      <selection sqref="A1:J39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21" t="s">
        <v>37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93"/>
      <c r="B2" s="93"/>
      <c r="C2" s="93"/>
      <c r="D2" s="93"/>
      <c r="E2" s="93"/>
      <c r="F2" s="93"/>
      <c r="G2" s="93"/>
      <c r="H2" s="93"/>
      <c r="I2" s="93"/>
      <c r="J2" s="93"/>
    </row>
    <row r="3" spans="1:10" x14ac:dyDescent="0.25">
      <c r="A3" s="16" t="s">
        <v>38</v>
      </c>
      <c r="B3" s="17"/>
      <c r="C3" s="17"/>
      <c r="D3" s="18"/>
      <c r="E3" s="107" t="s">
        <v>39</v>
      </c>
      <c r="F3" s="97"/>
      <c r="G3" s="98"/>
      <c r="H3" s="107" t="s">
        <v>40</v>
      </c>
      <c r="I3" s="97"/>
      <c r="J3" s="98"/>
    </row>
    <row r="4" spans="1:10" x14ac:dyDescent="0.25">
      <c r="A4" s="19" t="s">
        <v>41</v>
      </c>
      <c r="B4" s="4"/>
      <c r="C4" s="4"/>
      <c r="D4" s="20"/>
      <c r="E4" s="122" t="str">
        <f>'input data'!B3</f>
        <v>BK042/25-26</v>
      </c>
      <c r="F4" s="93"/>
      <c r="G4" s="92"/>
      <c r="H4" s="123">
        <f>'input data'!B4</f>
        <v>46003</v>
      </c>
      <c r="I4" s="124"/>
      <c r="J4" s="125"/>
    </row>
    <row r="5" spans="1:10" x14ac:dyDescent="0.25">
      <c r="A5" s="21" t="s">
        <v>42</v>
      </c>
      <c r="B5" s="4"/>
      <c r="C5" s="4"/>
      <c r="D5" s="20"/>
      <c r="E5" s="107" t="s">
        <v>43</v>
      </c>
      <c r="F5" s="97"/>
      <c r="G5" s="98"/>
      <c r="H5" s="107" t="s">
        <v>44</v>
      </c>
      <c r="I5" s="97"/>
      <c r="J5" s="98"/>
    </row>
    <row r="6" spans="1:10" x14ac:dyDescent="0.25">
      <c r="A6" s="21" t="s">
        <v>45</v>
      </c>
      <c r="B6" s="4"/>
      <c r="C6" s="4"/>
      <c r="D6" s="20"/>
      <c r="E6" s="101"/>
      <c r="F6" s="93"/>
      <c r="G6" s="92"/>
      <c r="H6" s="126" t="str">
        <f>'input data'!B5</f>
        <v>AD2403250650768</v>
      </c>
      <c r="I6" s="93"/>
      <c r="J6" s="92"/>
    </row>
    <row r="7" spans="1:10" x14ac:dyDescent="0.25">
      <c r="A7" s="21" t="s">
        <v>46</v>
      </c>
      <c r="B7" s="4"/>
      <c r="C7" s="4"/>
      <c r="D7" s="20"/>
      <c r="E7" s="107" t="s">
        <v>47</v>
      </c>
      <c r="F7" s="97"/>
      <c r="G7" s="98"/>
      <c r="H7" s="107" t="s">
        <v>48</v>
      </c>
      <c r="I7" s="97"/>
      <c r="J7" s="98"/>
    </row>
    <row r="8" spans="1:10" x14ac:dyDescent="0.25">
      <c r="A8" s="19" t="s">
        <v>49</v>
      </c>
      <c r="B8" s="4"/>
      <c r="C8" s="4"/>
      <c r="D8" s="20"/>
      <c r="E8" s="101" t="s">
        <v>50</v>
      </c>
      <c r="F8" s="93"/>
      <c r="G8" s="92"/>
      <c r="H8" s="91" t="s">
        <v>51</v>
      </c>
      <c r="I8" s="93"/>
      <c r="J8" s="92"/>
    </row>
    <row r="9" spans="1:10" x14ac:dyDescent="0.25">
      <c r="A9" s="22" t="s">
        <v>52</v>
      </c>
      <c r="B9" s="4"/>
      <c r="C9" s="4"/>
      <c r="D9" s="20"/>
      <c r="E9" s="107" t="s">
        <v>53</v>
      </c>
      <c r="F9" s="97"/>
      <c r="G9" s="98"/>
      <c r="H9" s="107" t="s">
        <v>54</v>
      </c>
      <c r="I9" s="97"/>
      <c r="J9" s="98"/>
    </row>
    <row r="10" spans="1:10" x14ac:dyDescent="0.25">
      <c r="A10" s="22" t="s">
        <v>55</v>
      </c>
      <c r="B10" s="4"/>
      <c r="C10" s="4"/>
      <c r="D10" s="20"/>
      <c r="E10" s="111" t="str">
        <f>'input data'!B14</f>
        <v>Loose packing</v>
      </c>
      <c r="F10" s="89"/>
      <c r="G10" s="100"/>
      <c r="H10" s="111" t="str">
        <f>'input data'!B13 &amp; " " &amp; 'input data'!B15</f>
        <v>1 FCL</v>
      </c>
      <c r="I10" s="89"/>
      <c r="J10" s="100"/>
    </row>
    <row r="11" spans="1:10" x14ac:dyDescent="0.25">
      <c r="A11" s="115" t="s">
        <v>56</v>
      </c>
      <c r="B11" s="97"/>
      <c r="C11" s="97"/>
      <c r="D11" s="98"/>
      <c r="E11" s="132" t="s">
        <v>57</v>
      </c>
      <c r="F11" s="105"/>
      <c r="G11" s="106"/>
      <c r="H11" s="127" t="s">
        <v>58</v>
      </c>
      <c r="I11" s="105"/>
      <c r="J11" s="106"/>
    </row>
    <row r="12" spans="1:10" ht="15" customHeight="1" x14ac:dyDescent="0.25">
      <c r="A12" s="130" t="str">
        <f>'input data'!B6</f>
        <v>To the Order</v>
      </c>
      <c r="B12" s="89"/>
      <c r="C12" s="89"/>
      <c r="D12" s="100"/>
      <c r="E12" s="131" t="str">
        <f>'input data'!B16</f>
        <v>CNF</v>
      </c>
      <c r="F12" s="89"/>
      <c r="G12" s="100"/>
      <c r="H12" s="128" t="str">
        <f>'input data'!B17</f>
        <v>100% Against Documents</v>
      </c>
      <c r="I12" s="89"/>
      <c r="J12" s="100"/>
    </row>
    <row r="13" spans="1:10" x14ac:dyDescent="0.25">
      <c r="A13" s="19"/>
      <c r="B13" s="4"/>
      <c r="C13" s="4"/>
      <c r="D13" s="20"/>
      <c r="E13" s="103"/>
      <c r="F13" s="93"/>
      <c r="G13" s="92"/>
      <c r="H13" s="93"/>
      <c r="I13" s="93"/>
      <c r="J13" s="92"/>
    </row>
    <row r="14" spans="1:10" x14ac:dyDescent="0.25">
      <c r="A14" s="16" t="s">
        <v>59</v>
      </c>
      <c r="B14" s="17"/>
      <c r="C14" s="17"/>
      <c r="D14" s="18"/>
      <c r="E14" s="129" t="s">
        <v>60</v>
      </c>
      <c r="F14" s="97"/>
      <c r="G14" s="97"/>
      <c r="H14" s="97"/>
      <c r="I14" s="97"/>
      <c r="J14" s="98"/>
    </row>
    <row r="15" spans="1:10" x14ac:dyDescent="0.25">
      <c r="A15" s="133" t="str">
        <f>'input data'!B7</f>
        <v>CMK TRADING COMPANY LIMITED
ADD: No 60 street 64-TML, Quarter 1, Cat Lai Ward, Ho Chi Minh city, Vietnam
TAX ID : 0317762127
PHONE : +84 974778685
EMAIL : cmktrading.coltd@gmail.com</v>
      </c>
      <c r="B15" s="89"/>
      <c r="C15" s="89"/>
      <c r="D15" s="100"/>
      <c r="E15" s="99"/>
      <c r="F15" s="89"/>
      <c r="G15" s="89"/>
      <c r="H15" s="89"/>
      <c r="I15" s="89"/>
      <c r="J15" s="100"/>
    </row>
    <row r="16" spans="1:10" x14ac:dyDescent="0.25">
      <c r="A16" s="99"/>
      <c r="B16" s="89"/>
      <c r="C16" s="89"/>
      <c r="D16" s="100"/>
      <c r="E16" s="99"/>
      <c r="F16" s="89"/>
      <c r="G16" s="89"/>
      <c r="H16" s="89"/>
      <c r="I16" s="89"/>
      <c r="J16" s="100"/>
    </row>
    <row r="17" spans="1:15" x14ac:dyDescent="0.25">
      <c r="A17" s="99"/>
      <c r="B17" s="89"/>
      <c r="C17" s="89"/>
      <c r="D17" s="100"/>
      <c r="E17" s="99"/>
      <c r="F17" s="89"/>
      <c r="G17" s="89"/>
      <c r="H17" s="89"/>
      <c r="I17" s="89"/>
      <c r="J17" s="100"/>
    </row>
    <row r="18" spans="1:15" x14ac:dyDescent="0.25">
      <c r="A18" s="99"/>
      <c r="B18" s="89"/>
      <c r="C18" s="89"/>
      <c r="D18" s="100"/>
      <c r="E18" s="99"/>
      <c r="F18" s="89"/>
      <c r="G18" s="89"/>
      <c r="H18" s="89"/>
      <c r="I18" s="89"/>
      <c r="J18" s="100"/>
    </row>
    <row r="19" spans="1:15" x14ac:dyDescent="0.25">
      <c r="A19" s="99"/>
      <c r="B19" s="89"/>
      <c r="C19" s="89"/>
      <c r="D19" s="100"/>
      <c r="E19" s="99"/>
      <c r="F19" s="89"/>
      <c r="G19" s="89"/>
      <c r="H19" s="89"/>
      <c r="I19" s="89"/>
      <c r="J19" s="100"/>
    </row>
    <row r="20" spans="1:15" ht="48" customHeight="1" x14ac:dyDescent="0.25">
      <c r="A20" s="103"/>
      <c r="B20" s="93"/>
      <c r="C20" s="93"/>
      <c r="D20" s="92"/>
      <c r="E20" s="103"/>
      <c r="F20" s="93"/>
      <c r="G20" s="93"/>
      <c r="H20" s="93"/>
      <c r="I20" s="93"/>
      <c r="J20" s="92"/>
    </row>
    <row r="21" spans="1:15" ht="15.75" customHeight="1" x14ac:dyDescent="0.25">
      <c r="A21" s="134" t="s">
        <v>61</v>
      </c>
      <c r="B21" s="98"/>
      <c r="C21" s="134" t="s">
        <v>28</v>
      </c>
      <c r="D21" s="98"/>
      <c r="E21" s="134" t="s">
        <v>62</v>
      </c>
      <c r="F21" s="97"/>
      <c r="G21" s="98"/>
      <c r="H21" s="134" t="s">
        <v>32</v>
      </c>
      <c r="I21" s="97"/>
      <c r="J21" s="98"/>
    </row>
    <row r="22" spans="1:15" ht="14.25" customHeight="1" x14ac:dyDescent="0.25">
      <c r="A22" s="135" t="s">
        <v>63</v>
      </c>
      <c r="B22" s="100"/>
      <c r="C22" s="137" t="str">
        <f>'input data'!B19</f>
        <v>CHENNAI</v>
      </c>
      <c r="D22" s="100"/>
      <c r="E22" s="138" t="s">
        <v>64</v>
      </c>
      <c r="F22" s="89"/>
      <c r="G22" s="100"/>
      <c r="H22" s="138" t="str">
        <f>'input data'!B23</f>
        <v>VIETNAM</v>
      </c>
      <c r="I22" s="89"/>
      <c r="J22" s="100"/>
    </row>
    <row r="23" spans="1:15" ht="15" customHeight="1" x14ac:dyDescent="0.25">
      <c r="A23" s="139"/>
      <c r="B23" s="100"/>
      <c r="C23" s="103"/>
      <c r="D23" s="92"/>
      <c r="E23" s="103"/>
      <c r="F23" s="93"/>
      <c r="G23" s="92"/>
      <c r="H23" s="103"/>
      <c r="I23" s="93"/>
      <c r="J23" s="92"/>
    </row>
    <row r="24" spans="1:15" ht="15.75" customHeight="1" x14ac:dyDescent="0.25">
      <c r="A24" s="107" t="s">
        <v>65</v>
      </c>
      <c r="B24" s="98"/>
      <c r="C24" s="136" t="s">
        <v>29</v>
      </c>
      <c r="D24" s="98"/>
      <c r="E24" s="107" t="s">
        <v>30</v>
      </c>
      <c r="F24" s="97"/>
      <c r="G24" s="98"/>
      <c r="H24" s="136" t="s">
        <v>31</v>
      </c>
      <c r="I24" s="97"/>
      <c r="J24" s="98"/>
    </row>
    <row r="25" spans="1:15" ht="15.75" customHeight="1" x14ac:dyDescent="0.25">
      <c r="A25" s="101"/>
      <c r="B25" s="92"/>
      <c r="C25" s="91" t="str">
        <f>'input data'!B20</f>
        <v>CHENNAI</v>
      </c>
      <c r="D25" s="92"/>
      <c r="E25" s="91" t="str">
        <f>'input data'!B21</f>
        <v>CAT LAI</v>
      </c>
      <c r="F25" s="93"/>
      <c r="G25" s="92"/>
      <c r="H25" s="91" t="str">
        <f>'input data'!B22</f>
        <v>CAT LAI</v>
      </c>
      <c r="I25" s="93"/>
      <c r="J25" s="92"/>
    </row>
    <row r="26" spans="1:15" ht="15.75" customHeight="1" x14ac:dyDescent="0.25">
      <c r="A26" s="94" t="s">
        <v>66</v>
      </c>
      <c r="B26" s="96" t="s">
        <v>67</v>
      </c>
      <c r="C26" s="97"/>
      <c r="D26" s="98"/>
      <c r="E26" s="94" t="s">
        <v>68</v>
      </c>
      <c r="F26" s="107" t="s">
        <v>69</v>
      </c>
      <c r="G26" s="98"/>
      <c r="H26" s="25" t="s">
        <v>36</v>
      </c>
      <c r="I26" s="107" t="s">
        <v>70</v>
      </c>
      <c r="J26" s="98"/>
    </row>
    <row r="27" spans="1:15" ht="15.75" customHeight="1" thickBot="1" x14ac:dyDescent="0.3">
      <c r="A27" s="95"/>
      <c r="B27" s="99"/>
      <c r="C27" s="89"/>
      <c r="D27" s="100"/>
      <c r="E27" s="95"/>
      <c r="F27" s="91" t="s">
        <v>71</v>
      </c>
      <c r="G27" s="92"/>
      <c r="H27" s="76" t="s">
        <v>71</v>
      </c>
      <c r="I27" s="91" t="s">
        <v>72</v>
      </c>
      <c r="J27" s="92"/>
    </row>
    <row r="28" spans="1:15" ht="15.75" customHeight="1" thickBot="1" x14ac:dyDescent="0.3">
      <c r="A28" s="27">
        <v>1</v>
      </c>
      <c r="B28" s="104" t="str">
        <f>'input data'!B18</f>
        <v>NATURAL POLISHED GRANITE SLABS</v>
      </c>
      <c r="C28" s="105"/>
      <c r="D28" s="106"/>
      <c r="E28" s="28">
        <v>68022390</v>
      </c>
      <c r="F28" s="108">
        <f>'input data'!B26</f>
        <v>431.5</v>
      </c>
      <c r="G28" s="105"/>
      <c r="H28" s="74">
        <f>'input data'!B27</f>
        <v>26.1</v>
      </c>
      <c r="I28" s="118">
        <f>H28*F28</f>
        <v>11262.150000000001</v>
      </c>
      <c r="J28" s="106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19" t="s">
        <v>151</v>
      </c>
      <c r="I29" s="69"/>
      <c r="J29" s="20"/>
    </row>
    <row r="30" spans="1:15" ht="15.75" customHeight="1" x14ac:dyDescent="0.25">
      <c r="A30" s="111" t="str">
        <f>UPPER('input data'!B24)</f>
        <v>WHSU2517410</v>
      </c>
      <c r="B30" s="89"/>
      <c r="C30" s="3">
        <f>'input data'!B25</f>
        <v>221</v>
      </c>
      <c r="D30" s="4" t="s">
        <v>75</v>
      </c>
      <c r="E30" s="4" t="s">
        <v>76</v>
      </c>
      <c r="F30" s="4"/>
      <c r="G30" s="69"/>
      <c r="H30" s="119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9"/>
      <c r="G31" s="110"/>
      <c r="H31" s="119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20"/>
      <c r="I32" s="116"/>
      <c r="J32" s="117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14">
        <f>SUM(I28:J32)</f>
        <v>11262.150000000001</v>
      </c>
      <c r="J33" s="98"/>
    </row>
    <row r="34" spans="1:10" ht="15.75" customHeight="1" thickBot="1" x14ac:dyDescent="0.3">
      <c r="A34" s="33" t="str">
        <f>SpellNumberUSD(I33)</f>
        <v>Eleven Thousand Two Hundred Sixty Two Dollars and Fifteen Cents</v>
      </c>
      <c r="B34" s="32"/>
      <c r="C34" s="32"/>
      <c r="D34" s="32"/>
      <c r="E34" s="32"/>
      <c r="F34" s="32"/>
      <c r="G34" s="32"/>
      <c r="H34" s="29"/>
      <c r="I34" s="103"/>
      <c r="J34" s="92"/>
    </row>
    <row r="35" spans="1:10" ht="15.75" customHeight="1" x14ac:dyDescent="0.25">
      <c r="A35" s="112" t="s">
        <v>78</v>
      </c>
      <c r="B35" s="97"/>
      <c r="C35" s="97"/>
      <c r="D35" s="98"/>
      <c r="E35" s="115" t="s">
        <v>79</v>
      </c>
      <c r="F35" s="97"/>
      <c r="G35" s="97"/>
      <c r="H35" s="97"/>
      <c r="I35" s="97"/>
      <c r="J35" s="98"/>
    </row>
    <row r="36" spans="1:10" ht="19.5" customHeight="1" x14ac:dyDescent="0.25">
      <c r="A36" s="113" t="s">
        <v>80</v>
      </c>
      <c r="B36" s="89"/>
      <c r="C36" s="89"/>
      <c r="D36" s="100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99"/>
      <c r="B37" s="89"/>
      <c r="C37" s="89"/>
      <c r="D37" s="100"/>
      <c r="E37" s="19"/>
      <c r="F37" s="4"/>
      <c r="G37" s="4"/>
      <c r="H37" s="4"/>
      <c r="I37" s="4"/>
      <c r="J37" s="20"/>
    </row>
    <row r="38" spans="1:10" ht="15.75" customHeight="1" x14ac:dyDescent="0.25">
      <c r="A38" s="102" t="s">
        <v>82</v>
      </c>
      <c r="B38" s="89"/>
      <c r="C38" s="89"/>
      <c r="D38" s="100"/>
      <c r="E38" s="19"/>
      <c r="F38" s="4"/>
      <c r="G38" s="4"/>
      <c r="H38" s="4"/>
      <c r="I38" s="4"/>
      <c r="J38" s="20"/>
    </row>
    <row r="39" spans="1:10" ht="18.75" customHeight="1" x14ac:dyDescent="0.25">
      <c r="A39" s="103"/>
      <c r="B39" s="93"/>
      <c r="C39" s="93"/>
      <c r="D39" s="92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7" priority="2">
      <formula>LEN(TRIM(A30))=0</formula>
    </cfRule>
  </conditionalFormatting>
  <conditionalFormatting sqref="C30">
    <cfRule type="containsBlanks" dxfId="6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9"/>
  <sheetViews>
    <sheetView tabSelected="1" view="pageBreakPreview" topLeftCell="A7" zoomScale="60" zoomScaleNormal="100" workbookViewId="0">
      <selection activeCell="L29" sqref="L29"/>
    </sheetView>
  </sheetViews>
  <sheetFormatPr defaultRowHeight="15" x14ac:dyDescent="0.25"/>
  <sheetData>
    <row r="1" spans="1:10" x14ac:dyDescent="0.25">
      <c r="A1" s="121" t="s">
        <v>176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ht="15.75" thickBot="1" x14ac:dyDescent="0.3">
      <c r="A2" s="93"/>
      <c r="B2" s="93"/>
      <c r="C2" s="93"/>
      <c r="D2" s="93"/>
      <c r="E2" s="93"/>
      <c r="F2" s="93"/>
      <c r="G2" s="93"/>
      <c r="H2" s="93"/>
      <c r="I2" s="93"/>
      <c r="J2" s="93"/>
    </row>
    <row r="3" spans="1:10" x14ac:dyDescent="0.25">
      <c r="A3" s="16" t="s">
        <v>38</v>
      </c>
      <c r="B3" s="17"/>
      <c r="C3" s="17"/>
      <c r="D3" s="18"/>
      <c r="E3" s="107" t="s">
        <v>177</v>
      </c>
      <c r="F3" s="97"/>
      <c r="G3" s="98"/>
      <c r="H3" s="107" t="s">
        <v>40</v>
      </c>
      <c r="I3" s="97"/>
      <c r="J3" s="98"/>
    </row>
    <row r="4" spans="1:10" ht="15.75" thickBot="1" x14ac:dyDescent="0.3">
      <c r="A4" s="19" t="s">
        <v>41</v>
      </c>
      <c r="B4" s="4"/>
      <c r="C4" s="4"/>
      <c r="D4" s="20"/>
      <c r="E4" s="122" t="s">
        <v>178</v>
      </c>
      <c r="F4" s="93"/>
      <c r="G4" s="92"/>
      <c r="H4" s="123">
        <f>'input data'!B4</f>
        <v>46003</v>
      </c>
      <c r="I4" s="124"/>
      <c r="J4" s="125"/>
    </row>
    <row r="5" spans="1:10" x14ac:dyDescent="0.25">
      <c r="A5" s="21" t="s">
        <v>42</v>
      </c>
      <c r="B5" s="4"/>
      <c r="C5" s="4"/>
      <c r="D5" s="20"/>
      <c r="E5" s="107" t="s">
        <v>43</v>
      </c>
      <c r="F5" s="97"/>
      <c r="G5" s="98"/>
      <c r="H5" s="107" t="s">
        <v>44</v>
      </c>
      <c r="I5" s="97"/>
      <c r="J5" s="98"/>
    </row>
    <row r="6" spans="1:10" ht="15.75" thickBot="1" x14ac:dyDescent="0.3">
      <c r="A6" s="21" t="s">
        <v>45</v>
      </c>
      <c r="B6" s="4"/>
      <c r="C6" s="4"/>
      <c r="D6" s="20"/>
      <c r="E6" s="101"/>
      <c r="F6" s="93"/>
      <c r="G6" s="92"/>
      <c r="H6" s="126" t="str">
        <f>'input data'!B5</f>
        <v>AD2403250650768</v>
      </c>
      <c r="I6" s="93"/>
      <c r="J6" s="92"/>
    </row>
    <row r="7" spans="1:10" x14ac:dyDescent="0.25">
      <c r="A7" s="21" t="s">
        <v>46</v>
      </c>
      <c r="B7" s="4"/>
      <c r="C7" s="4"/>
      <c r="D7" s="20"/>
      <c r="E7" s="107" t="s">
        <v>47</v>
      </c>
      <c r="F7" s="97"/>
      <c r="G7" s="98"/>
      <c r="H7" s="107" t="s">
        <v>48</v>
      </c>
      <c r="I7" s="97"/>
      <c r="J7" s="98"/>
    </row>
    <row r="8" spans="1:10" ht="15.75" thickBot="1" x14ac:dyDescent="0.3">
      <c r="A8" s="19" t="s">
        <v>49</v>
      </c>
      <c r="B8" s="4"/>
      <c r="C8" s="4"/>
      <c r="D8" s="20"/>
      <c r="E8" s="101" t="s">
        <v>50</v>
      </c>
      <c r="F8" s="93"/>
      <c r="G8" s="92"/>
      <c r="H8" s="91" t="s">
        <v>51</v>
      </c>
      <c r="I8" s="93"/>
      <c r="J8" s="92"/>
    </row>
    <row r="9" spans="1:10" x14ac:dyDescent="0.25">
      <c r="A9" s="22" t="s">
        <v>52</v>
      </c>
      <c r="B9" s="4"/>
      <c r="C9" s="4"/>
      <c r="D9" s="20"/>
      <c r="E9" s="107" t="s">
        <v>53</v>
      </c>
      <c r="F9" s="97"/>
      <c r="G9" s="98"/>
      <c r="H9" s="107" t="s">
        <v>54</v>
      </c>
      <c r="I9" s="97"/>
      <c r="J9" s="98"/>
    </row>
    <row r="10" spans="1:10" ht="15.75" thickBot="1" x14ac:dyDescent="0.3">
      <c r="A10" s="22" t="s">
        <v>55</v>
      </c>
      <c r="B10" s="4"/>
      <c r="C10" s="4"/>
      <c r="D10" s="20"/>
      <c r="E10" s="111" t="str">
        <f>'input data'!B14</f>
        <v>Loose packing</v>
      </c>
      <c r="F10" s="89"/>
      <c r="G10" s="100"/>
      <c r="H10" s="111" t="str">
        <f>'input data'!B13 &amp; " " &amp; 'input data'!B15</f>
        <v>1 FCL</v>
      </c>
      <c r="I10" s="89"/>
      <c r="J10" s="100"/>
    </row>
    <row r="11" spans="1:10" ht="15.75" thickBot="1" x14ac:dyDescent="0.3">
      <c r="A11" s="115" t="s">
        <v>56</v>
      </c>
      <c r="B11" s="97"/>
      <c r="C11" s="97"/>
      <c r="D11" s="98"/>
      <c r="E11" s="132" t="s">
        <v>57</v>
      </c>
      <c r="F11" s="105"/>
      <c r="G11" s="106"/>
      <c r="H11" s="127" t="s">
        <v>58</v>
      </c>
      <c r="I11" s="105"/>
      <c r="J11" s="106"/>
    </row>
    <row r="12" spans="1:10" x14ac:dyDescent="0.25">
      <c r="A12" s="130" t="str">
        <f>'input data'!B6</f>
        <v>To the Order</v>
      </c>
      <c r="B12" s="89"/>
      <c r="C12" s="89"/>
      <c r="D12" s="100"/>
      <c r="E12" s="131" t="str">
        <f>'input data'!B16</f>
        <v>CNF</v>
      </c>
      <c r="F12" s="89"/>
      <c r="G12" s="100"/>
      <c r="H12" s="128" t="str">
        <f>'input data'!B17</f>
        <v>100% Against Documents</v>
      </c>
      <c r="I12" s="89"/>
      <c r="J12" s="100"/>
    </row>
    <row r="13" spans="1:10" ht="15.75" thickBot="1" x14ac:dyDescent="0.3">
      <c r="A13" s="19"/>
      <c r="B13" s="4"/>
      <c r="C13" s="4"/>
      <c r="D13" s="20"/>
      <c r="E13" s="103"/>
      <c r="F13" s="93"/>
      <c r="G13" s="92"/>
      <c r="H13" s="93"/>
      <c r="I13" s="93"/>
      <c r="J13" s="92"/>
    </row>
    <row r="14" spans="1:10" x14ac:dyDescent="0.25">
      <c r="A14" s="16" t="s">
        <v>59</v>
      </c>
      <c r="B14" s="17"/>
      <c r="C14" s="17"/>
      <c r="D14" s="18"/>
      <c r="E14" s="129" t="s">
        <v>60</v>
      </c>
      <c r="F14" s="97"/>
      <c r="G14" s="97"/>
      <c r="H14" s="97"/>
      <c r="I14" s="97"/>
      <c r="J14" s="98"/>
    </row>
    <row r="15" spans="1:10" x14ac:dyDescent="0.25">
      <c r="A15" s="133" t="str">
        <f>'input data'!B7</f>
        <v>CMK TRADING COMPANY LIMITED
ADD: No 60 street 64-TML, Quarter 1, Cat Lai Ward, Ho Chi Minh city, Vietnam
TAX ID : 0317762127
PHONE : +84 974778685
EMAIL : cmktrading.coltd@gmail.com</v>
      </c>
      <c r="B15" s="89"/>
      <c r="C15" s="89"/>
      <c r="D15" s="100"/>
      <c r="E15" s="99"/>
      <c r="F15" s="89"/>
      <c r="G15" s="89"/>
      <c r="H15" s="89"/>
      <c r="I15" s="89"/>
      <c r="J15" s="100"/>
    </row>
    <row r="16" spans="1:10" x14ac:dyDescent="0.25">
      <c r="A16" s="99"/>
      <c r="B16" s="89"/>
      <c r="C16" s="89"/>
      <c r="D16" s="100"/>
      <c r="E16" s="99"/>
      <c r="F16" s="89"/>
      <c r="G16" s="89"/>
      <c r="H16" s="89"/>
      <c r="I16" s="89"/>
      <c r="J16" s="100"/>
    </row>
    <row r="17" spans="1:10" x14ac:dyDescent="0.25">
      <c r="A17" s="99"/>
      <c r="B17" s="89"/>
      <c r="C17" s="89"/>
      <c r="D17" s="100"/>
      <c r="E17" s="99"/>
      <c r="F17" s="89"/>
      <c r="G17" s="89"/>
      <c r="H17" s="89"/>
      <c r="I17" s="89"/>
      <c r="J17" s="100"/>
    </row>
    <row r="18" spans="1:10" x14ac:dyDescent="0.25">
      <c r="A18" s="99"/>
      <c r="B18" s="89"/>
      <c r="C18" s="89"/>
      <c r="D18" s="100"/>
      <c r="E18" s="99"/>
      <c r="F18" s="89"/>
      <c r="G18" s="89"/>
      <c r="H18" s="89"/>
      <c r="I18" s="89"/>
      <c r="J18" s="100"/>
    </row>
    <row r="19" spans="1:10" x14ac:dyDescent="0.25">
      <c r="A19" s="99"/>
      <c r="B19" s="89"/>
      <c r="C19" s="89"/>
      <c r="D19" s="100"/>
      <c r="E19" s="99"/>
      <c r="F19" s="89"/>
      <c r="G19" s="89"/>
      <c r="H19" s="89"/>
      <c r="I19" s="89"/>
      <c r="J19" s="100"/>
    </row>
    <row r="20" spans="1:10" ht="15.75" thickBot="1" x14ac:dyDescent="0.3">
      <c r="A20" s="103"/>
      <c r="B20" s="93"/>
      <c r="C20" s="93"/>
      <c r="D20" s="92"/>
      <c r="E20" s="103"/>
      <c r="F20" s="93"/>
      <c r="G20" s="93"/>
      <c r="H20" s="93"/>
      <c r="I20" s="93"/>
      <c r="J20" s="92"/>
    </row>
    <row r="21" spans="1:10" x14ac:dyDescent="0.25">
      <c r="A21" s="134" t="s">
        <v>61</v>
      </c>
      <c r="B21" s="98"/>
      <c r="C21" s="134" t="s">
        <v>28</v>
      </c>
      <c r="D21" s="98"/>
      <c r="E21" s="134" t="s">
        <v>62</v>
      </c>
      <c r="F21" s="97"/>
      <c r="G21" s="98"/>
      <c r="H21" s="134" t="s">
        <v>32</v>
      </c>
      <c r="I21" s="97"/>
      <c r="J21" s="98"/>
    </row>
    <row r="22" spans="1:10" x14ac:dyDescent="0.25">
      <c r="A22" s="135" t="s">
        <v>63</v>
      </c>
      <c r="B22" s="100"/>
      <c r="C22" s="137" t="str">
        <f>'input data'!B19</f>
        <v>CHENNAI</v>
      </c>
      <c r="D22" s="100"/>
      <c r="E22" s="138" t="s">
        <v>64</v>
      </c>
      <c r="F22" s="89"/>
      <c r="G22" s="100"/>
      <c r="H22" s="138" t="str">
        <f>'input data'!B23</f>
        <v>VIETNAM</v>
      </c>
      <c r="I22" s="89"/>
      <c r="J22" s="100"/>
    </row>
    <row r="23" spans="1:10" ht="15.75" thickBot="1" x14ac:dyDescent="0.3">
      <c r="A23" s="139"/>
      <c r="B23" s="100"/>
      <c r="C23" s="103"/>
      <c r="D23" s="92"/>
      <c r="E23" s="103"/>
      <c r="F23" s="93"/>
      <c r="G23" s="92"/>
      <c r="H23" s="103"/>
      <c r="I23" s="93"/>
      <c r="J23" s="92"/>
    </row>
    <row r="24" spans="1:10" x14ac:dyDescent="0.25">
      <c r="A24" s="107" t="s">
        <v>65</v>
      </c>
      <c r="B24" s="98"/>
      <c r="C24" s="136" t="s">
        <v>29</v>
      </c>
      <c r="D24" s="98"/>
      <c r="E24" s="107" t="s">
        <v>30</v>
      </c>
      <c r="F24" s="97"/>
      <c r="G24" s="98"/>
      <c r="H24" s="136" t="s">
        <v>31</v>
      </c>
      <c r="I24" s="97"/>
      <c r="J24" s="98"/>
    </row>
    <row r="25" spans="1:10" ht="15.75" thickBot="1" x14ac:dyDescent="0.3">
      <c r="A25" s="101"/>
      <c r="B25" s="92"/>
      <c r="C25" s="91" t="str">
        <f>'input data'!B20</f>
        <v>CHENNAI</v>
      </c>
      <c r="D25" s="92"/>
      <c r="E25" s="91" t="str">
        <f>'input data'!B21</f>
        <v>CAT LAI</v>
      </c>
      <c r="F25" s="93"/>
      <c r="G25" s="92"/>
      <c r="H25" s="91" t="str">
        <f>'input data'!B22</f>
        <v>CAT LAI</v>
      </c>
      <c r="I25" s="93"/>
      <c r="J25" s="92"/>
    </row>
    <row r="26" spans="1:10" x14ac:dyDescent="0.25">
      <c r="A26" s="94" t="s">
        <v>66</v>
      </c>
      <c r="B26" s="96" t="s">
        <v>67</v>
      </c>
      <c r="C26" s="198"/>
      <c r="D26" s="198"/>
      <c r="E26" s="198"/>
      <c r="F26" s="198"/>
      <c r="G26" s="199"/>
      <c r="H26" s="25" t="s">
        <v>36</v>
      </c>
      <c r="I26" s="107" t="s">
        <v>70</v>
      </c>
      <c r="J26" s="98"/>
    </row>
    <row r="27" spans="1:10" ht="15.75" thickBot="1" x14ac:dyDescent="0.3">
      <c r="A27" s="95"/>
      <c r="B27" s="200"/>
      <c r="C27" s="201"/>
      <c r="D27" s="201"/>
      <c r="E27" s="201"/>
      <c r="F27" s="201"/>
      <c r="G27" s="202"/>
      <c r="H27" s="76" t="s">
        <v>71</v>
      </c>
      <c r="I27" s="91" t="s">
        <v>72</v>
      </c>
      <c r="J27" s="92"/>
    </row>
    <row r="28" spans="1:10" ht="15.75" thickBot="1" x14ac:dyDescent="0.3">
      <c r="A28" s="27">
        <v>1</v>
      </c>
      <c r="B28" s="163" t="s">
        <v>180</v>
      </c>
      <c r="C28" s="189"/>
      <c r="D28" s="189"/>
      <c r="E28" s="189"/>
      <c r="F28" s="189"/>
      <c r="G28" s="203"/>
      <c r="H28" s="74"/>
      <c r="I28" s="118">
        <v>152.26</v>
      </c>
      <c r="J28" s="106"/>
    </row>
    <row r="29" spans="1:10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19" t="s">
        <v>151</v>
      </c>
      <c r="I29" s="69"/>
      <c r="J29" s="20"/>
    </row>
    <row r="30" spans="1:10" x14ac:dyDescent="0.25">
      <c r="A30" s="111" t="str">
        <f>UPPER('input data'!B24)</f>
        <v>WHSU2517410</v>
      </c>
      <c r="B30" s="89"/>
      <c r="C30" s="15" t="s">
        <v>179</v>
      </c>
      <c r="D30" s="4"/>
      <c r="E30" s="4"/>
      <c r="F30" s="4"/>
      <c r="G30" s="69"/>
      <c r="H30" s="119"/>
      <c r="I30" s="69"/>
      <c r="J30" s="20"/>
    </row>
    <row r="31" spans="1:10" ht="15.75" thickBot="1" x14ac:dyDescent="0.3">
      <c r="A31" s="19"/>
      <c r="B31" s="4"/>
      <c r="C31" s="4"/>
      <c r="D31" s="4"/>
      <c r="E31" s="4"/>
      <c r="F31" s="109"/>
      <c r="G31" s="110"/>
      <c r="H31" s="119"/>
      <c r="I31" s="69"/>
      <c r="J31" s="20"/>
    </row>
    <row r="32" spans="1:10" ht="15.75" thickBot="1" x14ac:dyDescent="0.3">
      <c r="A32" s="30"/>
      <c r="B32" s="32"/>
      <c r="C32" s="32"/>
      <c r="D32" s="32"/>
      <c r="E32" s="32"/>
      <c r="F32" s="32"/>
      <c r="G32" s="70"/>
      <c r="H32" s="120"/>
      <c r="I32" s="116"/>
      <c r="J32" s="117"/>
    </row>
    <row r="33" spans="1:10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14">
        <f>SUM(I28:J32)</f>
        <v>152.26</v>
      </c>
      <c r="J33" s="98"/>
    </row>
    <row r="34" spans="1:10" ht="15.75" thickBot="1" x14ac:dyDescent="0.3">
      <c r="A34" s="33" t="str">
        <f>SpellNumberUSD(I33)</f>
        <v>One Hundred Fifty Two Dollars and Twenty Six Cents</v>
      </c>
      <c r="B34" s="32"/>
      <c r="C34" s="32"/>
      <c r="D34" s="32"/>
      <c r="E34" s="32"/>
      <c r="F34" s="32"/>
      <c r="G34" s="32"/>
      <c r="H34" s="29"/>
      <c r="I34" s="103"/>
      <c r="J34" s="92"/>
    </row>
    <row r="35" spans="1:10" x14ac:dyDescent="0.25">
      <c r="A35" s="112" t="s">
        <v>78</v>
      </c>
      <c r="B35" s="97"/>
      <c r="C35" s="97"/>
      <c r="D35" s="98"/>
      <c r="E35" s="115" t="s">
        <v>79</v>
      </c>
      <c r="F35" s="97"/>
      <c r="G35" s="97"/>
      <c r="H35" s="97"/>
      <c r="I35" s="97"/>
      <c r="J35" s="98"/>
    </row>
    <row r="36" spans="1:10" x14ac:dyDescent="0.25">
      <c r="A36" s="113" t="s">
        <v>80</v>
      </c>
      <c r="B36" s="89"/>
      <c r="C36" s="89"/>
      <c r="D36" s="100"/>
      <c r="E36" s="19" t="s">
        <v>81</v>
      </c>
      <c r="F36" s="4"/>
      <c r="G36" s="4"/>
      <c r="H36" s="4"/>
      <c r="I36" s="4"/>
      <c r="J36" s="20"/>
    </row>
    <row r="37" spans="1:10" x14ac:dyDescent="0.25">
      <c r="A37" s="99"/>
      <c r="B37" s="89"/>
      <c r="C37" s="89"/>
      <c r="D37" s="100"/>
      <c r="E37" s="19"/>
      <c r="F37" s="4"/>
      <c r="G37" s="4"/>
      <c r="H37" s="4"/>
      <c r="I37" s="4"/>
      <c r="J37" s="20"/>
    </row>
    <row r="38" spans="1:10" x14ac:dyDescent="0.25">
      <c r="A38" s="102" t="s">
        <v>82</v>
      </c>
      <c r="B38" s="89"/>
      <c r="C38" s="89"/>
      <c r="D38" s="100"/>
      <c r="E38" s="19"/>
      <c r="F38" s="4"/>
      <c r="G38" s="4"/>
      <c r="H38" s="4"/>
      <c r="I38" s="4"/>
      <c r="J38" s="20"/>
    </row>
    <row r="39" spans="1:10" ht="15.75" thickBot="1" x14ac:dyDescent="0.3">
      <c r="A39" s="103"/>
      <c r="B39" s="93"/>
      <c r="C39" s="93"/>
      <c r="D39" s="92"/>
      <c r="E39" s="30" t="s">
        <v>83</v>
      </c>
      <c r="F39" s="32"/>
      <c r="G39" s="32"/>
      <c r="H39" s="32"/>
      <c r="I39" s="32"/>
      <c r="J39" s="29"/>
    </row>
  </sheetData>
  <mergeCells count="57">
    <mergeCell ref="I33:J34"/>
    <mergeCell ref="A35:D35"/>
    <mergeCell ref="E35:J35"/>
    <mergeCell ref="A36:D37"/>
    <mergeCell ref="A38:D39"/>
    <mergeCell ref="B28:G28"/>
    <mergeCell ref="I27:J27"/>
    <mergeCell ref="I28:J28"/>
    <mergeCell ref="H29:H32"/>
    <mergeCell ref="A30:B30"/>
    <mergeCell ref="F31:G31"/>
    <mergeCell ref="I32:J32"/>
    <mergeCell ref="B26:G27"/>
    <mergeCell ref="A25:B25"/>
    <mergeCell ref="C25:D25"/>
    <mergeCell ref="E25:G25"/>
    <mergeCell ref="H25:J25"/>
    <mergeCell ref="A26:A27"/>
    <mergeCell ref="I26:J26"/>
    <mergeCell ref="A22:B22"/>
    <mergeCell ref="C22:D23"/>
    <mergeCell ref="E22:G23"/>
    <mergeCell ref="H22:J23"/>
    <mergeCell ref="A23:B23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E9:G9"/>
    <mergeCell ref="H9:J9"/>
    <mergeCell ref="E10:G10"/>
    <mergeCell ref="H10:J10"/>
    <mergeCell ref="A11:D11"/>
    <mergeCell ref="E11:G11"/>
    <mergeCell ref="H11:J11"/>
    <mergeCell ref="E6:G6"/>
    <mergeCell ref="H6:J6"/>
    <mergeCell ref="E7:G7"/>
    <mergeCell ref="H7:J7"/>
    <mergeCell ref="E8:G8"/>
    <mergeCell ref="H8:J8"/>
    <mergeCell ref="A1:J2"/>
    <mergeCell ref="E3:G3"/>
    <mergeCell ref="H3:J3"/>
    <mergeCell ref="E4:G4"/>
    <mergeCell ref="H4:J4"/>
    <mergeCell ref="E5:G5"/>
    <mergeCell ref="H5:J5"/>
  </mergeCells>
  <conditionalFormatting sqref="A30:B30">
    <cfRule type="containsBlanks" dxfId="5" priority="2">
      <formula>LEN(TRIM(A30))=0</formula>
    </cfRule>
  </conditionalFormatting>
  <hyperlinks>
    <hyperlink ref="A9" r:id="rId1"/>
    <hyperlink ref="A10" r:id="rId2"/>
  </hyperlinks>
  <pageMargins left="0.7" right="0.7" top="0.75" bottom="0.75" header="0.3" footer="0.3"/>
  <pageSetup scale="98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workbookViewId="0">
      <selection activeCell="F13" sqref="F13"/>
    </sheetView>
  </sheetViews>
  <sheetFormatPr defaultRowHeight="15" x14ac:dyDescent="0.25"/>
  <sheetData>
    <row r="1" spans="1:4" x14ac:dyDescent="0.25">
      <c r="A1" s="140" t="s">
        <v>173</v>
      </c>
      <c r="B1" s="140"/>
      <c r="C1" s="140"/>
      <c r="D1" s="140"/>
    </row>
    <row r="2" spans="1:4" x14ac:dyDescent="0.25">
      <c r="A2" s="87" t="s">
        <v>169</v>
      </c>
      <c r="B2" s="87" t="s">
        <v>170</v>
      </c>
      <c r="C2" s="87" t="s">
        <v>171</v>
      </c>
      <c r="D2" s="87" t="s">
        <v>172</v>
      </c>
    </row>
    <row r="3" spans="1:4" x14ac:dyDescent="0.25">
      <c r="A3" s="87">
        <v>1</v>
      </c>
      <c r="B3" s="87">
        <v>431.5</v>
      </c>
      <c r="C3" s="87">
        <v>26.1</v>
      </c>
      <c r="D3" s="87">
        <f>B3*C3</f>
        <v>11262.150000000001</v>
      </c>
    </row>
    <row r="4" spans="1:4" x14ac:dyDescent="0.25">
      <c r="A4" s="140" t="s">
        <v>172</v>
      </c>
      <c r="B4" s="140"/>
      <c r="C4" s="140"/>
      <c r="D4" s="87">
        <f>D3</f>
        <v>11262.150000000001</v>
      </c>
    </row>
    <row r="5" spans="1:4" x14ac:dyDescent="0.25">
      <c r="A5" s="140" t="s">
        <v>174</v>
      </c>
      <c r="B5" s="140"/>
      <c r="C5" s="140"/>
      <c r="D5" s="87">
        <v>7883.5</v>
      </c>
    </row>
    <row r="6" spans="1:4" x14ac:dyDescent="0.25">
      <c r="A6" s="140" t="s">
        <v>175</v>
      </c>
      <c r="B6" s="140"/>
      <c r="C6" s="140"/>
      <c r="D6" s="87">
        <f>D4-D5</f>
        <v>3378.6500000000015</v>
      </c>
    </row>
  </sheetData>
  <mergeCells count="4">
    <mergeCell ref="A1:D1"/>
    <mergeCell ref="A4:C4"/>
    <mergeCell ref="A5:C5"/>
    <mergeCell ref="A6:C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0"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8" t="s">
        <v>84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15" t="s">
        <v>85</v>
      </c>
      <c r="B2" s="97"/>
      <c r="C2" s="97"/>
      <c r="D2" s="97"/>
      <c r="E2" s="97"/>
      <c r="F2" s="98"/>
      <c r="G2" s="107" t="s">
        <v>39</v>
      </c>
      <c r="H2" s="98"/>
      <c r="I2" s="141" t="s">
        <v>40</v>
      </c>
      <c r="J2" s="98"/>
    </row>
    <row r="3" spans="1:10" ht="15.75" x14ac:dyDescent="0.25">
      <c r="A3" s="149" t="s">
        <v>86</v>
      </c>
      <c r="B3" s="89"/>
      <c r="C3" s="89"/>
      <c r="D3" s="89"/>
      <c r="E3" s="89"/>
      <c r="F3" s="100"/>
      <c r="G3" s="122" t="str">
        <f>Invoice!E4</f>
        <v>BK042/25-26</v>
      </c>
      <c r="H3" s="92"/>
      <c r="I3" s="123">
        <f>Invoice!H4</f>
        <v>46003</v>
      </c>
      <c r="J3" s="125"/>
    </row>
    <row r="4" spans="1:10" x14ac:dyDescent="0.25">
      <c r="A4" s="19" t="s">
        <v>87</v>
      </c>
      <c r="B4" s="4"/>
      <c r="C4" s="4"/>
      <c r="D4" s="4"/>
      <c r="E4" s="4"/>
      <c r="F4" s="20"/>
      <c r="G4" s="141" t="s">
        <v>44</v>
      </c>
      <c r="H4" s="97"/>
      <c r="I4" s="97"/>
      <c r="J4" s="98"/>
    </row>
    <row r="5" spans="1:10" x14ac:dyDescent="0.25">
      <c r="A5" s="19" t="s">
        <v>88</v>
      </c>
      <c r="B5" s="4"/>
      <c r="C5" s="4"/>
      <c r="D5" s="4"/>
      <c r="E5" s="4"/>
      <c r="F5" s="20"/>
      <c r="G5" s="91" t="str">
        <f>'input data'!B5</f>
        <v>AD2403250650768</v>
      </c>
      <c r="H5" s="93"/>
      <c r="I5" s="93"/>
      <c r="J5" s="92"/>
    </row>
    <row r="6" spans="1:10" x14ac:dyDescent="0.25">
      <c r="A6" s="143" t="s">
        <v>89</v>
      </c>
      <c r="B6" s="89"/>
      <c r="C6" s="89"/>
      <c r="D6" s="89"/>
      <c r="E6" s="89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44" t="s">
        <v>56</v>
      </c>
      <c r="B11" s="97"/>
      <c r="C11" s="97"/>
      <c r="D11" s="97"/>
      <c r="E11" s="97"/>
      <c r="F11" s="18"/>
      <c r="G11" s="35" t="s">
        <v>95</v>
      </c>
      <c r="H11" s="17"/>
      <c r="I11" s="17"/>
      <c r="J11" s="18"/>
    </row>
    <row r="12" spans="1:10" x14ac:dyDescent="0.25">
      <c r="A12" s="145" t="str">
        <f>'input data'!B6</f>
        <v>To the Order</v>
      </c>
      <c r="B12" s="89"/>
      <c r="C12" s="89"/>
      <c r="D12" s="89"/>
      <c r="E12" s="89"/>
      <c r="F12" s="20"/>
      <c r="G12" s="19"/>
      <c r="H12" s="4"/>
      <c r="I12" s="4"/>
      <c r="J12" s="20"/>
    </row>
    <row r="13" spans="1:10" x14ac:dyDescent="0.25">
      <c r="A13" s="103"/>
      <c r="B13" s="93"/>
      <c r="C13" s="93"/>
      <c r="D13" s="93"/>
      <c r="E13" s="93"/>
      <c r="F13" s="29"/>
      <c r="G13" s="19"/>
      <c r="H13" s="4"/>
      <c r="I13" s="4"/>
      <c r="J13" s="20"/>
    </row>
    <row r="14" spans="1:10" x14ac:dyDescent="0.25">
      <c r="A14" s="144" t="s">
        <v>59</v>
      </c>
      <c r="B14" s="97"/>
      <c r="C14" s="97"/>
      <c r="D14" s="97"/>
      <c r="E14" s="97"/>
      <c r="F14" s="98"/>
      <c r="G14" s="19"/>
      <c r="H14" s="4"/>
      <c r="I14" s="4"/>
      <c r="J14" s="20"/>
    </row>
    <row r="15" spans="1:10" x14ac:dyDescent="0.25">
      <c r="A15" s="133" t="str">
        <f>Invoice!A15</f>
        <v>CMK TRADING COMPANY LIMITED
ADD: No 60 street 64-TML, Quarter 1, Cat Lai Ward, Ho Chi Minh city, Vietnam
TAX ID : 0317762127
PHONE : +84 974778685
EMAIL : cmktrading.coltd@gmail.com</v>
      </c>
      <c r="B15" s="89"/>
      <c r="C15" s="89"/>
      <c r="D15" s="89"/>
      <c r="E15" s="89"/>
      <c r="F15" s="100"/>
      <c r="G15" s="19"/>
      <c r="H15" s="4"/>
      <c r="I15" s="4"/>
      <c r="J15" s="20"/>
    </row>
    <row r="16" spans="1:10" x14ac:dyDescent="0.25">
      <c r="A16" s="99"/>
      <c r="B16" s="89"/>
      <c r="C16" s="89"/>
      <c r="D16" s="89"/>
      <c r="E16" s="89"/>
      <c r="F16" s="100"/>
      <c r="G16" s="19"/>
      <c r="H16" s="4"/>
      <c r="I16" s="4"/>
      <c r="J16" s="20"/>
    </row>
    <row r="17" spans="1:10" x14ac:dyDescent="0.25">
      <c r="A17" s="99"/>
      <c r="B17" s="89"/>
      <c r="C17" s="89"/>
      <c r="D17" s="89"/>
      <c r="E17" s="89"/>
      <c r="F17" s="100"/>
      <c r="G17" s="19"/>
      <c r="H17" s="4"/>
      <c r="I17" s="4"/>
      <c r="J17" s="20"/>
    </row>
    <row r="18" spans="1:10" ht="37.5" customHeight="1" x14ac:dyDescent="0.25">
      <c r="A18" s="99"/>
      <c r="B18" s="89"/>
      <c r="C18" s="89"/>
      <c r="D18" s="89"/>
      <c r="E18" s="89"/>
      <c r="F18" s="100"/>
      <c r="G18" s="142" t="s">
        <v>96</v>
      </c>
      <c r="H18" s="98"/>
      <c r="I18" s="151" t="s">
        <v>97</v>
      </c>
      <c r="J18" s="98"/>
    </row>
    <row r="19" spans="1:10" ht="15" customHeight="1" x14ac:dyDescent="0.25">
      <c r="A19" s="99"/>
      <c r="B19" s="89"/>
      <c r="C19" s="89"/>
      <c r="D19" s="89"/>
      <c r="E19" s="89"/>
      <c r="F19" s="100"/>
      <c r="G19" s="103"/>
      <c r="H19" s="92"/>
      <c r="I19" s="93"/>
      <c r="J19" s="92"/>
    </row>
    <row r="20" spans="1:10" ht="30.75" customHeight="1" x14ac:dyDescent="0.25">
      <c r="A20" s="103"/>
      <c r="B20" s="93"/>
      <c r="C20" s="93"/>
      <c r="D20" s="93"/>
      <c r="E20" s="93"/>
      <c r="F20" s="92"/>
      <c r="G20" s="152" t="s">
        <v>64</v>
      </c>
      <c r="H20" s="92"/>
      <c r="I20" s="152" t="str">
        <f>Invoice!H22</f>
        <v>VIETNAM</v>
      </c>
      <c r="J20" s="92"/>
    </row>
    <row r="21" spans="1:10" ht="15.75" customHeight="1" x14ac:dyDescent="0.25">
      <c r="A21" s="146" t="s">
        <v>98</v>
      </c>
      <c r="B21" s="97"/>
      <c r="C21" s="98"/>
      <c r="D21" s="146" t="s">
        <v>99</v>
      </c>
      <c r="E21" s="97"/>
      <c r="F21" s="98"/>
      <c r="G21" s="147" t="s">
        <v>100</v>
      </c>
      <c r="H21" s="105"/>
      <c r="I21" s="105"/>
      <c r="J21" s="106"/>
    </row>
    <row r="22" spans="1:10" ht="15.75" customHeight="1" x14ac:dyDescent="0.25">
      <c r="A22" s="101"/>
      <c r="B22" s="93"/>
      <c r="C22" s="92"/>
      <c r="D22" s="91" t="str">
        <f>Invoice!C22</f>
        <v>CHENNAI</v>
      </c>
      <c r="E22" s="93"/>
      <c r="F22" s="92"/>
      <c r="G22" s="150" t="str">
        <f>'input data'!B16</f>
        <v>CNF</v>
      </c>
      <c r="H22" s="93"/>
      <c r="I22" s="93"/>
      <c r="J22" s="92"/>
    </row>
    <row r="23" spans="1:10" ht="15.75" customHeight="1" x14ac:dyDescent="0.25">
      <c r="A23" s="146" t="s">
        <v>101</v>
      </c>
      <c r="B23" s="97"/>
      <c r="C23" s="98"/>
      <c r="D23" s="146" t="s">
        <v>102</v>
      </c>
      <c r="E23" s="97"/>
      <c r="F23" s="98"/>
      <c r="G23" s="42"/>
      <c r="H23" s="43"/>
      <c r="I23" s="43"/>
      <c r="J23" s="44"/>
    </row>
    <row r="24" spans="1:10" ht="15.75" customHeight="1" x14ac:dyDescent="0.25">
      <c r="A24" s="101"/>
      <c r="B24" s="93"/>
      <c r="C24" s="92"/>
      <c r="D24" s="91" t="str">
        <f>Invoice!C25</f>
        <v>CHENNAI</v>
      </c>
      <c r="E24" s="93"/>
      <c r="F24" s="92"/>
      <c r="G24" s="30"/>
      <c r="H24" s="32"/>
      <c r="I24" s="32"/>
      <c r="J24" s="29"/>
    </row>
    <row r="25" spans="1:10" ht="15.75" customHeight="1" x14ac:dyDescent="0.25">
      <c r="A25" s="146" t="s">
        <v>30</v>
      </c>
      <c r="B25" s="97"/>
      <c r="C25" s="98"/>
      <c r="D25" s="146" t="s">
        <v>31</v>
      </c>
      <c r="E25" s="97"/>
      <c r="F25" s="98"/>
      <c r="G25" s="153" t="s">
        <v>103</v>
      </c>
      <c r="H25" s="105"/>
      <c r="I25" s="105"/>
      <c r="J25" s="106"/>
    </row>
    <row r="26" spans="1:10" ht="15.75" customHeight="1" x14ac:dyDescent="0.25">
      <c r="A26" s="139" t="str">
        <f>Invoice!E25</f>
        <v>CAT LAI</v>
      </c>
      <c r="B26" s="89"/>
      <c r="C26" s="100"/>
      <c r="D26" s="139" t="str">
        <f>Invoice!H25</f>
        <v>CAT LAI</v>
      </c>
      <c r="E26" s="89"/>
      <c r="F26" s="100"/>
      <c r="G26" s="142" t="str">
        <f>'input data'!B17</f>
        <v>100% Against Documents</v>
      </c>
      <c r="H26" s="97"/>
      <c r="I26" s="97"/>
      <c r="J26" s="98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91" t="s">
        <v>104</v>
      </c>
      <c r="C28" s="92"/>
      <c r="D28" s="91" t="s">
        <v>67</v>
      </c>
      <c r="E28" s="93"/>
      <c r="F28" s="93"/>
      <c r="G28" s="48"/>
      <c r="H28" s="49"/>
      <c r="I28" s="91" t="s">
        <v>71</v>
      </c>
      <c r="J28" s="92"/>
    </row>
    <row r="29" spans="1:10" ht="15.75" customHeight="1" thickBot="1" x14ac:dyDescent="0.3">
      <c r="A29" s="27">
        <v>1</v>
      </c>
      <c r="B29" s="104">
        <f>Invoice!E28</f>
        <v>68022390</v>
      </c>
      <c r="C29" s="106"/>
      <c r="D29" s="163" t="str">
        <f>Invoice!B28</f>
        <v>NATURAL POLISHED GRANITE SLABS</v>
      </c>
      <c r="E29" s="105"/>
      <c r="F29" s="105"/>
      <c r="G29" s="105"/>
      <c r="H29" s="106"/>
      <c r="I29" s="164">
        <f>Invoice!F28</f>
        <v>431.5</v>
      </c>
      <c r="J29" s="106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65">
        <f>SUM(I29:I29)</f>
        <v>431.5</v>
      </c>
      <c r="J30" s="106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9" t="s">
        <v>106</v>
      </c>
      <c r="B32" s="89"/>
      <c r="C32" s="31" t="s">
        <v>34</v>
      </c>
      <c r="D32" s="109" t="s">
        <v>73</v>
      </c>
      <c r="E32" s="89"/>
      <c r="F32" s="31" t="s">
        <v>74</v>
      </c>
      <c r="G32" s="31"/>
      <c r="H32" s="4"/>
      <c r="I32" s="31"/>
      <c r="J32" s="34"/>
    </row>
    <row r="33" spans="1:12" ht="15.75" customHeight="1" x14ac:dyDescent="0.25">
      <c r="A33" s="111" t="str">
        <f>Invoice!A30</f>
        <v>WHSU2517410</v>
      </c>
      <c r="B33" s="89"/>
      <c r="C33" s="51">
        <f>'input data'!B25</f>
        <v>221</v>
      </c>
      <c r="D33" s="161" t="s">
        <v>107</v>
      </c>
      <c r="E33" s="89"/>
      <c r="F33" s="51" t="s">
        <v>108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5" t="s">
        <v>111</v>
      </c>
      <c r="B38" s="97"/>
      <c r="C38" s="97"/>
      <c r="D38" s="97"/>
      <c r="E38" s="97"/>
      <c r="F38" s="98"/>
      <c r="G38" s="115" t="s">
        <v>79</v>
      </c>
      <c r="H38" s="97"/>
      <c r="I38" s="97"/>
      <c r="J38" s="98"/>
    </row>
    <row r="39" spans="1:12" ht="15.75" customHeight="1" x14ac:dyDescent="0.25">
      <c r="A39" s="162" t="s">
        <v>112</v>
      </c>
      <c r="B39" s="89"/>
      <c r="C39" s="89"/>
      <c r="D39" s="89"/>
      <c r="E39" s="89"/>
      <c r="F39" s="100"/>
      <c r="G39" s="19"/>
      <c r="H39" s="4"/>
      <c r="I39" s="4"/>
      <c r="J39" s="20"/>
    </row>
    <row r="40" spans="1:12" ht="15.75" customHeight="1" x14ac:dyDescent="0.25">
      <c r="A40" s="154" t="s">
        <v>113</v>
      </c>
      <c r="B40" s="155"/>
      <c r="C40" s="155"/>
      <c r="D40" s="155"/>
      <c r="E40" s="155"/>
      <c r="F40" s="156"/>
      <c r="G40" s="19"/>
      <c r="H40" s="4"/>
      <c r="I40" s="4"/>
      <c r="J40" s="20"/>
    </row>
    <row r="41" spans="1:12" ht="15.75" customHeight="1" x14ac:dyDescent="0.25">
      <c r="A41" s="157" t="s">
        <v>114</v>
      </c>
      <c r="B41" s="158"/>
      <c r="C41" s="158"/>
      <c r="D41" s="158"/>
      <c r="E41" s="158"/>
      <c r="F41" s="159"/>
      <c r="G41" s="160" t="s">
        <v>115</v>
      </c>
      <c r="H41" s="93"/>
      <c r="I41" s="93"/>
      <c r="J41" s="92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3" zoomScaleNormal="100" workbookViewId="0">
      <selection activeCell="Q28" sqref="Q28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9" t="s">
        <v>41</v>
      </c>
      <c r="C1" s="170"/>
      <c r="D1" s="170"/>
      <c r="E1" s="170"/>
      <c r="F1" s="170"/>
      <c r="G1" s="170"/>
      <c r="H1" s="170"/>
      <c r="I1" s="170"/>
      <c r="J1" s="170"/>
      <c r="K1" s="171"/>
      <c r="R1" s="175"/>
      <c r="S1" s="89"/>
      <c r="T1" s="89"/>
      <c r="U1" s="89"/>
      <c r="V1" s="89"/>
      <c r="W1" s="176"/>
      <c r="X1" s="89"/>
      <c r="Y1" s="89"/>
    </row>
    <row r="2" spans="1:25" ht="36.75" thickBot="1" x14ac:dyDescent="0.6">
      <c r="A2" s="57"/>
      <c r="B2" s="172"/>
      <c r="C2" s="173"/>
      <c r="D2" s="173"/>
      <c r="E2" s="173"/>
      <c r="F2" s="173"/>
      <c r="G2" s="173"/>
      <c r="H2" s="173"/>
      <c r="I2" s="173"/>
      <c r="J2" s="173"/>
      <c r="K2" s="174"/>
    </row>
    <row r="3" spans="1:25" x14ac:dyDescent="0.25">
      <c r="A3" s="58"/>
      <c r="B3" s="177" t="s">
        <v>116</v>
      </c>
      <c r="C3" s="97"/>
      <c r="D3" s="97"/>
      <c r="E3" s="97"/>
      <c r="F3" s="97"/>
      <c r="G3" s="97"/>
      <c r="H3" s="97"/>
      <c r="I3" s="97"/>
      <c r="J3" s="97"/>
      <c r="K3" s="98"/>
    </row>
    <row r="4" spans="1:25" x14ac:dyDescent="0.25">
      <c r="A4" s="58"/>
      <c r="B4" s="178" t="s">
        <v>117</v>
      </c>
      <c r="C4" s="89"/>
      <c r="D4" s="89"/>
      <c r="E4" s="89"/>
      <c r="F4" s="89"/>
      <c r="G4" s="89"/>
      <c r="H4" s="89"/>
      <c r="I4" s="89"/>
      <c r="J4" s="89"/>
      <c r="K4" s="100"/>
    </row>
    <row r="5" spans="1:25" x14ac:dyDescent="0.25">
      <c r="A5" s="51"/>
      <c r="B5" s="101" t="s">
        <v>118</v>
      </c>
      <c r="C5" s="93"/>
      <c r="D5" s="93"/>
      <c r="E5" s="93"/>
      <c r="F5" s="93"/>
      <c r="G5" s="93"/>
      <c r="H5" s="93"/>
      <c r="I5" s="93"/>
      <c r="J5" s="93"/>
      <c r="K5" s="92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6" t="s">
        <v>119</v>
      </c>
      <c r="C7" s="89"/>
      <c r="D7" s="89"/>
      <c r="E7" s="89"/>
      <c r="F7" s="89"/>
      <c r="G7" s="89"/>
      <c r="H7" s="89"/>
      <c r="I7" s="89"/>
      <c r="J7" s="89"/>
      <c r="K7" s="100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68">
        <v>46003</v>
      </c>
      <c r="D9" s="168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166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3" t="s">
        <v>167</v>
      </c>
      <c r="C13" s="89"/>
      <c r="D13" s="89"/>
      <c r="E13" s="89"/>
      <c r="F13" s="89"/>
      <c r="G13" s="89"/>
      <c r="H13" s="4"/>
      <c r="I13" s="4"/>
      <c r="J13" s="4"/>
      <c r="K13" s="20"/>
    </row>
    <row r="14" spans="1:25" x14ac:dyDescent="0.25">
      <c r="A14" s="61"/>
      <c r="B14" s="133" t="s">
        <v>168</v>
      </c>
      <c r="C14" s="89"/>
      <c r="D14" s="89"/>
      <c r="E14" s="89"/>
      <c r="F14" s="89"/>
      <c r="G14" s="89"/>
      <c r="H14" s="4"/>
      <c r="I14" s="4"/>
      <c r="J14" s="4"/>
      <c r="K14" s="20"/>
    </row>
    <row r="15" spans="1:25" ht="49.5" customHeight="1" x14ac:dyDescent="0.25">
      <c r="A15" s="61"/>
      <c r="B15" s="99"/>
      <c r="C15" s="89"/>
      <c r="D15" s="89"/>
      <c r="E15" s="89"/>
      <c r="F15" s="89"/>
      <c r="G15" s="89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8" ht="15.75" thickBot="1" x14ac:dyDescent="0.3">
      <c r="A18" s="52"/>
      <c r="B18" s="132" t="s">
        <v>124</v>
      </c>
      <c r="C18" s="127"/>
      <c r="D18" s="127"/>
      <c r="E18" s="167"/>
      <c r="F18" s="132" t="s">
        <v>125</v>
      </c>
      <c r="G18" s="106"/>
      <c r="H18" s="132" t="s">
        <v>126</v>
      </c>
      <c r="I18" s="106"/>
      <c r="J18" s="132" t="s">
        <v>127</v>
      </c>
      <c r="K18" s="106"/>
      <c r="N18" t="s">
        <v>155</v>
      </c>
      <c r="O18">
        <v>0</v>
      </c>
      <c r="Q18">
        <f>O18*P18</f>
        <v>0</v>
      </c>
    </row>
    <row r="19" spans="1:18" ht="15.75" customHeight="1" thickBot="1" x14ac:dyDescent="0.3">
      <c r="A19" s="3"/>
      <c r="B19" s="163" t="s">
        <v>152</v>
      </c>
      <c r="C19" s="189"/>
      <c r="D19" s="189"/>
      <c r="E19" s="190"/>
      <c r="F19" s="181">
        <v>196.52</v>
      </c>
      <c r="G19" s="182"/>
      <c r="H19" s="183">
        <v>4642.9399999999996</v>
      </c>
      <c r="I19" s="106"/>
      <c r="J19" s="187">
        <f>H19*F19</f>
        <v>912430.56880000001</v>
      </c>
      <c r="K19" s="106"/>
      <c r="N19" t="s">
        <v>156</v>
      </c>
      <c r="O19">
        <v>2288</v>
      </c>
      <c r="P19">
        <v>210</v>
      </c>
      <c r="Q19" s="73">
        <f>O19*P19</f>
        <v>480480</v>
      </c>
    </row>
    <row r="20" spans="1:18" ht="15.75" customHeight="1" x14ac:dyDescent="0.25">
      <c r="A20" s="51"/>
      <c r="B20" s="111"/>
      <c r="C20" s="89"/>
      <c r="D20" s="89"/>
      <c r="E20" s="89"/>
      <c r="F20" s="176"/>
      <c r="G20" s="188"/>
      <c r="H20" s="193" t="s">
        <v>165</v>
      </c>
      <c r="I20" s="194"/>
      <c r="J20" s="191">
        <f>J19*0.001</f>
        <v>912.43056880000006</v>
      </c>
      <c r="K20" s="192"/>
      <c r="M20" s="75"/>
      <c r="O20" s="80">
        <v>0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60"/>
      <c r="C21" s="93"/>
      <c r="D21" s="93"/>
      <c r="E21" s="93"/>
      <c r="F21" s="32"/>
      <c r="G21" s="62"/>
      <c r="H21" s="196" t="s">
        <v>105</v>
      </c>
      <c r="I21" s="197"/>
      <c r="J21" s="179">
        <f>SUM(J19:K20)</f>
        <v>913342.99936879997</v>
      </c>
      <c r="K21" s="180"/>
      <c r="Q21" s="72">
        <f>Q18+Q19+Q20</f>
        <v>480480</v>
      </c>
    </row>
    <row r="22" spans="1:18" ht="15.75" customHeight="1" thickBot="1" x14ac:dyDescent="0.3">
      <c r="A22" s="51"/>
      <c r="B22" s="111"/>
      <c r="C22" s="89"/>
      <c r="D22" s="89"/>
      <c r="E22" s="89"/>
      <c r="F22" s="4"/>
      <c r="G22" s="4"/>
      <c r="H22" s="184"/>
      <c r="I22" s="89"/>
      <c r="J22" s="176"/>
      <c r="K22" s="100"/>
      <c r="N22" s="75"/>
    </row>
    <row r="23" spans="1:18" ht="15.75" customHeight="1" thickBot="1" x14ac:dyDescent="0.3">
      <c r="A23" s="52"/>
      <c r="B23" s="185" t="s">
        <v>128</v>
      </c>
      <c r="C23" s="105"/>
      <c r="D23" s="46"/>
      <c r="E23" s="46"/>
      <c r="F23" s="46"/>
      <c r="G23" s="46"/>
      <c r="H23" s="46"/>
      <c r="I23" s="46"/>
      <c r="J23" s="186">
        <f>J21</f>
        <v>913342.99936879997</v>
      </c>
      <c r="K23" s="106"/>
      <c r="Q23" s="84">
        <f>Q21/O25</f>
        <v>202.97397769516729</v>
      </c>
      <c r="R23" s="83" t="s">
        <v>154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95" t="s">
        <v>129</v>
      </c>
      <c r="C25" s="89"/>
      <c r="D25" s="4"/>
      <c r="E25" s="4"/>
      <c r="F25" s="4"/>
      <c r="G25" s="4"/>
      <c r="H25" s="4"/>
      <c r="I25" s="4"/>
      <c r="J25" s="4"/>
      <c r="K25" s="20"/>
      <c r="M25" t="s">
        <v>158</v>
      </c>
      <c r="N25" s="79">
        <v>220</v>
      </c>
      <c r="O25" s="86">
        <f>N25*10.76</f>
        <v>2367.1999999999998</v>
      </c>
      <c r="P25" s="83" t="s">
        <v>160</v>
      </c>
    </row>
    <row r="26" spans="1:18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159</v>
      </c>
      <c r="O26">
        <v>4516</v>
      </c>
    </row>
    <row r="27" spans="1:18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157</v>
      </c>
      <c r="O27" s="80">
        <f>O25-O26</f>
        <v>-2148.8000000000002</v>
      </c>
    </row>
    <row r="28" spans="1:18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9" t="s">
        <v>140</v>
      </c>
      <c r="C35" s="89"/>
      <c r="D35" s="89"/>
      <c r="E35" s="89"/>
      <c r="F35" s="89"/>
      <c r="G35" s="89"/>
      <c r="H35" s="4"/>
      <c r="I35" s="4"/>
      <c r="J35" s="4"/>
      <c r="K35" s="20"/>
    </row>
    <row r="36" spans="1:11" ht="15.75" customHeight="1" x14ac:dyDescent="0.25">
      <c r="A36" s="64"/>
      <c r="B36" s="149" t="s">
        <v>141</v>
      </c>
      <c r="C36" s="89"/>
      <c r="D36" s="89"/>
      <c r="E36" s="89"/>
      <c r="F36" s="89"/>
      <c r="G36" s="89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company data</vt:lpstr>
      <vt:lpstr>input data</vt:lpstr>
      <vt:lpstr>Invoice</vt:lpstr>
      <vt:lpstr>Sheet2</vt:lpstr>
      <vt:lpstr>Sheet1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2026-02-13T09:18:48Z</cp:lastPrinted>
  <dcterms:created xsi:type="dcterms:W3CDTF">2022-11-23T06:47:43Z</dcterms:created>
  <dcterms:modified xsi:type="dcterms:W3CDTF">2026-02-13T09:18:58Z</dcterms:modified>
</cp:coreProperties>
</file>
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"/>
    </mc:Choice>
  </mc:AlternateContent>
  <bookViews>
    <workbookView xWindow="0" yWindow="0" windowWidth="20490" windowHeight="7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M34" i="1"/>
  <c r="O30" i="1"/>
  <c r="M31" i="1"/>
  <c r="D33" i="1" l="1"/>
  <c r="F31" i="1"/>
  <c r="F29" i="1"/>
  <c r="C27" i="1" l="1"/>
  <c r="F27" i="1" s="1"/>
  <c r="C25" i="1"/>
  <c r="F25" i="1" s="1"/>
  <c r="C23" i="1" l="1"/>
  <c r="F23" i="1" s="1"/>
  <c r="C19" i="1" l="1"/>
  <c r="F19" i="1" s="1"/>
  <c r="C17" i="1"/>
  <c r="F2" i="1"/>
  <c r="C4" i="1"/>
  <c r="C16" i="1"/>
  <c r="F16" i="1" s="1"/>
  <c r="C14" i="1"/>
  <c r="F14" i="1" s="1"/>
  <c r="C12" i="1"/>
  <c r="F12" i="1" s="1"/>
  <c r="C10" i="1"/>
  <c r="F10" i="1" s="1"/>
  <c r="C7" i="1"/>
  <c r="F7" i="1" s="1"/>
  <c r="F5" i="1"/>
  <c r="C33" i="1" l="1"/>
  <c r="F17" i="1"/>
  <c r="F4" i="1"/>
  <c r="F33" i="1" s="1"/>
</calcChain>
</file>

<file path=xl/sharedStrings.xml><?xml version="1.0" encoding="utf-8"?>
<sst xmlns="http://schemas.openxmlformats.org/spreadsheetml/2006/main" count="68" uniqueCount="47">
  <si>
    <t>invoice number</t>
  </si>
  <si>
    <t>amount</t>
  </si>
  <si>
    <t>payment made</t>
  </si>
  <si>
    <t>balance</t>
  </si>
  <si>
    <t>bk001</t>
  </si>
  <si>
    <t>bk002</t>
  </si>
  <si>
    <t>bk003</t>
  </si>
  <si>
    <t>bk005</t>
  </si>
  <si>
    <t>bk006</t>
  </si>
  <si>
    <t>bk007</t>
  </si>
  <si>
    <t>bk008</t>
  </si>
  <si>
    <t>bk009</t>
  </si>
  <si>
    <t>bk010</t>
  </si>
  <si>
    <t>bk011</t>
  </si>
  <si>
    <t>bk012</t>
  </si>
  <si>
    <t>bk013</t>
  </si>
  <si>
    <t>bk015</t>
  </si>
  <si>
    <t>bk016</t>
  </si>
  <si>
    <t>bk017</t>
  </si>
  <si>
    <t>TOTAL PAYMENT</t>
  </si>
  <si>
    <t>PAYMENT MADE</t>
  </si>
  <si>
    <t>BK021</t>
  </si>
  <si>
    <t>BK022</t>
  </si>
  <si>
    <t>BK023</t>
  </si>
  <si>
    <t>BK026</t>
  </si>
  <si>
    <t>BK027</t>
  </si>
  <si>
    <t>BK028</t>
  </si>
  <si>
    <t>BK029</t>
  </si>
  <si>
    <t>BK030</t>
  </si>
  <si>
    <t>REMARK</t>
  </si>
  <si>
    <t>need to give</t>
  </si>
  <si>
    <t>need to take</t>
  </si>
  <si>
    <t>payment date</t>
  </si>
  <si>
    <t>payment made by AA Stone</t>
  </si>
  <si>
    <t>bk export - AA Stone</t>
  </si>
  <si>
    <t>Invoice</t>
  </si>
  <si>
    <t>you deducted</t>
  </si>
  <si>
    <t>BK035</t>
  </si>
  <si>
    <t>BK036</t>
  </si>
  <si>
    <t>BK038</t>
  </si>
  <si>
    <t>BK039</t>
  </si>
  <si>
    <t>BK040</t>
  </si>
  <si>
    <t>BK041</t>
  </si>
  <si>
    <t>BK043</t>
  </si>
  <si>
    <t>BK046</t>
  </si>
  <si>
    <t>dedcut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</si>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</sst>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0" fillId="3" borderId="1" xfId="0" applyFill="1" applyBorder="1"/>
    <xf numFmtId="4" fontId="0" fillId="3" borderId="1" xfId="0" applyNumberFormat="1" applyFill="1" applyBorder="1"/>
    <xf numFmtId="4" fontId="0" fillId="0" borderId="1" xfId="0" applyNumberFormat="1" applyBorder="1"/>
    <xf numFmtId="0" fontId="0" fillId="0" borderId="1" xfId="0" applyBorder="1" applyAlignment="1">
      <alignment horizontal="center"/>
    </xf>
    <xf numFmtId="0" fontId="0" fillId="4" borderId="0" xfId="0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" fontId="0" fillId="3" borderId="1" xfId="0" applyNumberFormat="1" applyFill="1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" fontId="1" fillId="3" borderId="1" xfId="0" applyNumberFormat="1" applyFont="1" applyFill="1" applyBorder="1" applyAlignment="1">
      <alignment horizontal="left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" fontId="0" fillId="3" borderId="2" xfId="0" applyNumberForma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4" fontId="0" fillId="3" borderId="4" xfId="0" applyNumberFormat="1" applyFill="1" applyBorder="1" applyAlignment="1">
      <alignment horizontal="left"/>
    </xf>
    <xf numFmtId="4" fontId="1" fillId="3" borderId="2" xfId="0" applyNumberFormat="1" applyFont="1" applyFill="1" applyBorder="1" applyAlignment="1">
      <alignment horizontal="left" vertical="center"/>
    </xf>
    <xf numFmtId="4" fontId="1" fillId="3" borderId="4" xfId="0" applyNumberFormat="1" applyFont="1" applyFill="1" applyBorder="1" applyAlignment="1">
      <alignment horizontal="left" vertical="center"/>
    </xf>
    <xf numFmtId="4" fontId="0" fillId="3" borderId="1" xfId="0" applyNumberFormat="1" applyFill="1" applyBorder="1" applyAlignment="1">
      <alignment horizontal="left" vertical="center"/>
    </xf>
    <xf numFmtId="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0" fillId="3" borderId="2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" fontId="0" fillId="0" borderId="2" xfId="0" applyNumberFormat="1" applyBorder="1" applyAlignment="1">
      <alignment horizontal="left" vertical="center"/>
    </xf>
    <xf numFmtId="4" fontId="0" fillId="0" borderId="3" xfId="0" applyNumberFormat="1" applyBorder="1" applyAlignment="1">
      <alignment horizontal="left" vertical="center"/>
    </xf>
    <xf numFmtId="4" fontId="0" fillId="0" borderId="4" xfId="0" applyNumberFormat="1" applyBorder="1" applyAlignment="1">
      <alignment horizontal="left" vertical="center"/>
    </xf>
    <xf numFmtId="4" fontId="0" fillId="3" borderId="2" xfId="0" applyNumberForma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4" fontId="1" fillId="3" borderId="2" xfId="0" applyNumberFormat="1" applyFont="1" applyFill="1" applyBorder="1" applyAlignment="1">
      <alignment horizontal="left"/>
    </xf>
    <xf numFmtId="4" fontId="1" fillId="3" borderId="4" xfId="0" applyNumberFormat="1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4" xfId="0" applyBorder="1" applyAlignment="1"/>
    <xf numFmtId="0" fontId="0" fillId="0" borderId="1" xfId="0" applyBorder="1" applyAlignment="1"/>
    <xf numFmtId="4" fontId="0" fillId="0" borderId="2" xfId="0" applyNumberFormat="1" applyBorder="1" applyAlignment="1">
      <alignment horizontal="left"/>
    </xf>
    <xf numFmtId="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1" fillId="3" borderId="2" xfId="0" applyFont="1" applyFill="1" applyBorder="1" applyAlignment="1"/>
    <xf numFmtId="0" fontId="1" fillId="3" borderId="4" xfId="0" applyFont="1" applyFill="1" applyBorder="1" applyAlignment="1"/>
    <xf numFmtId="0" fontId="1" fillId="3" borderId="1" xfId="0" applyFont="1" applyFill="1" applyBorder="1" applyAlignment="1"/>
    <xf numFmtId="0" fontId="1" fillId="3" borderId="1" xfId="0" applyFont="1" applyFill="1" applyBorder="1" applyAlignment="1"/>
    <xf numFmtId="0" fontId="0" fillId="3" borderId="2" xfId="0" applyFill="1" applyBorder="1" applyAlignment="1"/>
    <xf numFmtId="0" fontId="0" fillId="3" borderId="4" xfId="0" applyFill="1" applyBorder="1" applyAlignment="1"/>
    <xf numFmtId="0" fontId="0" fillId="0" borderId="1" xfId="0" applyBorder="1" applyAlignment="1"/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/>
    <xf numFmtId="4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A13" zoomScale="85" zoomScaleNormal="85" workbookViewId="0">
      <selection activeCell="J30" sqref="J30"/>
    </sheetView>
  </sheetViews>
  <sheetFormatPr defaultRowHeight="15" x14ac:dyDescent="0.25"/>
  <cols>
    <col min="1" max="1" width="16.28515625" style="1" bestFit="1" customWidth="1"/>
    <col min="2" max="2" width="10.7109375" style="1" bestFit="1" customWidth="1"/>
    <col min="3" max="3" width="15.7109375" style="11" bestFit="1" customWidth="1"/>
    <col min="4" max="4" width="14.42578125" style="63" bestFit="1" customWidth="1"/>
    <col min="5" max="5" width="15.42578125" style="5" bestFit="1" customWidth="1"/>
    <col min="6" max="6" width="9.140625" style="11"/>
    <col min="7" max="7" width="23.7109375" customWidth="1"/>
    <col min="13" max="13" width="28.7109375" customWidth="1"/>
    <col min="14" max="14" width="13.42578125" bestFit="1" customWidth="1"/>
  </cols>
  <sheetData>
    <row r="1" spans="1:14" x14ac:dyDescent="0.25">
      <c r="A1" s="1" t="s">
        <v>0</v>
      </c>
      <c r="B1" s="1" t="s">
        <v>1</v>
      </c>
      <c r="C1" s="11" t="s">
        <v>19</v>
      </c>
      <c r="D1" s="63" t="s">
        <v>2</v>
      </c>
      <c r="E1" s="5" t="s">
        <v>20</v>
      </c>
      <c r="F1" s="11" t="s">
        <v>3</v>
      </c>
      <c r="G1" t="s">
        <v>29</v>
      </c>
    </row>
    <row r="2" spans="1:14" x14ac:dyDescent="0.25">
      <c r="A2" s="2" t="s">
        <v>4</v>
      </c>
      <c r="B2" s="3">
        <v>7919.25</v>
      </c>
      <c r="C2" s="35">
        <v>17843</v>
      </c>
      <c r="D2" s="67">
        <v>17843</v>
      </c>
      <c r="E2" s="40">
        <v>45810</v>
      </c>
      <c r="F2" s="32">
        <f>C2-D2</f>
        <v>0</v>
      </c>
      <c r="K2" s="26" t="s">
        <v>34</v>
      </c>
      <c r="L2" s="26"/>
      <c r="M2" s="26"/>
      <c r="N2" s="26"/>
    </row>
    <row r="3" spans="1:14" x14ac:dyDescent="0.25">
      <c r="A3" s="2" t="s">
        <v>5</v>
      </c>
      <c r="B3" s="3">
        <v>9923.2900000000009</v>
      </c>
      <c r="C3" s="36"/>
      <c r="D3" s="68"/>
      <c r="E3" s="41"/>
      <c r="F3" s="34"/>
      <c r="K3" s="1"/>
      <c r="L3" s="1" t="s">
        <v>35</v>
      </c>
      <c r="M3" s="1" t="s">
        <v>33</v>
      </c>
      <c r="N3" s="1" t="s">
        <v>32</v>
      </c>
    </row>
    <row r="4" spans="1:14" x14ac:dyDescent="0.25">
      <c r="A4" s="2" t="s">
        <v>6</v>
      </c>
      <c r="B4" s="3">
        <v>9118.02</v>
      </c>
      <c r="C4" s="15">
        <f>B4</f>
        <v>9118.02</v>
      </c>
      <c r="D4" s="69">
        <v>9118.02</v>
      </c>
      <c r="E4" s="7">
        <v>45814</v>
      </c>
      <c r="F4" s="12">
        <f>C4-D4</f>
        <v>0</v>
      </c>
      <c r="K4" s="1" t="s">
        <v>4</v>
      </c>
      <c r="L4" s="28">
        <v>17843</v>
      </c>
      <c r="M4" s="26">
        <v>17843</v>
      </c>
      <c r="N4" s="27">
        <v>45810</v>
      </c>
    </row>
    <row r="5" spans="1:14" x14ac:dyDescent="0.25">
      <c r="A5" s="2" t="s">
        <v>7</v>
      </c>
      <c r="B5" s="3">
        <v>10472.85</v>
      </c>
      <c r="C5" s="37">
        <v>19109.25</v>
      </c>
      <c r="D5" s="70">
        <v>19109.25</v>
      </c>
      <c r="E5" s="30">
        <v>45827</v>
      </c>
      <c r="F5" s="38">
        <f>C5-D5</f>
        <v>0</v>
      </c>
      <c r="K5" s="1" t="s">
        <v>5</v>
      </c>
      <c r="L5" s="28"/>
      <c r="M5" s="26"/>
      <c r="N5" s="28"/>
    </row>
    <row r="6" spans="1:14" x14ac:dyDescent="0.25">
      <c r="A6" s="2" t="s">
        <v>8</v>
      </c>
      <c r="B6" s="3">
        <v>8636.4</v>
      </c>
      <c r="C6" s="37"/>
      <c r="D6" s="70"/>
      <c r="E6" s="42"/>
      <c r="F6" s="39"/>
      <c r="K6" s="1" t="s">
        <v>6</v>
      </c>
      <c r="L6" s="10">
        <v>9118</v>
      </c>
      <c r="M6" s="10">
        <v>9118</v>
      </c>
      <c r="N6" s="9">
        <v>45814</v>
      </c>
    </row>
    <row r="7" spans="1:14" x14ac:dyDescent="0.25">
      <c r="A7" s="2" t="s">
        <v>9</v>
      </c>
      <c r="B7" s="3">
        <v>9999.76</v>
      </c>
      <c r="C7" s="35">
        <f>B7+B8+B9</f>
        <v>25190.3</v>
      </c>
      <c r="D7" s="67">
        <v>5632.5</v>
      </c>
      <c r="E7" s="30">
        <v>45866</v>
      </c>
      <c r="F7" s="47">
        <f>C7-D7-D9</f>
        <v>-1043.6599999999999</v>
      </c>
      <c r="G7" s="23" t="s">
        <v>30</v>
      </c>
      <c r="K7" s="1" t="s">
        <v>7</v>
      </c>
      <c r="L7" s="29">
        <v>19109</v>
      </c>
      <c r="M7" s="28">
        <v>19109</v>
      </c>
      <c r="N7" s="27">
        <v>45827</v>
      </c>
    </row>
    <row r="8" spans="1:14" x14ac:dyDescent="0.25">
      <c r="A8" s="2" t="s">
        <v>10</v>
      </c>
      <c r="B8" s="3">
        <v>8615.16</v>
      </c>
      <c r="C8" s="53"/>
      <c r="D8" s="68"/>
      <c r="E8" s="52"/>
      <c r="F8" s="48"/>
      <c r="G8" s="23"/>
      <c r="K8" s="1" t="s">
        <v>8</v>
      </c>
      <c r="L8" s="29"/>
      <c r="M8" s="28"/>
      <c r="N8" s="27"/>
    </row>
    <row r="9" spans="1:14" x14ac:dyDescent="0.25">
      <c r="A9" s="2" t="s">
        <v>11</v>
      </c>
      <c r="B9" s="3">
        <v>6575.38</v>
      </c>
      <c r="C9" s="36"/>
      <c r="D9" s="69">
        <v>20601.46</v>
      </c>
      <c r="E9" s="31"/>
      <c r="F9" s="49"/>
      <c r="G9" s="23"/>
      <c r="K9" s="1" t="s">
        <v>9</v>
      </c>
      <c r="L9" s="28">
        <v>25190</v>
      </c>
      <c r="M9" s="10">
        <v>5632</v>
      </c>
      <c r="N9" s="27">
        <v>45866</v>
      </c>
    </row>
    <row r="10" spans="1:14" x14ac:dyDescent="0.25">
      <c r="A10" s="2" t="s">
        <v>12</v>
      </c>
      <c r="B10" s="3">
        <v>7827.3</v>
      </c>
      <c r="C10" s="50">
        <f>B10+B11</f>
        <v>17788.939999999999</v>
      </c>
      <c r="D10" s="71">
        <v>16954.599999999999</v>
      </c>
      <c r="E10" s="30">
        <v>45870</v>
      </c>
      <c r="F10" s="32">
        <f>C10-D10</f>
        <v>834.34000000000015</v>
      </c>
      <c r="G10" s="23" t="s">
        <v>31</v>
      </c>
      <c r="K10" s="1" t="s">
        <v>10</v>
      </c>
      <c r="L10" s="28"/>
      <c r="M10" s="28">
        <v>20601</v>
      </c>
      <c r="N10" s="28"/>
    </row>
    <row r="11" spans="1:14" x14ac:dyDescent="0.25">
      <c r="A11" s="2" t="s">
        <v>13</v>
      </c>
      <c r="B11" s="3">
        <v>9961.64</v>
      </c>
      <c r="C11" s="51"/>
      <c r="D11" s="72"/>
      <c r="E11" s="31"/>
      <c r="F11" s="33"/>
      <c r="G11" s="23"/>
      <c r="K11" s="1" t="s">
        <v>11</v>
      </c>
      <c r="L11" s="28"/>
      <c r="M11" s="28"/>
      <c r="N11" s="28"/>
    </row>
    <row r="12" spans="1:14" x14ac:dyDescent="0.25">
      <c r="A12" s="2" t="s">
        <v>14</v>
      </c>
      <c r="B12" s="3">
        <v>10487.4</v>
      </c>
      <c r="C12" s="50">
        <f>B12+B13</f>
        <v>20081.010000000002</v>
      </c>
      <c r="D12" s="67">
        <v>19870</v>
      </c>
      <c r="E12" s="30">
        <v>45874</v>
      </c>
      <c r="F12" s="32">
        <f>C12-D12</f>
        <v>211.01000000000204</v>
      </c>
      <c r="G12" s="23" t="s">
        <v>31</v>
      </c>
      <c r="I12" s="6"/>
      <c r="K12" s="1" t="s">
        <v>12</v>
      </c>
      <c r="L12" s="28">
        <v>17789</v>
      </c>
      <c r="M12" s="29">
        <v>16954</v>
      </c>
      <c r="N12" s="27">
        <v>45870</v>
      </c>
    </row>
    <row r="13" spans="1:14" x14ac:dyDescent="0.25">
      <c r="A13" s="2" t="s">
        <v>15</v>
      </c>
      <c r="B13" s="3">
        <v>9593.61</v>
      </c>
      <c r="C13" s="51"/>
      <c r="D13" s="68"/>
      <c r="E13" s="31"/>
      <c r="F13" s="33"/>
      <c r="G13" s="23"/>
      <c r="K13" s="1" t="s">
        <v>13</v>
      </c>
      <c r="L13" s="28"/>
      <c r="M13" s="29"/>
      <c r="N13" s="28"/>
    </row>
    <row r="14" spans="1:14" x14ac:dyDescent="0.25">
      <c r="A14" s="2" t="s">
        <v>16</v>
      </c>
      <c r="B14" s="3">
        <v>10343.030000000001</v>
      </c>
      <c r="C14" s="50">
        <f>B14+B15</f>
        <v>21994.18</v>
      </c>
      <c r="D14" s="67">
        <v>22506.639999999999</v>
      </c>
      <c r="E14" s="30">
        <v>45897</v>
      </c>
      <c r="F14" s="32">
        <f>C14-D14</f>
        <v>-512.45999999999913</v>
      </c>
      <c r="G14" s="23" t="s">
        <v>30</v>
      </c>
      <c r="K14" s="1" t="s">
        <v>14</v>
      </c>
      <c r="L14" s="28">
        <v>20081</v>
      </c>
      <c r="M14" s="28">
        <v>19870</v>
      </c>
      <c r="N14" s="27">
        <v>45874</v>
      </c>
    </row>
    <row r="15" spans="1:14" x14ac:dyDescent="0.25">
      <c r="A15" s="2" t="s">
        <v>17</v>
      </c>
      <c r="B15" s="3">
        <v>11651.15</v>
      </c>
      <c r="C15" s="51"/>
      <c r="D15" s="68"/>
      <c r="E15" s="31"/>
      <c r="F15" s="33"/>
      <c r="G15" s="23"/>
      <c r="K15" s="1" t="s">
        <v>15</v>
      </c>
      <c r="L15" s="28"/>
      <c r="M15" s="28"/>
      <c r="N15" s="28"/>
    </row>
    <row r="16" spans="1:14" x14ac:dyDescent="0.25">
      <c r="A16" s="2" t="s">
        <v>18</v>
      </c>
      <c r="B16" s="3">
        <v>9620.1299999999992</v>
      </c>
      <c r="C16" s="15">
        <f>B16</f>
        <v>9620.1299999999992</v>
      </c>
      <c r="D16" s="69">
        <v>10448.1</v>
      </c>
      <c r="E16" s="7">
        <v>45930</v>
      </c>
      <c r="F16" s="12">
        <f>C16-D16</f>
        <v>-827.97000000000116</v>
      </c>
      <c r="G16" s="14" t="s">
        <v>30</v>
      </c>
      <c r="K16" s="1" t="s">
        <v>16</v>
      </c>
      <c r="L16" s="17">
        <v>21994</v>
      </c>
      <c r="M16" s="17">
        <v>22506</v>
      </c>
      <c r="N16" s="18">
        <v>45897</v>
      </c>
    </row>
    <row r="17" spans="1:15" x14ac:dyDescent="0.25">
      <c r="A17" s="1" t="s">
        <v>21</v>
      </c>
      <c r="B17" s="4">
        <v>8801.9</v>
      </c>
      <c r="C17" s="59">
        <f>B17+B18</f>
        <v>18510.77</v>
      </c>
      <c r="D17" s="61">
        <v>15018</v>
      </c>
      <c r="E17" s="27">
        <v>45946</v>
      </c>
      <c r="F17" s="59">
        <f>C17-D17</f>
        <v>3492.7700000000004</v>
      </c>
      <c r="G17" s="58" t="s">
        <v>31</v>
      </c>
    </row>
    <row r="18" spans="1:15" x14ac:dyDescent="0.25">
      <c r="A18" s="1" t="s">
        <v>22</v>
      </c>
      <c r="B18" s="4">
        <v>9708.8700000000008</v>
      </c>
      <c r="C18" s="60"/>
      <c r="D18" s="61"/>
      <c r="E18" s="28"/>
      <c r="F18" s="60"/>
      <c r="G18" s="58"/>
      <c r="M18" t="s">
        <v>36</v>
      </c>
      <c r="N18">
        <v>3492</v>
      </c>
    </row>
    <row r="19" spans="1:15" x14ac:dyDescent="0.25">
      <c r="A19" s="1" t="s">
        <v>23</v>
      </c>
      <c r="B19" s="4">
        <v>9192.35</v>
      </c>
      <c r="C19" s="59">
        <f>B19+B20+B21+B22</f>
        <v>32852.65</v>
      </c>
      <c r="D19" s="73">
        <v>20179.62</v>
      </c>
      <c r="E19" s="43">
        <v>45959</v>
      </c>
      <c r="F19" s="44">
        <f>C19-D19-D21</f>
        <v>3503.0300000000025</v>
      </c>
      <c r="G19" s="58" t="s">
        <v>31</v>
      </c>
    </row>
    <row r="20" spans="1:15" x14ac:dyDescent="0.25">
      <c r="A20" s="1" t="s">
        <v>24</v>
      </c>
      <c r="B20" s="4">
        <v>5823.61</v>
      </c>
      <c r="C20" s="60"/>
      <c r="D20" s="73"/>
      <c r="E20" s="26"/>
      <c r="F20" s="45"/>
      <c r="G20" s="58"/>
      <c r="M20" s="16"/>
      <c r="N20" s="16"/>
    </row>
    <row r="21" spans="1:15" x14ac:dyDescent="0.25">
      <c r="A21" s="1" t="s">
        <v>25</v>
      </c>
      <c r="B21" s="4">
        <v>8138.34</v>
      </c>
      <c r="C21" s="60"/>
      <c r="D21" s="63">
        <v>9170</v>
      </c>
      <c r="E21" s="8">
        <v>45960</v>
      </c>
      <c r="F21" s="45"/>
      <c r="G21" s="58"/>
    </row>
    <row r="22" spans="1:15" x14ac:dyDescent="0.25">
      <c r="A22" s="1" t="s">
        <v>26</v>
      </c>
      <c r="B22" s="4">
        <v>9698.35</v>
      </c>
      <c r="C22" s="60"/>
      <c r="F22" s="46"/>
      <c r="G22" s="58"/>
    </row>
    <row r="23" spans="1:15" x14ac:dyDescent="0.25">
      <c r="A23" s="1" t="s">
        <v>27</v>
      </c>
      <c r="B23" s="4">
        <v>8123.74</v>
      </c>
      <c r="C23" s="44">
        <f>B23+B24</f>
        <v>18721.400000000001</v>
      </c>
      <c r="D23" s="74">
        <v>22291.21</v>
      </c>
      <c r="E23" s="54">
        <v>45981</v>
      </c>
      <c r="F23" s="56">
        <f>C23-D23</f>
        <v>-3569.8099999999977</v>
      </c>
      <c r="G23" s="58" t="s">
        <v>30</v>
      </c>
    </row>
    <row r="24" spans="1:15" x14ac:dyDescent="0.25">
      <c r="A24" s="1" t="s">
        <v>28</v>
      </c>
      <c r="B24" s="4">
        <v>10597.66</v>
      </c>
      <c r="C24" s="46"/>
      <c r="D24" s="75"/>
      <c r="E24" s="55"/>
      <c r="F24" s="57"/>
      <c r="G24" s="58"/>
    </row>
    <row r="25" spans="1:15" x14ac:dyDescent="0.25">
      <c r="A25" s="1" t="s">
        <v>37</v>
      </c>
      <c r="B25" s="4">
        <v>8084.34</v>
      </c>
      <c r="C25" s="64">
        <f>B25+B26</f>
        <v>17122.580000000002</v>
      </c>
      <c r="D25" s="76">
        <v>20031.18</v>
      </c>
      <c r="E25" s="24">
        <v>46029</v>
      </c>
      <c r="F25" s="19">
        <f>C25-D25</f>
        <v>-2908.5999999999985</v>
      </c>
      <c r="G25" s="23" t="s">
        <v>30</v>
      </c>
    </row>
    <row r="26" spans="1:15" x14ac:dyDescent="0.25">
      <c r="A26" s="1" t="s">
        <v>38</v>
      </c>
      <c r="B26" s="4">
        <v>9038.24</v>
      </c>
      <c r="C26" s="65"/>
      <c r="D26" s="62"/>
      <c r="E26" s="20"/>
      <c r="F26" s="22"/>
      <c r="G26" s="23"/>
    </row>
    <row r="27" spans="1:15" x14ac:dyDescent="0.25">
      <c r="A27" s="1" t="s">
        <v>40</v>
      </c>
      <c r="B27" s="4">
        <v>8311.7099999999991</v>
      </c>
      <c r="C27" s="64">
        <f>B27+B28</f>
        <v>16174.68</v>
      </c>
      <c r="D27" s="76">
        <v>15028</v>
      </c>
      <c r="E27" s="25">
        <v>46039</v>
      </c>
      <c r="F27" s="19">
        <f>C27-D27</f>
        <v>1146.6800000000003</v>
      </c>
      <c r="G27" s="21" t="s">
        <v>31</v>
      </c>
    </row>
    <row r="28" spans="1:15" x14ac:dyDescent="0.25">
      <c r="A28" s="1" t="s">
        <v>41</v>
      </c>
      <c r="B28" s="4">
        <v>7862.97</v>
      </c>
      <c r="C28" s="66"/>
      <c r="D28" s="62"/>
      <c r="E28" s="20"/>
      <c r="F28" s="20"/>
      <c r="G28" s="21"/>
      <c r="L28">
        <v>39</v>
      </c>
      <c r="M28">
        <v>2466.2399999999998</v>
      </c>
      <c r="O28">
        <v>20035.419999999998</v>
      </c>
    </row>
    <row r="29" spans="1:15" x14ac:dyDescent="0.25">
      <c r="A29" s="1" t="s">
        <v>42</v>
      </c>
      <c r="B29" s="4">
        <v>10574.88</v>
      </c>
      <c r="C29" s="64">
        <v>20400</v>
      </c>
      <c r="D29" s="76">
        <v>20400</v>
      </c>
      <c r="E29" s="25">
        <v>46051</v>
      </c>
      <c r="F29" s="19">
        <f>C29-D29</f>
        <v>0</v>
      </c>
      <c r="G29" s="23"/>
      <c r="L29">
        <v>40</v>
      </c>
      <c r="M29">
        <v>7862.97</v>
      </c>
      <c r="O29">
        <v>-600</v>
      </c>
    </row>
    <row r="30" spans="1:15" x14ac:dyDescent="0.25">
      <c r="A30" s="1" t="s">
        <v>43</v>
      </c>
      <c r="B30" s="4">
        <v>9825.43</v>
      </c>
      <c r="C30" s="66"/>
      <c r="D30" s="62"/>
      <c r="E30" s="20"/>
      <c r="F30" s="20"/>
      <c r="G30" s="23"/>
      <c r="L30">
        <v>46</v>
      </c>
      <c r="M30">
        <v>10157.86</v>
      </c>
      <c r="O30">
        <f>O28+O29</f>
        <v>19435.419999999998</v>
      </c>
    </row>
    <row r="31" spans="1:15" x14ac:dyDescent="0.25">
      <c r="A31" s="1" t="s">
        <v>39</v>
      </c>
      <c r="B31" s="1">
        <v>9877.56</v>
      </c>
      <c r="C31" s="64">
        <f>B31+B32-600</f>
        <v>19435.419999999998</v>
      </c>
      <c r="D31" s="76">
        <v>19000</v>
      </c>
      <c r="E31" s="25">
        <v>46092</v>
      </c>
      <c r="F31" s="19">
        <f>C31-D31</f>
        <v>435.41999999999825</v>
      </c>
      <c r="G31" s="23" t="s">
        <v>46</v>
      </c>
      <c r="M31">
        <f>SUM(M28:M30)</f>
        <v>20487.07</v>
      </c>
    </row>
    <row r="32" spans="1:15" x14ac:dyDescent="0.25">
      <c r="A32" s="1" t="s">
        <v>44</v>
      </c>
      <c r="B32" s="4">
        <v>10157.86</v>
      </c>
      <c r="C32" s="66"/>
      <c r="D32" s="62"/>
      <c r="E32" s="20"/>
      <c r="F32" s="20"/>
      <c r="G32" s="23"/>
      <c r="L32" t="s">
        <v>45</v>
      </c>
      <c r="M32">
        <v>600</v>
      </c>
    </row>
    <row r="33" spans="3:13" x14ac:dyDescent="0.25">
      <c r="C33" s="13">
        <f>SUM(C2:C32)</f>
        <v>283962.32999999996</v>
      </c>
      <c r="D33" s="63">
        <f>SUM(D2:D32)</f>
        <v>283201.58</v>
      </c>
      <c r="F33" s="13">
        <f>SUM(F2:F32)</f>
        <v>760.75000000000728</v>
      </c>
      <c r="M33">
        <v>435</v>
      </c>
    </row>
    <row r="34" spans="3:13" x14ac:dyDescent="0.25">
      <c r="D34" s="77"/>
      <c r="M34" t="e">
        <f>#REF!-M33</f>
        <v>#REF!</v>
      </c>
    </row>
  </sheetData>
  <mergeCells count="79">
    <mergeCell ref="F29:F30"/>
    <mergeCell ref="F31:F32"/>
    <mergeCell ref="G29:G30"/>
    <mergeCell ref="G31:G32"/>
    <mergeCell ref="E31:E32"/>
    <mergeCell ref="C31:C32"/>
    <mergeCell ref="D31:D32"/>
    <mergeCell ref="C29:C30"/>
    <mergeCell ref="D29:D30"/>
    <mergeCell ref="E29:E30"/>
    <mergeCell ref="C23:C24"/>
    <mergeCell ref="D23:D24"/>
    <mergeCell ref="E23:E24"/>
    <mergeCell ref="F23:F24"/>
    <mergeCell ref="G7:G9"/>
    <mergeCell ref="G10:G11"/>
    <mergeCell ref="G12:G13"/>
    <mergeCell ref="G14:G15"/>
    <mergeCell ref="G17:G18"/>
    <mergeCell ref="G19:G22"/>
    <mergeCell ref="G23:G24"/>
    <mergeCell ref="C17:C18"/>
    <mergeCell ref="D17:D18"/>
    <mergeCell ref="E17:E18"/>
    <mergeCell ref="F17:F18"/>
    <mergeCell ref="C19:C22"/>
    <mergeCell ref="D19:D20"/>
    <mergeCell ref="E19:E20"/>
    <mergeCell ref="F19:F22"/>
    <mergeCell ref="F7:F9"/>
    <mergeCell ref="C10:C11"/>
    <mergeCell ref="C12:C13"/>
    <mergeCell ref="C14:C15"/>
    <mergeCell ref="D12:D13"/>
    <mergeCell ref="F12:F13"/>
    <mergeCell ref="D14:D15"/>
    <mergeCell ref="F14:F15"/>
    <mergeCell ref="E7:E9"/>
    <mergeCell ref="E12:E13"/>
    <mergeCell ref="C7:C9"/>
    <mergeCell ref="D7:D8"/>
    <mergeCell ref="D10:D11"/>
    <mergeCell ref="F2:F3"/>
    <mergeCell ref="C2:C3"/>
    <mergeCell ref="C5:C6"/>
    <mergeCell ref="D5:D6"/>
    <mergeCell ref="F5:F6"/>
    <mergeCell ref="E2:E3"/>
    <mergeCell ref="E5:E6"/>
    <mergeCell ref="D2:D3"/>
    <mergeCell ref="L9:L11"/>
    <mergeCell ref="L12:L13"/>
    <mergeCell ref="L14:L15"/>
    <mergeCell ref="E10:E11"/>
    <mergeCell ref="F10:F11"/>
    <mergeCell ref="E14:E15"/>
    <mergeCell ref="M10:M11"/>
    <mergeCell ref="N9:N11"/>
    <mergeCell ref="M14:M15"/>
    <mergeCell ref="N14:N15"/>
    <mergeCell ref="M12:M13"/>
    <mergeCell ref="N12:N13"/>
    <mergeCell ref="K2:N2"/>
    <mergeCell ref="M4:M5"/>
    <mergeCell ref="N4:N5"/>
    <mergeCell ref="M7:M8"/>
    <mergeCell ref="N7:N8"/>
    <mergeCell ref="L4:L5"/>
    <mergeCell ref="L7:L8"/>
    <mergeCell ref="C27:C28"/>
    <mergeCell ref="D27:D28"/>
    <mergeCell ref="F27:F28"/>
    <mergeCell ref="G27:G28"/>
    <mergeCell ref="C25:C26"/>
    <mergeCell ref="G25:G26"/>
    <mergeCell ref="D25:D26"/>
    <mergeCell ref="E25:E26"/>
    <mergeCell ref="F25:F26"/>
    <mergeCell ref="E27:E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 Trading</dc:creator>
  <cp:lastModifiedBy>Mewad Trading</cp:lastModifiedBy>
  <dcterms:created xsi:type="dcterms:W3CDTF">2025-10-30T10:00:15Z</dcterms:created>
  <dcterms:modified xsi:type="dcterms:W3CDTF">2026-03-13T08:25:28Z</dcterms:modified>
</cp:coreProperties>
</file>
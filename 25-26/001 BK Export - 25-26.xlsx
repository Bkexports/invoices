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00" windowHeight="7545" activeTab="1"/>
  </bookViews>
  <sheets>
    <sheet name="Sheet2" sheetId="1" r:id="rId1"/>
    <sheet name="Sheet1" sheetId="4" r:id="rId2"/>
    <sheet name="Documentation" sheetId="6" r:id="rId3"/>
  </sheets>
  <definedNames>
    <definedName name="_xlnm._FilterDatabase" localSheetId="0" hidden="1">Sheet2!$A$1:$M$4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4" l="1"/>
  <c r="A38" i="4" l="1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<sst xmlns="http://schemas.openxmlformats.org/spreadsheetml/2006/main" count="306" uniqueCount="124">
  <si>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</si>
  <si>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</si>
  <si>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</si>
  <si>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</si>
  <si>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</si>
  <si>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</si>
  <si>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</si>
  <si>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</si>
  <si>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</si>
  <si>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</si>
  <si>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</si>
  <si>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</si>
  <si>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</si>
  <si>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</si>
  <si>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</si>
  <si>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</si>
  <si>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</si>
  <si>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</si>
  <si>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</si>
  <si>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</si>
  <si>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</si>
  <si>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</si>
  <si>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</si>
  <si>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</si>
  <si>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</si>
  <si>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</si>
  <si>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</si>
  <si>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</si>
  <si>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</si>
  <si>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</si>
  <si>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</si>
  <si>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</si>
  <si>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</si>
  <si>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</si>
  <si>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</si>
  <si>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</si>
  <si>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</si>
  <si>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</si>
  <si>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</si>
  <si>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</si>
  <si>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</si>
  <si>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</si>
  <si>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</si>
  <si>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</si>
  <si>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</si>
  <si>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</si>
  <si>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</si>
  <si>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</si>
  <si>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</si>
  <si>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</si>
  <si>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</si>
  <si>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</si>
  <si>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</si>
  <si>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</si>
  <si>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</si>
  <si>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</si>
  <si>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</si>
  <si>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</si>
  <si>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</si>
  <si>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</si>
  <si>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</si>
  <si>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</si>
  <si>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</si>
  <si>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</si>
  <si>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</si>
  <si>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</si>
  <si>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</si>
  <si>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Document Submit Date (Bank)</t>
  </si>
  <si>
    <t>RoDTEP Received</t>
  </si>
  <si>
    <t>From</t>
  </si>
  <si>
    <t>To</t>
  </si>
  <si>
    <t>Glottis</t>
  </si>
  <si>
    <t>khammam</t>
  </si>
  <si>
    <t>da nang</t>
  </si>
  <si>
    <t>GLINVN250131</t>
  </si>
  <si>
    <t xml:space="preserve"> 26-4-2025</t>
  </si>
  <si>
    <t>Ongole</t>
  </si>
  <si>
    <t xml:space="preserve">yes </t>
  </si>
  <si>
    <t>GLINVN250162</t>
  </si>
  <si>
    <t xml:space="preserve"> 03-05-2025</t>
  </si>
  <si>
    <t>Qui Nhon</t>
  </si>
  <si>
    <t>GLINVN25021B</t>
  </si>
  <si>
    <t xml:space="preserve"> 06-05-2025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</si>
  <si>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</si>
  <si>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</si>
  <si>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</si>
  <si>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</si>
  <si>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</si>
  <si>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</si>
  <si>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</si>
  <si>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</si>
  <si>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</si>
  <si>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</si>
  <si>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</si>
  <si>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</si>
  <si>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</si>
  <si>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</si>
  <si>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</si>
  <si>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</si>
  <si>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</si>
  <si>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</si>
  <si>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</si>
  <si>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</si>
  <si>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</si>
  <si>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</si>
  <si>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</si>
  <si>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</si>
  <si>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</si>
  <si>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</si>
  <si>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</si>
  <si>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</si>
  <si>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</si>
  <si>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</si>
  <si>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</si>
  <si>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</si>
  <si>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</si>
  <si>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</si>
  <si>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</si>
  <si>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</si>
  <si>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</si>
  <si>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</si>
  <si>
    <t>BK031</t>
  </si>
  <si>
    <t>BK032</t>
  </si>
  <si>
    <t>cat lai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</si>
</sst>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800]dddd\,\ mmmm\ dd\,\ yyyy"/>
    <numFmt numFmtId="165" formatCode="[$-14009]d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0" fontId="0" fillId="0" borderId="0" xfId="0" applyFill="1"/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164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14" fontId="0" fillId="0" borderId="2" xfId="0" applyNumberFormat="1" applyFill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2" fontId="0" fillId="0" borderId="2" xfId="0" applyNumberFormat="1" applyFill="1" applyBorder="1"/>
    <xf numFmtId="164" fontId="0" fillId="0" borderId="1" xfId="0" applyNumberFormat="1" applyBorder="1"/>
    <xf numFmtId="0" fontId="0" fillId="0" borderId="2" xfId="0" applyFill="1" applyBorder="1" applyAlignment="1">
      <alignment horizontal="right" vertical="center"/>
    </xf>
    <xf numFmtId="0" fontId="1" fillId="4" borderId="3" xfId="0" applyFont="1" applyFill="1" applyBorder="1"/>
    <xf numFmtId="0" fontId="0" fillId="0" borderId="1" xfId="0" applyFill="1" applyBorder="1"/>
    <xf numFmtId="15" fontId="0" fillId="0" borderId="1" xfId="0" applyNumberFormat="1" applyBorder="1"/>
    <xf numFmtId="14" fontId="0" fillId="0" borderId="1" xfId="0" applyNumberFormat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15" fontId="0" fillId="0" borderId="0" xfId="0" applyNumberFormat="1" applyAlignment="1"/>
    <xf numFmtId="0" fontId="0" fillId="0" borderId="0" xfId="0" applyAlignment="1"/>
    <xf numFmtId="0" fontId="0" fillId="6" borderId="1" xfId="0" applyFill="1" applyBorder="1"/>
    <xf numFmtId="15" fontId="0" fillId="6" borderId="1" xfId="0" applyNumberFormat="1" applyFill="1" applyBorder="1"/>
    <xf numFmtId="15" fontId="0" fillId="6" borderId="1" xfId="0" applyNumberFormat="1" applyFill="1" applyBorder="1" applyAlignment="1"/>
    <xf numFmtId="14" fontId="0" fillId="6" borderId="1" xfId="0" applyNumberFormat="1" applyFill="1" applyBorder="1"/>
    <xf numFmtId="165" fontId="1" fillId="3" borderId="1" xfId="0" applyNumberFormat="1" applyFont="1" applyFill="1" applyBorder="1" applyAlignment="1">
      <alignment horizontal="left" vertical="top"/>
    </xf>
    <xf numFmtId="165" fontId="2" fillId="6" borderId="1" xfId="0" applyNumberFormat="1" applyFont="1" applyFill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0" fillId="0" borderId="0" xfId="0" applyNumberFormat="1"/>
    <xf numFmtId="165" fontId="1" fillId="3" borderId="1" xfId="0" applyNumberFormat="1" applyFont="1" applyFill="1" applyBorder="1" applyAlignment="1">
      <alignment horizontal="left" vertical="top" wrapText="1"/>
    </xf>
    <xf numFmtId="165" fontId="0" fillId="6" borderId="1" xfId="0" applyNumberFormat="1" applyFill="1" applyBorder="1"/>
    <xf numFmtId="165" fontId="0" fillId="0" borderId="1" xfId="0" applyNumberFormat="1" applyBorder="1"/>
    <xf numFmtId="0" fontId="0" fillId="7" borderId="1" xfId="0" applyFont="1" applyFill="1" applyBorder="1"/>
    <xf numFmtId="14" fontId="0" fillId="7" borderId="1" xfId="0" applyNumberFormat="1" applyFill="1" applyBorder="1"/>
    <xf numFmtId="14" fontId="3" fillId="7" borderId="1" xfId="0" applyNumberFormat="1" applyFont="1" applyFill="1" applyBorder="1"/>
    <xf numFmtId="0" fontId="0" fillId="6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xmlns="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xmlns="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xmlns="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xmlns="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xmlns="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xmlns="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xmlns="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xmlns="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xmlns="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xmlns="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xmlns="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xmlns="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xmlns="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xmlns="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xmlns="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xmlns="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xmlns="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xmlns="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xmlns="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xmlns="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xmlns="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xmlns="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xmlns="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xmlns="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xmlns="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xmlns="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xmlns="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xmlns="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xmlns="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xmlns="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xmlns="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xmlns="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xmlns="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xmlns="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xmlns="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xmlns="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xmlns="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xmlns="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xmlns="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xmlns="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xmlns="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xmlns="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xmlns="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xmlns="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xmlns="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xmlns="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xmlns="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xmlns="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xmlns="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xmlns="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xmlns="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xmlns="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xmlns="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xmlns="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xmlns="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xmlns="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xmlns="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xmlns="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xmlns="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xmlns="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xmlns="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xmlns="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xmlns="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xmlns="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xmlns="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xmlns="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xmlns="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xmlns="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xmlns="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xmlns="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xmlns="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xmlns="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xmlns="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xmlns="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xmlns="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xmlns="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xmlns="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xmlns="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xmlns="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xmlns="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xmlns="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xmlns="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xmlns="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xmlns="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xmlns="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xmlns="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xmlns="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xmlns="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xmlns="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xmlns="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xmlns="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xmlns="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xmlns="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xmlns="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xmlns="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xmlns="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xmlns="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xmlns="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xmlns="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xmlns="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xmlns="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xmlns="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xmlns="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xmlns="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xmlns="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xmlns="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xmlns="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xmlns="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xmlns="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xmlns="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xmlns="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xmlns="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xmlns="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xmlns="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xmlns="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xmlns="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xmlns="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xmlns="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xmlns="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xmlns="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xmlns="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xmlns="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xmlns="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xmlns="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xmlns="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xmlns="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xmlns="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xmlns="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xmlns="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xmlns="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xmlns="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xmlns="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xmlns="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xmlns="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xmlns="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xmlns="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xmlns="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xmlns="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xmlns="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xmlns="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xmlns="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xmlns="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xmlns="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xmlns="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xmlns="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xmlns="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xmlns="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xmlns="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xmlns="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xmlns="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xmlns="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xmlns="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xmlns="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xmlns="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xmlns="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xmlns="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xmlns="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xmlns="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xmlns="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xmlns="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xmlns="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xmlns="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xmlns="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xmlns="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xmlns="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xmlns="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xmlns="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xmlns="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xmlns="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xmlns="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xmlns="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xmlns="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xmlns="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xmlns="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xmlns="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xmlns="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xmlns="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xmlns="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xmlns="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xmlns="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xmlns="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xmlns="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xmlns="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xmlns="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xmlns="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xmlns="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xmlns="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xmlns="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xmlns="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xmlns="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xmlns="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xmlns="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xmlns="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xmlns="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xmlns="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xmlns="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xmlns="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xmlns="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xmlns="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xmlns="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xmlns="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xmlns="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xmlns="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xmlns="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xmlns="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xmlns="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xmlns="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xmlns="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xmlns="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xmlns="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xmlns="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xmlns="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xmlns="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xmlns="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xmlns="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xmlns="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xmlns="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xmlns="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xmlns="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xmlns="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xmlns="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xmlns="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xmlns="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xmlns="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xmlns="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xmlns="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xmlns="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xmlns="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xmlns="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xmlns="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xmlns="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xmlns="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xmlns="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xmlns="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xmlns="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xmlns="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xmlns="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xmlns="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xmlns="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xmlns="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xmlns="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xmlns="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xmlns="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xmlns="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xmlns="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xmlns="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xmlns="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xmlns="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xmlns="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xmlns="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xmlns="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xmlns="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xmlns="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xmlns="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xmlns="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xmlns="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xmlns="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xmlns="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xmlns="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xmlns="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xmlns="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xmlns="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xmlns="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xmlns="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xmlns="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xmlns="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xmlns="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xmlns="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xmlns="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xmlns="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xmlns="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xmlns="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xmlns="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xmlns="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xmlns="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xmlns="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xmlns="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xmlns="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xmlns="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xmlns="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xmlns="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xmlns="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xmlns="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xmlns="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xmlns="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xmlns="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xmlns="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xmlns="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xmlns="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xmlns="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xmlns="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xmlns="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xmlns="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xmlns="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xmlns="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xmlns="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xmlns="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xmlns="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xmlns="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xmlns="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xmlns="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xmlns="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xmlns="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xmlns="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xmlns="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xmlns="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xmlns="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xmlns="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xmlns="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xmlns="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xmlns="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xmlns="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xmlns="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xmlns="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xmlns="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xmlns="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xmlns="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xmlns="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xmlns="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xmlns="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xmlns="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xmlns="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xmlns="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xmlns="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xmlns="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xmlns="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xmlns="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xmlns="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xmlns="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xmlns="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xmlns="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xmlns="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xmlns="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xmlns="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xmlns="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xmlns="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xmlns="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xmlns="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xmlns="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xmlns="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xmlns="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xmlns="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xmlns="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xmlns="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xmlns="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xmlns="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xmlns="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xmlns="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xmlns="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xmlns="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xmlns="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xmlns="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xmlns="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xmlns="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xmlns="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xmlns="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xmlns="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xmlns="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xmlns="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xmlns="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xmlns="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xmlns="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xmlns="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xmlns="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xmlns="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xmlns="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xmlns="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xmlns="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xmlns="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xmlns="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xmlns="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xmlns="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xmlns="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xmlns="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xmlns="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xmlns="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xmlns="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xmlns="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xmlns="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xmlns="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xmlns="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xmlns="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xmlns="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xmlns="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xmlns="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xmlns="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xmlns="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xmlns="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xmlns="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xmlns="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xmlns="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xmlns="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xmlns="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xmlns="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xmlns="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xmlns="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xmlns="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xmlns="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xmlns="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xmlns="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xmlns="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xmlns="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xmlns="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xmlns="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xmlns="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xmlns="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xmlns="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xmlns="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xmlns="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xmlns="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xmlns="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xmlns="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xmlns="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xmlns="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xmlns="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xmlns="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xmlns="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xmlns="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xmlns="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xmlns="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xmlns="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xmlns="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xmlns="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xmlns="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xmlns="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xmlns="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xmlns="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xmlns="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xmlns="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xmlns="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xmlns="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xmlns="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xmlns="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xmlns="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xmlns="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xmlns="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xmlns="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xmlns="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xmlns="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xmlns="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xmlns="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xmlns="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xmlns="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xmlns="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xmlns="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xmlns="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xmlns="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xmlns="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xmlns="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xmlns="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xmlns="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xmlns="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xmlns="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xmlns="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xmlns="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xmlns="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xmlns="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xmlns="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xmlns="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xmlns="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xmlns="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xmlns="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xmlns="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xmlns="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xmlns="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xmlns="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xmlns="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xmlns="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xmlns="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xmlns="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xmlns="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xmlns="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xmlns="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xmlns="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xmlns="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xmlns="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xmlns="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xmlns="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xmlns="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xmlns="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xmlns="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xmlns="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xmlns="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xmlns="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xmlns="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xmlns="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xmlns="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xmlns="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xmlns="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xmlns="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xmlns="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xmlns="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xmlns="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xmlns="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xmlns="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xmlns="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xmlns="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xmlns="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xmlns="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xmlns="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xmlns="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xmlns="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xmlns="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xmlns="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xmlns="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xmlns="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xmlns="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xmlns="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xmlns="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xmlns="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xmlns="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xmlns="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xmlns="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xmlns="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xmlns="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xmlns="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xmlns="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xmlns="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xmlns="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xmlns="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xmlns="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xmlns="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xmlns="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xmlns="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xmlns="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xmlns="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xmlns="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xmlns="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xmlns="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xmlns="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xmlns="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xmlns="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xmlns="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xmlns="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xmlns="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xmlns="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xmlns="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xmlns="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xmlns="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xmlns="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xmlns="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xmlns="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xmlns="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xmlns="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xmlns="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xmlns="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xmlns="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xmlns="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xmlns="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xmlns="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xmlns="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xmlns="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xmlns="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xmlns="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xmlns="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xmlns="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xmlns="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xmlns="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xmlns="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xmlns="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xmlns="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xmlns="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xmlns="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xmlns="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xmlns="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xmlns="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xmlns="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xmlns="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xmlns="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xmlns="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xmlns="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xmlns="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xmlns="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xmlns="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xmlns="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xmlns="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xmlns="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xmlns="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xmlns="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xmlns="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xmlns="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xmlns="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xmlns="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xmlns="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xmlns="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xmlns="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xmlns="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xmlns="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xmlns="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xmlns="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xmlns="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xmlns="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xmlns="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xmlns="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xmlns="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xmlns="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xmlns="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xmlns="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xmlns="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xmlns="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xmlns="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xmlns="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xmlns="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xmlns="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xmlns="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xmlns="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xmlns="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xmlns="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xmlns="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xmlns="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xmlns="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xmlns="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xmlns="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xmlns="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xmlns="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xmlns="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xmlns="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xmlns="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xmlns="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xmlns="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xmlns="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xmlns="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xmlns="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xmlns="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xmlns="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xmlns="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xmlns="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xmlns="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xmlns="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xmlns="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xmlns="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xmlns="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xmlns="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xmlns="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xmlns="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xmlns="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xmlns="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xmlns="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xmlns="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xmlns="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xmlns="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xmlns="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xmlns="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xmlns="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xmlns="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xmlns="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xmlns="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xmlns="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xmlns="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xmlns="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xmlns="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xmlns="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xmlns="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xmlns="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xmlns="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xmlns="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xmlns="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xmlns="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xmlns="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xmlns="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xmlns="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xmlns="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xmlns="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xmlns="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xmlns="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xmlns="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xmlns="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xmlns="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xmlns="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xmlns="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xmlns="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xmlns="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xmlns="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xmlns="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xmlns="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xmlns="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xmlns="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xmlns="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xmlns="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xmlns="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xmlns="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xmlns="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xmlns="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xmlns="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xmlns="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xmlns="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xmlns="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xmlns="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xmlns="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xmlns="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xmlns="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xmlns="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xmlns="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xmlns="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xmlns="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xmlns="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xmlns="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xmlns="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xmlns="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xmlns="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xmlns="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xmlns="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xmlns="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xmlns="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xmlns="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xmlns="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xmlns="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xmlns="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xmlns="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xmlns="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xmlns="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xmlns="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xmlns="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xmlns="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xmlns="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xmlns="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xmlns="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xmlns="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xmlns="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xmlns="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xmlns="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xmlns="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xmlns="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xmlns="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xmlns="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xmlns="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xmlns="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xmlns="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xmlns="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xmlns="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xmlns="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xmlns="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xmlns="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xmlns="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xmlns="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xmlns="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xmlns="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xmlns="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xmlns="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xmlns="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xmlns="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xmlns="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xmlns="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xmlns="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xmlns="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xmlns="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xmlns="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xmlns="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xmlns="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xmlns="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xmlns="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xmlns="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xmlns="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xmlns="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xmlns="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xmlns="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xmlns="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xmlns="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xmlns="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xmlns="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xmlns="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xmlns="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xmlns="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xmlns="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xmlns="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xmlns="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xmlns="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xmlns="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xmlns="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xmlns="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xmlns="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xmlns="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xmlns="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xmlns="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xmlns="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xmlns="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xmlns="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xmlns="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xmlns="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xmlns="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xmlns="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xmlns="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xmlns="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xmlns="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xmlns="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xmlns="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xmlns="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xmlns="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xmlns="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xmlns="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xmlns="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xmlns="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xmlns="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xmlns="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xmlns="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xmlns="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xmlns="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xmlns="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xmlns="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xmlns="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xmlns="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xmlns="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xmlns="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xmlns="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xmlns="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xmlns="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xmlns="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xmlns="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xmlns="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xmlns="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xmlns="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xmlns="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xmlns="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xmlns="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xmlns="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xmlns="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xmlns="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xmlns="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xmlns="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xmlns="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xmlns="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xmlns="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xmlns="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xmlns="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xmlns="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xmlns="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xmlns="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xmlns="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xmlns="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xmlns="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xmlns="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xmlns="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xmlns="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xmlns="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xmlns="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xmlns="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xmlns="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xmlns="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xmlns="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xmlns="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xmlns="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xmlns="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xmlns="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xmlns="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xmlns="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xmlns="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xmlns="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xmlns="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xmlns="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xmlns="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xmlns="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xmlns="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xmlns="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xmlns="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xmlns="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xmlns="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xmlns="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xmlns="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xmlns="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xmlns="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xmlns="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xmlns="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xmlns="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xmlns="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xmlns="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xmlns="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xmlns="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xmlns="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xmlns="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xmlns="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xmlns="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xmlns="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xmlns="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xmlns="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xmlns="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xmlns="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xmlns="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xmlns="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xmlns="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xmlns="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xmlns="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xmlns="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xmlns="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xmlns="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xmlns="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xmlns="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xmlns="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xmlns="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xmlns="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xmlns="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xmlns="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xmlns="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xmlns="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xmlns="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xmlns="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xmlns="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xmlns="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xmlns="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xmlns="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xmlns="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xmlns="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xmlns="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xmlns="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xmlns="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xmlns="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xmlns="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xmlns="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xmlns="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xmlns="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xmlns="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xmlns="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xmlns="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xmlns="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xmlns="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xmlns="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xmlns="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xmlns="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xmlns="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xmlns="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xmlns="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xmlns="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xmlns="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xmlns="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xmlns="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xmlns="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xmlns="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xmlns="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xmlns="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xmlns="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xmlns="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xmlns="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xmlns="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xmlns="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xmlns="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xmlns="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xmlns="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xmlns="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xmlns="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xmlns="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xmlns="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xmlns="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xmlns="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xmlns="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xmlns="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xmlns="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xmlns="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xmlns="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xmlns="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xmlns="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xmlns="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xmlns="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xmlns="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xmlns="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xmlns="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xmlns="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xmlns="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xmlns="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xmlns="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xmlns="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xmlns="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xmlns="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xmlns="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xmlns="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xmlns="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xmlns="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xmlns="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xmlns="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xmlns="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xmlns="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xmlns="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xmlns="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xmlns="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xmlns="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xmlns="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xmlns="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xmlns="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xmlns="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xmlns="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xmlns="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xmlns="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xmlns="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xmlns="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xmlns="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xmlns="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xmlns="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xmlns="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xmlns="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xmlns="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xmlns="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xmlns="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xmlns="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xmlns="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xmlns="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xmlns="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xmlns="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xmlns="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xmlns="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xmlns="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xmlns="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xmlns="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xmlns="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xmlns="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xmlns="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xmlns="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xmlns="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xmlns="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xmlns="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xmlns="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xmlns="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xmlns="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xmlns="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xmlns="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xmlns="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xmlns="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xmlns="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xmlns="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xmlns="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xmlns="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xmlns="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xmlns="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xmlns="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xmlns="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xmlns="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xmlns="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xmlns="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xmlns="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xmlns="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xmlns="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xmlns="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xmlns="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xmlns="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xmlns="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xmlns="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xmlns="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xmlns="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xmlns="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xmlns="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xmlns="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xmlns="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xmlns="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xmlns="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xmlns="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xmlns="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xmlns="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xmlns="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xmlns="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xmlns="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xmlns="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xmlns="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xmlns="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xmlns="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xmlns="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xmlns="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xmlns="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xmlns="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xmlns="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xmlns="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xmlns="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xmlns="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xmlns="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xmlns="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xmlns="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xmlns="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xmlns="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xmlns="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xmlns="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xmlns="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xmlns="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xmlns="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xmlns="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xmlns="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xmlns="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xmlns="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xmlns="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xmlns="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xmlns="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xmlns="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xmlns="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xmlns="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xmlns="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xmlns="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xmlns="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xmlns="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xmlns="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xmlns="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xmlns="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xmlns="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xmlns="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xmlns="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xmlns="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xmlns="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xmlns="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xmlns="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xmlns="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xmlns="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xmlns="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xmlns="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xmlns="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xmlns="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xmlns="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xmlns="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xmlns="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xmlns="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xmlns="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xmlns="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xmlns="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xmlns="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xmlns="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xmlns="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xmlns="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xmlns="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xmlns="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xmlns="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xmlns="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xmlns="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xmlns="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xmlns="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xmlns="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xmlns="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xmlns="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xmlns="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xmlns="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xmlns="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xmlns="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xmlns="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xmlns="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xmlns="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xmlns="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xmlns="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xmlns="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xmlns="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xmlns="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xmlns="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xmlns="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xmlns="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xmlns="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xmlns="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xmlns="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xmlns="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xmlns="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xmlns="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xmlns="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xmlns="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xmlns="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xmlns="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xmlns="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xmlns="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xmlns="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xmlns="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xmlns="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xmlns="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xmlns="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xmlns="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xmlns="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xmlns="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xmlns="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xmlns="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xmlns="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xmlns="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xmlns="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xmlns="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xmlns="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xmlns="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xmlns="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xmlns="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xmlns="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xmlns="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xmlns="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xmlns="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xmlns="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xmlns="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xmlns="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xmlns="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xmlns="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xmlns="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xmlns="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xmlns="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xmlns="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xmlns="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xmlns="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xmlns="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xmlns="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xmlns="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xmlns="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xmlns="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xmlns="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xmlns="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xmlns="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xmlns="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xmlns="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xmlns="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xmlns="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xmlns="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xmlns="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xmlns="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xmlns="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xmlns="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xmlns="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xmlns="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xmlns="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xmlns="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xmlns="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xmlns="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xmlns="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xmlns="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xmlns="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xmlns="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xmlns="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xmlns="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xmlns="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xmlns="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xmlns="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xmlns="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xmlns="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xmlns="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xmlns="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xmlns="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xmlns="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xmlns="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xmlns="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xmlns="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xmlns="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xmlns="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xmlns="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xmlns="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xmlns="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xmlns="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xmlns="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xmlns="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xmlns="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xmlns="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xmlns="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xmlns="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xmlns="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xmlns="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xmlns="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xmlns="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xmlns="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xmlns="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xmlns="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xmlns="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xmlns="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xmlns="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xmlns="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xmlns="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xmlns="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xmlns="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xmlns="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xmlns="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xmlns="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xmlns="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xmlns="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xmlns="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xmlns="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xmlns="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xmlns="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xmlns="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xmlns="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xmlns="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xmlns="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xmlns="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xmlns="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xmlns="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xmlns="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xmlns="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xmlns="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xmlns="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xmlns="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xmlns="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xmlns="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xmlns="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xmlns="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xmlns="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xmlns="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xmlns="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xmlns="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xmlns="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xmlns="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xmlns="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xmlns="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xmlns="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xmlns="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xmlns="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xmlns="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xmlns="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xmlns="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xmlns="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xmlns="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xmlns="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xmlns="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xmlns="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xmlns="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xmlns="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xmlns="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xmlns="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xmlns="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xmlns="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xmlns="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xmlns="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xmlns="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xmlns="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xmlns="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xmlns="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xmlns="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xmlns="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xmlns="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xmlns="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xmlns="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xmlns="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xmlns="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xmlns="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xmlns="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xmlns="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xmlns="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xmlns="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xmlns="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xmlns="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xmlns="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xmlns="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xmlns="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xmlns="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xmlns="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xmlns="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xmlns="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xmlns="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xmlns="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xmlns="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xmlns="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xmlns="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xmlns="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xmlns="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xmlns="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xmlns="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xmlns="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xmlns="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xmlns="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xmlns="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xmlns="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xmlns="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xmlns="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xmlns="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xmlns="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xmlns="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xmlns="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xmlns="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xmlns="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xmlns="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xmlns="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xmlns="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xmlns="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xmlns="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xmlns="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xmlns="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xmlns="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xmlns="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xmlns="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xmlns="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xmlns="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xmlns="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xmlns="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xmlns="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xmlns="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xmlns="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xmlns="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xmlns="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xmlns="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xmlns="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xmlns="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xmlns="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xmlns="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xmlns="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xmlns="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xmlns="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xmlns="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xmlns="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xmlns="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xmlns="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xmlns="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xmlns="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xmlns="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xmlns="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xmlns="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xmlns="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xmlns="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xmlns="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xmlns="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xmlns="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xmlns="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xmlns="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xmlns="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xmlns="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xmlns="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xmlns="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xmlns="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xmlns="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xmlns="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xmlns="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xmlns="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xmlns="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xmlns="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xmlns="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xmlns="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xmlns="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xmlns="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xmlns="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xmlns="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xmlns="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xmlns="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xmlns="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xmlns="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xmlns="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xmlns="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xmlns="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xmlns="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xmlns="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xmlns="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xmlns="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xmlns="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xmlns="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xmlns="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xmlns="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xmlns="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xmlns="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xmlns="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xmlns="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xmlns="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xmlns="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xmlns="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xmlns="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xmlns="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xmlns="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xmlns="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xmlns="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xmlns="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xmlns="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xmlns="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xmlns="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xmlns="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xmlns="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xmlns="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xmlns="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xmlns="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xmlns="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xmlns="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xmlns="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xmlns="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xmlns="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xmlns="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xmlns="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xmlns="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xmlns="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xmlns="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xmlns="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xmlns="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xmlns="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xmlns="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xmlns="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xmlns="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xmlns="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xmlns="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xmlns="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xmlns="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xmlns="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xmlns="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xmlns="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xmlns="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xmlns="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xmlns="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xmlns="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xmlns="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xmlns="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xmlns="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xmlns="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xmlns="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xmlns="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xmlns="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xmlns="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xmlns="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xmlns="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xmlns="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xmlns="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xmlns="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xmlns="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xmlns="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xmlns="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xmlns="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xmlns="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xmlns="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xmlns="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xmlns="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xmlns="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xmlns="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xmlns="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xmlns="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xmlns="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xmlns="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xmlns="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xmlns="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xmlns="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xmlns="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xmlns="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xmlns="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xmlns="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xmlns="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xmlns="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xmlns="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xmlns="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xmlns="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xmlns="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xmlns="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xmlns="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xmlns="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xmlns="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xmlns="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xmlns="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xmlns="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xmlns="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xmlns="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xmlns="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xmlns="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xmlns="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xmlns="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xmlns="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xmlns="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xmlns="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xmlns="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xmlns="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xmlns="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xmlns="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xmlns="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xmlns="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xmlns="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xmlns="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xmlns="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xmlns="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xmlns="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xmlns="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xmlns="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xmlns="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xmlns="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xmlns="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xmlns="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xmlns="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xmlns="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xmlns="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xmlns="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xmlns="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xmlns="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xmlns="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xmlns="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xmlns="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xmlns="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xmlns="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xmlns="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xmlns="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xmlns="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xmlns="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xmlns="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xmlns="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xmlns="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xmlns="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xmlns="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xmlns="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xmlns="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xmlns="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xmlns="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xmlns="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xmlns="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xmlns="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xmlns="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xmlns="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xmlns="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xmlns="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xmlns="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xmlns="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xmlns="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xmlns="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xmlns="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xmlns="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xmlns="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xmlns="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xmlns="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xmlns="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xmlns="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xmlns="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xmlns="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xmlns="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xmlns="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xmlns="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xmlns="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xmlns="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xmlns="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xmlns="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xmlns="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xmlns="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xmlns="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xmlns="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xmlns="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xmlns="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xmlns="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xmlns="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xmlns="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xmlns="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xmlns="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xmlns="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xmlns="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xmlns="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xmlns="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xmlns="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xmlns="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xmlns="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xmlns="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xmlns="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xmlns="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xmlns="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xmlns="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xmlns="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xmlns="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xmlns="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xmlns="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xmlns="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xmlns="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xmlns="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xmlns="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xmlns="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xmlns="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xmlns="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xmlns="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xmlns="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xmlns="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xmlns="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xmlns="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xmlns="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xmlns="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xmlns="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xmlns="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xmlns="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xmlns="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xmlns="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xmlns="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xmlns="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xmlns="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xmlns="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xmlns="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xmlns="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xmlns="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xmlns="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xmlns="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xmlns="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xmlns="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xmlns="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xmlns="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xmlns="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xmlns="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xmlns="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xmlns="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xmlns="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xmlns="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xmlns="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xmlns="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xmlns="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xmlns="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xmlns="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xmlns="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xmlns="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xmlns="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xmlns="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xmlns="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xmlns="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xmlns="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xmlns="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xmlns="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xmlns="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xmlns="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xmlns="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xmlns="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xmlns="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xmlns="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xmlns="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xmlns="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xmlns="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xmlns="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xmlns="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xmlns="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xmlns="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xmlns="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xmlns="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xmlns="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xmlns="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xmlns="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xmlns="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xmlns="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xmlns="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xmlns="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xmlns="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xmlns="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xmlns="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xmlns="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xmlns="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xmlns="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xmlns="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xmlns="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xmlns="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xmlns="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xmlns="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xmlns="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xmlns="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xmlns="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xmlns="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xmlns="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xmlns="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xmlns="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xmlns="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xmlns="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xmlns="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xmlns="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xmlns="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xmlns="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xmlns="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xmlns="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xmlns="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xmlns="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xmlns="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xmlns="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xmlns="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xmlns="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xmlns="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xmlns="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xmlns="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xmlns="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xmlns="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xmlns="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xmlns="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xmlns="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xmlns="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xmlns="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xmlns="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xmlns="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xmlns="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xmlns="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xmlns="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xmlns="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xmlns="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xmlns="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xmlns="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xmlns="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xmlns="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xmlns="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xmlns="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xmlns="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xmlns="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xmlns="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xmlns="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xmlns="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xmlns="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xmlns="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xmlns="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xmlns="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xmlns="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xmlns="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xmlns="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xmlns="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xmlns="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xmlns="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xmlns="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xmlns="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xmlns="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xmlns="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xmlns="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xmlns="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xmlns="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xmlns="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xmlns="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xmlns="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xmlns="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xmlns="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xmlns="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xmlns="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xmlns="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xmlns="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xmlns="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xmlns="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xmlns="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xmlns="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xmlns="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xmlns="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xmlns="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xmlns="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xmlns="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xmlns="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xmlns="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xmlns="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xmlns="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xmlns="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xmlns="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xmlns="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xmlns="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xmlns="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xmlns="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xmlns="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xmlns="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xmlns="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xmlns="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xmlns="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xmlns="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xmlns="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xmlns="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xmlns="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xmlns="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xmlns="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xmlns="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xmlns="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xmlns="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xmlns="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xmlns="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xmlns="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xmlns="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xmlns="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xmlns="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xmlns="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xmlns="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xmlns="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xmlns="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xmlns="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xmlns="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xmlns="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xmlns="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xmlns="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xmlns="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xmlns="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xmlns="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xmlns="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xmlns="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xmlns="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xmlns="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xmlns="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xmlns="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xmlns="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xmlns="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xmlns="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xmlns="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xmlns="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xmlns="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xmlns="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xmlns="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xmlns="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xmlns="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6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1" t="s">
        <v>20</v>
      </c>
      <c r="B2" s="19" t="s">
        <v>20</v>
      </c>
      <c r="C2" s="11" t="s">
        <v>20</v>
      </c>
      <c r="D2" s="11" t="s">
        <v>20</v>
      </c>
      <c r="E2" s="12" t="s">
        <v>20</v>
      </c>
      <c r="F2" s="11" t="s">
        <v>20</v>
      </c>
      <c r="G2" s="10" t="s">
        <v>20</v>
      </c>
      <c r="H2" s="3" t="s">
        <v>20</v>
      </c>
      <c r="I2" s="9" t="s">
        <v>20</v>
      </c>
      <c r="J2" s="1" t="s">
        <v>20</v>
      </c>
      <c r="K2" s="1" t="s">
        <v>20</v>
      </c>
      <c r="L2" s="1"/>
      <c r="M2" s="13"/>
    </row>
    <row r="3" spans="1:14" s="8" customFormat="1" x14ac:dyDescent="0.25">
      <c r="A3" s="20" t="s">
        <v>13</v>
      </c>
      <c r="B3" s="16">
        <v>45383</v>
      </c>
      <c r="C3" s="27">
        <v>5189.59</v>
      </c>
      <c r="D3" s="20"/>
      <c r="E3" s="21" t="s">
        <v>20</v>
      </c>
      <c r="F3" s="20"/>
      <c r="G3" s="21" t="s">
        <v>20</v>
      </c>
      <c r="H3" s="22" t="s">
        <v>20</v>
      </c>
      <c r="I3" s="23" t="s">
        <v>20</v>
      </c>
      <c r="J3" s="24" t="s">
        <v>7</v>
      </c>
      <c r="K3" t="s">
        <v>44</v>
      </c>
      <c r="L3" s="24" t="s">
        <v>42</v>
      </c>
      <c r="M3" s="25"/>
    </row>
    <row r="4" spans="1:14" s="8" customFormat="1" x14ac:dyDescent="0.25">
      <c r="A4" s="2" t="s">
        <v>12</v>
      </c>
      <c r="B4" s="26">
        <v>45414</v>
      </c>
      <c r="C4" s="2">
        <v>5277.77</v>
      </c>
      <c r="D4" s="2"/>
      <c r="E4" s="2"/>
      <c r="F4" s="2"/>
      <c r="G4" s="2"/>
      <c r="H4" s="2"/>
      <c r="I4" s="2"/>
      <c r="J4" s="2" t="s">
        <v>50</v>
      </c>
      <c r="K4" s="2" t="s">
        <v>51</v>
      </c>
      <c r="L4" s="2" t="s">
        <v>52</v>
      </c>
      <c r="M4" s="2"/>
    </row>
    <row r="5" spans="1:14" s="8" customFormat="1" x14ac:dyDescent="0.25">
      <c r="A5" s="2" t="s">
        <v>11</v>
      </c>
      <c r="B5" s="26">
        <v>45415</v>
      </c>
      <c r="C5" s="2">
        <v>5509.13</v>
      </c>
      <c r="D5" s="2"/>
      <c r="E5" s="2"/>
      <c r="F5" s="2"/>
      <c r="G5" s="2"/>
      <c r="H5" s="2"/>
      <c r="I5" s="2"/>
      <c r="J5" s="2" t="s">
        <v>53</v>
      </c>
      <c r="K5" s="2" t="s">
        <v>54</v>
      </c>
      <c r="L5" s="2" t="s">
        <v>55</v>
      </c>
      <c r="M5" s="2"/>
    </row>
    <row r="6" spans="1:14" x14ac:dyDescent="0.25">
      <c r="A6" s="2" t="s">
        <v>10</v>
      </c>
      <c r="B6" s="26">
        <v>45441</v>
      </c>
      <c r="C6" s="2">
        <v>5231.75</v>
      </c>
      <c r="D6" s="2"/>
      <c r="E6" s="2"/>
      <c r="F6" s="2"/>
      <c r="G6" s="2"/>
      <c r="H6" s="2"/>
      <c r="I6" s="2"/>
      <c r="J6" s="2" t="s">
        <v>56</v>
      </c>
      <c r="K6" s="29" t="s">
        <v>57</v>
      </c>
      <c r="L6" s="2" t="s">
        <v>58</v>
      </c>
      <c r="M6" s="2"/>
    </row>
    <row r="7" spans="1:14" x14ac:dyDescent="0.25">
      <c r="A7" s="2" t="s">
        <v>45</v>
      </c>
      <c r="B7" s="26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59</v>
      </c>
      <c r="L7" s="2" t="s">
        <v>60</v>
      </c>
      <c r="M7" s="2"/>
    </row>
    <row r="8" spans="1:14" s="8" customFormat="1" x14ac:dyDescent="0.25">
      <c r="A8" s="2" t="s">
        <v>46</v>
      </c>
      <c r="B8" s="26">
        <v>45505</v>
      </c>
      <c r="C8" s="2">
        <v>9368.35</v>
      </c>
      <c r="D8" s="2"/>
      <c r="E8" s="2"/>
      <c r="F8" s="2"/>
      <c r="G8" s="2"/>
      <c r="H8" s="2"/>
      <c r="I8" s="2"/>
      <c r="J8" s="2" t="s">
        <v>61</v>
      </c>
      <c r="K8" t="s">
        <v>62</v>
      </c>
      <c r="L8" s="2" t="s">
        <v>63</v>
      </c>
      <c r="M8" s="2"/>
    </row>
    <row r="9" spans="1:14" s="8" customFormat="1" x14ac:dyDescent="0.25">
      <c r="A9" s="2" t="s">
        <v>47</v>
      </c>
      <c r="B9" s="26">
        <v>45506</v>
      </c>
      <c r="C9" s="2">
        <v>5289.85</v>
      </c>
      <c r="D9" s="2"/>
      <c r="E9" s="2"/>
      <c r="F9" s="2"/>
      <c r="G9" s="2"/>
      <c r="H9" s="2"/>
      <c r="I9" s="2"/>
      <c r="J9" s="2" t="s">
        <v>64</v>
      </c>
      <c r="K9" t="s">
        <v>65</v>
      </c>
      <c r="L9" s="2" t="s">
        <v>66</v>
      </c>
      <c r="M9" s="2"/>
    </row>
    <row r="10" spans="1:14" x14ac:dyDescent="0.25">
      <c r="A10" s="2"/>
      <c r="B10" s="26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2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26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2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2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59"/>
  <sheetViews>
    <sheetView tabSelected="1" zoomScaleNormal="100" workbookViewId="0">
      <pane ySplit="1" topLeftCell="A17" activePane="bottomLeft" state="frozen"/>
      <selection pane="bottomLeft" activeCell="J34" sqref="J34"/>
    </sheetView>
  </sheetViews>
  <sheetFormatPr defaultRowHeight="15" x14ac:dyDescent="0.25"/>
  <cols>
    <col min="1" max="1" width="14.42578125" style="44" customWidth="1"/>
    <col min="2" max="2" width="7.42578125" customWidth="1"/>
    <col min="3" max="3" width="10.7109375" customWidth="1"/>
    <col min="4" max="4" width="11.28515625" style="44" customWidth="1"/>
    <col min="5" max="5" width="12.5703125" style="35" customWidth="1"/>
    <col min="6" max="11" width="11.140625" customWidth="1"/>
    <col min="12" max="12" width="8.140625" customWidth="1"/>
    <col min="13" max="13" width="19.7109375" bestFit="1" customWidth="1"/>
    <col min="16" max="16" width="7.7109375" bestFit="1" customWidth="1"/>
  </cols>
  <sheetData>
    <row r="1" spans="1:17" ht="60" x14ac:dyDescent="0.25">
      <c r="A1" s="40" t="s">
        <v>15</v>
      </c>
      <c r="B1" s="5" t="s">
        <v>0</v>
      </c>
      <c r="C1" s="6" t="s">
        <v>21</v>
      </c>
      <c r="D1" s="45" t="s">
        <v>22</v>
      </c>
      <c r="E1" s="4" t="s">
        <v>28</v>
      </c>
      <c r="F1" s="4" t="s">
        <v>69</v>
      </c>
      <c r="G1" s="4" t="s">
        <v>70</v>
      </c>
      <c r="H1" s="4" t="s">
        <v>118</v>
      </c>
      <c r="I1" s="6" t="s">
        <v>14</v>
      </c>
      <c r="J1" s="6" t="s">
        <v>27</v>
      </c>
      <c r="K1" s="6" t="s">
        <v>67</v>
      </c>
      <c r="L1" s="6" t="s">
        <v>25</v>
      </c>
      <c r="M1" s="6" t="s">
        <v>24</v>
      </c>
      <c r="N1" s="4" t="s">
        <v>23</v>
      </c>
      <c r="O1" s="33" t="s">
        <v>68</v>
      </c>
      <c r="P1" s="6" t="s">
        <v>26</v>
      </c>
    </row>
    <row r="2" spans="1:17" x14ac:dyDescent="0.25">
      <c r="A2" s="41">
        <v>45766</v>
      </c>
      <c r="B2" s="36" t="s">
        <v>13</v>
      </c>
      <c r="C2" s="36">
        <v>1119388</v>
      </c>
      <c r="D2" s="46">
        <v>45768</v>
      </c>
      <c r="E2" s="38" t="s">
        <v>71</v>
      </c>
      <c r="F2" s="37" t="s">
        <v>72</v>
      </c>
      <c r="G2" s="37" t="s">
        <v>73</v>
      </c>
      <c r="H2" s="48" t="s">
        <v>77</v>
      </c>
      <c r="I2" s="36">
        <v>6657</v>
      </c>
      <c r="J2" s="49">
        <v>45794</v>
      </c>
      <c r="K2" s="48" t="s">
        <v>77</v>
      </c>
      <c r="L2" s="36"/>
      <c r="M2" s="36" t="s">
        <v>74</v>
      </c>
      <c r="N2">
        <v>11317</v>
      </c>
      <c r="O2" s="36"/>
      <c r="P2" s="36"/>
      <c r="Q2" s="32"/>
    </row>
    <row r="3" spans="1:17" x14ac:dyDescent="0.25">
      <c r="A3" s="41">
        <v>45769</v>
      </c>
      <c r="B3" s="36" t="s">
        <v>12</v>
      </c>
      <c r="C3">
        <v>1182847</v>
      </c>
      <c r="D3" s="46">
        <v>45770</v>
      </c>
      <c r="E3" s="38" t="s">
        <v>71</v>
      </c>
      <c r="F3" s="37" t="s">
        <v>72</v>
      </c>
      <c r="G3" s="37" t="s">
        <v>73</v>
      </c>
      <c r="H3" s="48" t="s">
        <v>77</v>
      </c>
      <c r="I3" s="36">
        <v>8354</v>
      </c>
      <c r="J3" s="49">
        <v>45793</v>
      </c>
      <c r="K3" s="48" t="s">
        <v>77</v>
      </c>
      <c r="L3" s="36"/>
      <c r="M3" s="36" t="s">
        <v>74</v>
      </c>
      <c r="N3" s="36">
        <v>7519</v>
      </c>
      <c r="O3" s="36"/>
      <c r="P3" s="36"/>
      <c r="Q3" s="32"/>
    </row>
    <row r="4" spans="1:17" x14ac:dyDescent="0.25">
      <c r="A4" s="41" t="s">
        <v>75</v>
      </c>
      <c r="B4" s="36" t="s">
        <v>11</v>
      </c>
      <c r="C4" s="36">
        <v>1326019</v>
      </c>
      <c r="D4" s="14">
        <v>45775</v>
      </c>
      <c r="E4" s="38" t="s">
        <v>71</v>
      </c>
      <c r="F4" s="37" t="s">
        <v>76</v>
      </c>
      <c r="G4" s="37" t="s">
        <v>73</v>
      </c>
      <c r="H4" s="48" t="s">
        <v>77</v>
      </c>
      <c r="I4" s="36">
        <v>7672</v>
      </c>
      <c r="J4" s="49">
        <v>45792</v>
      </c>
      <c r="K4" s="48" t="s">
        <v>77</v>
      </c>
      <c r="L4" s="36"/>
      <c r="M4" s="36" t="s">
        <v>78</v>
      </c>
      <c r="N4" s="36">
        <v>6905</v>
      </c>
      <c r="O4" s="36"/>
      <c r="P4" s="36"/>
      <c r="Q4" s="32"/>
    </row>
    <row r="5" spans="1:17" x14ac:dyDescent="0.25">
      <c r="A5" s="41" t="s">
        <v>79</v>
      </c>
      <c r="B5" s="36" t="s">
        <v>10</v>
      </c>
      <c r="C5" s="36">
        <v>1519081</v>
      </c>
      <c r="D5" s="14">
        <v>45782</v>
      </c>
      <c r="E5" s="38" t="s">
        <v>71</v>
      </c>
      <c r="F5" s="37" t="s">
        <v>72</v>
      </c>
      <c r="G5" s="37" t="s">
        <v>80</v>
      </c>
      <c r="H5" s="48" t="s">
        <v>77</v>
      </c>
      <c r="I5" s="36">
        <v>3777</v>
      </c>
      <c r="J5" s="50">
        <v>45821</v>
      </c>
      <c r="K5" s="48" t="s">
        <v>77</v>
      </c>
      <c r="L5" s="36"/>
      <c r="M5" s="36" t="s">
        <v>81</v>
      </c>
      <c r="N5" s="36">
        <v>4569.8599999999997</v>
      </c>
      <c r="O5" s="36"/>
      <c r="P5" s="36"/>
      <c r="Q5" s="32"/>
    </row>
    <row r="6" spans="1:17" x14ac:dyDescent="0.25">
      <c r="A6" s="41" t="s">
        <v>82</v>
      </c>
      <c r="B6" s="36" t="s">
        <v>45</v>
      </c>
      <c r="C6" s="36">
        <v>1574679</v>
      </c>
      <c r="D6" s="14">
        <v>45783</v>
      </c>
      <c r="E6" s="38" t="s">
        <v>71</v>
      </c>
      <c r="F6" s="37" t="s">
        <v>72</v>
      </c>
      <c r="G6" s="37" t="s">
        <v>73</v>
      </c>
      <c r="H6" s="48" t="s">
        <v>77</v>
      </c>
      <c r="I6" s="36">
        <v>8731</v>
      </c>
      <c r="J6" s="50">
        <v>45813</v>
      </c>
      <c r="K6" s="48" t="s">
        <v>77</v>
      </c>
      <c r="L6" s="36"/>
      <c r="M6" s="36" t="s">
        <v>83</v>
      </c>
      <c r="N6" s="36">
        <v>7858</v>
      </c>
      <c r="O6" s="36"/>
      <c r="P6" s="36"/>
      <c r="Q6" s="32"/>
    </row>
    <row r="7" spans="1:17" x14ac:dyDescent="0.25">
      <c r="A7" s="41" t="s">
        <v>82</v>
      </c>
      <c r="B7" s="36" t="s">
        <v>46</v>
      </c>
      <c r="C7">
        <v>1583259</v>
      </c>
      <c r="D7" s="14">
        <v>45784</v>
      </c>
      <c r="E7" s="38" t="s">
        <v>71</v>
      </c>
      <c r="F7" s="37" t="s">
        <v>72</v>
      </c>
      <c r="G7" s="37" t="s">
        <v>73</v>
      </c>
      <c r="H7" s="48" t="s">
        <v>77</v>
      </c>
      <c r="I7" s="36">
        <v>7191</v>
      </c>
      <c r="J7" s="50">
        <v>45827</v>
      </c>
      <c r="K7" s="48" t="s">
        <v>77</v>
      </c>
      <c r="L7" s="36"/>
      <c r="M7" t="s">
        <v>83</v>
      </c>
      <c r="N7" s="36">
        <v>6472</v>
      </c>
      <c r="O7" s="36"/>
      <c r="P7" s="36"/>
      <c r="Q7" s="32"/>
    </row>
    <row r="8" spans="1:17" x14ac:dyDescent="0.25">
      <c r="A8" s="41">
        <v>45836</v>
      </c>
      <c r="B8" s="36" t="s">
        <v>47</v>
      </c>
      <c r="C8">
        <v>3184195</v>
      </c>
      <c r="D8" s="46">
        <v>45839</v>
      </c>
      <c r="E8" s="38" t="s">
        <v>93</v>
      </c>
      <c r="F8" s="37" t="s">
        <v>72</v>
      </c>
      <c r="G8" s="37" t="s">
        <v>73</v>
      </c>
      <c r="H8" s="48" t="s">
        <v>77</v>
      </c>
      <c r="I8">
        <v>8569</v>
      </c>
      <c r="J8" s="49">
        <v>45843</v>
      </c>
      <c r="K8" s="48" t="s">
        <v>77</v>
      </c>
      <c r="L8" s="36"/>
      <c r="M8" s="2" t="s">
        <v>94</v>
      </c>
      <c r="N8">
        <v>14568</v>
      </c>
      <c r="O8" s="36"/>
      <c r="P8" s="36"/>
    </row>
    <row r="9" spans="1:17" x14ac:dyDescent="0.25">
      <c r="A9" s="41">
        <v>45836</v>
      </c>
      <c r="B9" s="36" t="s">
        <v>48</v>
      </c>
      <c r="C9">
        <v>3176205</v>
      </c>
      <c r="D9" s="46">
        <v>45838</v>
      </c>
      <c r="E9" s="38" t="s">
        <v>93</v>
      </c>
      <c r="F9" s="37" t="s">
        <v>72</v>
      </c>
      <c r="G9" s="37" t="s">
        <v>73</v>
      </c>
      <c r="H9" s="48" t="s">
        <v>77</v>
      </c>
      <c r="I9">
        <v>7379</v>
      </c>
      <c r="J9" s="49">
        <v>45843</v>
      </c>
      <c r="K9" s="48" t="s">
        <v>77</v>
      </c>
      <c r="L9" s="36"/>
      <c r="M9" s="2" t="s">
        <v>94</v>
      </c>
      <c r="N9">
        <v>12544</v>
      </c>
      <c r="O9" s="36"/>
      <c r="P9" s="36"/>
      <c r="Q9" s="32"/>
    </row>
    <row r="10" spans="1:17" x14ac:dyDescent="0.25">
      <c r="A10" s="41">
        <v>45837</v>
      </c>
      <c r="B10" s="36" t="s">
        <v>49</v>
      </c>
      <c r="C10">
        <v>3176197</v>
      </c>
      <c r="D10" s="46">
        <v>45838</v>
      </c>
      <c r="E10" s="38" t="s">
        <v>93</v>
      </c>
      <c r="F10" s="37" t="s">
        <v>101</v>
      </c>
      <c r="G10" s="37" t="s">
        <v>73</v>
      </c>
      <c r="H10" s="48" t="s">
        <v>77</v>
      </c>
      <c r="I10">
        <v>5639</v>
      </c>
      <c r="J10" s="49">
        <v>45843</v>
      </c>
      <c r="K10" s="48" t="s">
        <v>77</v>
      </c>
      <c r="L10" s="36"/>
      <c r="M10" s="2" t="s">
        <v>94</v>
      </c>
      <c r="N10">
        <v>9586</v>
      </c>
      <c r="O10" s="36"/>
      <c r="P10" s="36"/>
      <c r="Q10" s="32"/>
    </row>
    <row r="11" spans="1:17" x14ac:dyDescent="0.25">
      <c r="A11" s="41">
        <v>45842</v>
      </c>
      <c r="B11" s="36" t="s">
        <v>9</v>
      </c>
      <c r="C11">
        <v>3324924</v>
      </c>
      <c r="D11" s="46">
        <v>45843</v>
      </c>
      <c r="E11" s="38" t="s">
        <v>71</v>
      </c>
      <c r="F11" s="37" t="s">
        <v>72</v>
      </c>
      <c r="G11" s="37" t="s">
        <v>73</v>
      </c>
      <c r="H11" s="48" t="s">
        <v>77</v>
      </c>
      <c r="I11">
        <v>6563</v>
      </c>
      <c r="J11" s="49">
        <v>45860</v>
      </c>
      <c r="K11" s="48" t="s">
        <v>77</v>
      </c>
      <c r="L11" s="36"/>
      <c r="M11" s="36" t="s">
        <v>95</v>
      </c>
      <c r="N11">
        <v>11157</v>
      </c>
      <c r="O11" s="36"/>
      <c r="P11" s="36"/>
    </row>
    <row r="12" spans="1:17" x14ac:dyDescent="0.25">
      <c r="A12" s="41">
        <v>45843</v>
      </c>
      <c r="B12" s="36" t="s">
        <v>84</v>
      </c>
      <c r="C12">
        <v>3355392</v>
      </c>
      <c r="D12" s="46">
        <v>45845</v>
      </c>
      <c r="E12" s="38" t="s">
        <v>71</v>
      </c>
      <c r="F12" s="37" t="s">
        <v>72</v>
      </c>
      <c r="G12" s="37" t="s">
        <v>73</v>
      </c>
      <c r="H12" s="48" t="s">
        <v>77</v>
      </c>
      <c r="I12">
        <v>8367</v>
      </c>
      <c r="J12" s="49">
        <v>45863</v>
      </c>
      <c r="K12" s="48" t="s">
        <v>77</v>
      </c>
      <c r="L12" s="36"/>
      <c r="M12" s="36" t="s">
        <v>96</v>
      </c>
      <c r="N12">
        <v>14224</v>
      </c>
      <c r="O12" s="36"/>
      <c r="P12" s="36"/>
    </row>
    <row r="13" spans="1:17" x14ac:dyDescent="0.25">
      <c r="A13" s="41">
        <v>45849</v>
      </c>
      <c r="B13" s="36" t="s">
        <v>85</v>
      </c>
      <c r="C13">
        <v>3539322</v>
      </c>
      <c r="D13" s="46">
        <v>45852</v>
      </c>
      <c r="E13" s="38" t="s">
        <v>93</v>
      </c>
      <c r="F13" s="37" t="s">
        <v>72</v>
      </c>
      <c r="G13" s="37" t="s">
        <v>73</v>
      </c>
      <c r="H13" s="48" t="s">
        <v>77</v>
      </c>
      <c r="I13">
        <v>8849</v>
      </c>
      <c r="J13" s="49">
        <v>45855</v>
      </c>
      <c r="K13" s="48" t="s">
        <v>77</v>
      </c>
      <c r="L13" s="36"/>
      <c r="M13" s="2" t="s">
        <v>97</v>
      </c>
      <c r="N13">
        <v>15044</v>
      </c>
      <c r="O13" s="36"/>
      <c r="P13" s="36"/>
    </row>
    <row r="14" spans="1:17" x14ac:dyDescent="0.25">
      <c r="A14" s="41">
        <v>45849</v>
      </c>
      <c r="B14" s="36" t="s">
        <v>86</v>
      </c>
      <c r="C14">
        <v>3539335</v>
      </c>
      <c r="D14" s="46">
        <v>45852</v>
      </c>
      <c r="E14" s="38" t="s">
        <v>93</v>
      </c>
      <c r="F14" s="37" t="s">
        <v>76</v>
      </c>
      <c r="G14" s="37" t="s">
        <v>73</v>
      </c>
      <c r="H14" s="48" t="s">
        <v>77</v>
      </c>
      <c r="I14">
        <v>8094</v>
      </c>
      <c r="J14" s="49">
        <v>45855</v>
      </c>
      <c r="K14" s="48" t="s">
        <v>77</v>
      </c>
      <c r="L14" s="36"/>
      <c r="M14" s="2" t="s">
        <v>97</v>
      </c>
      <c r="N14">
        <v>13760</v>
      </c>
      <c r="O14" s="36"/>
      <c r="P14" s="36"/>
    </row>
    <row r="15" spans="1:17" x14ac:dyDescent="0.25">
      <c r="A15" s="41">
        <v>45857</v>
      </c>
      <c r="B15" s="36" t="s">
        <v>87</v>
      </c>
      <c r="C15">
        <v>3734587</v>
      </c>
      <c r="D15" s="46">
        <v>45859</v>
      </c>
      <c r="E15" s="38" t="s">
        <v>93</v>
      </c>
      <c r="F15" s="37" t="s">
        <v>72</v>
      </c>
      <c r="G15" s="37" t="s">
        <v>98</v>
      </c>
      <c r="H15" s="48" t="s">
        <v>77</v>
      </c>
      <c r="I15">
        <v>7722</v>
      </c>
      <c r="J15" s="49">
        <v>45880</v>
      </c>
      <c r="K15" s="48" t="s">
        <v>77</v>
      </c>
      <c r="L15" s="36"/>
      <c r="M15" s="2" t="s">
        <v>99</v>
      </c>
      <c r="N15">
        <v>13128</v>
      </c>
      <c r="O15" s="36"/>
      <c r="P15" s="36"/>
    </row>
    <row r="16" spans="1:17" x14ac:dyDescent="0.25">
      <c r="A16" s="41">
        <v>45859</v>
      </c>
      <c r="B16" s="36" t="s">
        <v>88</v>
      </c>
      <c r="C16">
        <v>3840409</v>
      </c>
      <c r="D16" s="46">
        <v>45862</v>
      </c>
      <c r="E16" s="38" t="s">
        <v>71</v>
      </c>
      <c r="F16" s="37" t="s">
        <v>72</v>
      </c>
      <c r="G16" s="37" t="s">
        <v>73</v>
      </c>
      <c r="H16" s="48" t="s">
        <v>77</v>
      </c>
      <c r="I16">
        <v>8764</v>
      </c>
      <c r="J16" s="49">
        <v>45880</v>
      </c>
      <c r="K16" s="48" t="s">
        <v>77</v>
      </c>
      <c r="L16" s="36"/>
      <c r="M16" s="2" t="s">
        <v>100</v>
      </c>
      <c r="N16">
        <v>14898</v>
      </c>
      <c r="O16" s="36"/>
      <c r="P16" s="36"/>
    </row>
    <row r="17" spans="1:16" x14ac:dyDescent="0.25">
      <c r="A17" s="41">
        <v>45859</v>
      </c>
      <c r="B17" s="36" t="s">
        <v>89</v>
      </c>
      <c r="C17">
        <v>3763095</v>
      </c>
      <c r="D17" s="46">
        <v>45860</v>
      </c>
      <c r="E17" s="38" t="s">
        <v>71</v>
      </c>
      <c r="F17" s="37" t="s">
        <v>72</v>
      </c>
      <c r="G17" s="37" t="s">
        <v>73</v>
      </c>
      <c r="H17" s="48" t="s">
        <v>77</v>
      </c>
      <c r="I17">
        <v>9894</v>
      </c>
      <c r="J17" s="49">
        <v>45880</v>
      </c>
      <c r="K17" s="48" t="s">
        <v>77</v>
      </c>
      <c r="L17" s="36"/>
      <c r="M17" s="2" t="s">
        <v>100</v>
      </c>
      <c r="N17">
        <v>16820</v>
      </c>
      <c r="O17" s="36"/>
      <c r="P17" s="36"/>
    </row>
    <row r="18" spans="1:16" x14ac:dyDescent="0.25">
      <c r="A18" s="41">
        <v>45860</v>
      </c>
      <c r="B18" s="36" t="s">
        <v>90</v>
      </c>
      <c r="C18">
        <v>3800293</v>
      </c>
      <c r="D18" s="46">
        <v>45861</v>
      </c>
      <c r="E18" s="38" t="s">
        <v>93</v>
      </c>
      <c r="F18" s="37" t="s">
        <v>76</v>
      </c>
      <c r="G18" s="37" t="s">
        <v>73</v>
      </c>
      <c r="H18" s="48" t="s">
        <v>77</v>
      </c>
      <c r="I18">
        <v>8174</v>
      </c>
      <c r="J18" s="39"/>
      <c r="K18" s="48" t="s">
        <v>77</v>
      </c>
      <c r="L18" s="36"/>
      <c r="M18" s="2" t="s">
        <v>104</v>
      </c>
      <c r="N18">
        <v>13896</v>
      </c>
      <c r="O18" s="36"/>
      <c r="P18" s="36"/>
    </row>
    <row r="19" spans="1:16" x14ac:dyDescent="0.25">
      <c r="A19" s="41">
        <v>45869</v>
      </c>
      <c r="B19" s="36" t="s">
        <v>91</v>
      </c>
      <c r="C19">
        <v>4116781</v>
      </c>
      <c r="D19" s="46">
        <v>45871</v>
      </c>
      <c r="E19" s="38" t="s">
        <v>93</v>
      </c>
      <c r="F19" s="37" t="s">
        <v>102</v>
      </c>
      <c r="G19" s="37" t="s">
        <v>103</v>
      </c>
      <c r="H19" s="48" t="s">
        <v>77</v>
      </c>
      <c r="I19">
        <v>8228</v>
      </c>
      <c r="J19" s="39"/>
      <c r="K19" s="48" t="s">
        <v>77</v>
      </c>
      <c r="L19" s="36"/>
      <c r="M19" s="2" t="s">
        <v>105</v>
      </c>
      <c r="N19">
        <v>13988</v>
      </c>
      <c r="O19" s="36"/>
      <c r="P19" s="36"/>
    </row>
    <row r="20" spans="1:16" x14ac:dyDescent="0.25">
      <c r="A20" s="41">
        <v>45874</v>
      </c>
      <c r="B20" s="36" t="s">
        <v>92</v>
      </c>
      <c r="C20">
        <v>4254696</v>
      </c>
      <c r="D20" s="46">
        <v>45876</v>
      </c>
      <c r="E20" s="38" t="s">
        <v>93</v>
      </c>
      <c r="F20" s="37" t="s">
        <v>76</v>
      </c>
      <c r="G20" s="37" t="s">
        <v>80</v>
      </c>
      <c r="H20" s="48" t="s">
        <v>77</v>
      </c>
      <c r="I20">
        <v>4919</v>
      </c>
      <c r="J20" s="39"/>
      <c r="K20" s="48" t="s">
        <v>77</v>
      </c>
      <c r="L20" s="36"/>
      <c r="M20" s="51">
        <v>2508142</v>
      </c>
      <c r="N20">
        <v>8362</v>
      </c>
      <c r="O20" s="36"/>
      <c r="P20" s="36"/>
    </row>
    <row r="21" spans="1:16" x14ac:dyDescent="0.25">
      <c r="A21" s="41">
        <v>45908</v>
      </c>
      <c r="B21" s="36" t="s">
        <v>106</v>
      </c>
      <c r="C21" s="36">
        <v>5134401</v>
      </c>
      <c r="D21" s="46">
        <v>45909</v>
      </c>
      <c r="E21" s="38" t="s">
        <v>93</v>
      </c>
      <c r="F21" s="37" t="s">
        <v>72</v>
      </c>
      <c r="G21" s="37" t="s">
        <v>98</v>
      </c>
      <c r="H21" s="37"/>
      <c r="I21">
        <v>6997</v>
      </c>
      <c r="J21" s="49">
        <v>45958</v>
      </c>
      <c r="K21" s="48" t="s">
        <v>77</v>
      </c>
      <c r="L21" s="36"/>
      <c r="M21" s="36" t="s">
        <v>115</v>
      </c>
      <c r="N21" s="36">
        <v>11896</v>
      </c>
      <c r="O21" s="36"/>
      <c r="P21" s="36"/>
    </row>
    <row r="22" spans="1:16" x14ac:dyDescent="0.25">
      <c r="A22" s="41">
        <v>45915</v>
      </c>
      <c r="B22" s="36" t="s">
        <v>107</v>
      </c>
      <c r="C22">
        <v>5327926</v>
      </c>
      <c r="D22" s="46">
        <v>45916</v>
      </c>
      <c r="E22" s="38" t="s">
        <v>71</v>
      </c>
      <c r="F22" s="37" t="s">
        <v>76</v>
      </c>
      <c r="G22" s="37" t="s">
        <v>73</v>
      </c>
      <c r="H22" s="37"/>
      <c r="I22" s="36">
        <v>7640</v>
      </c>
      <c r="J22" s="49">
        <v>45929</v>
      </c>
      <c r="K22" s="39"/>
      <c r="L22" s="36"/>
      <c r="M22" s="36" t="s">
        <v>117</v>
      </c>
      <c r="N22" s="36">
        <v>12989</v>
      </c>
      <c r="O22" s="36"/>
      <c r="P22" s="36"/>
    </row>
    <row r="23" spans="1:16" x14ac:dyDescent="0.25">
      <c r="A23" s="41">
        <v>45916</v>
      </c>
      <c r="B23" s="36" t="s">
        <v>108</v>
      </c>
      <c r="C23" s="36">
        <v>5351361</v>
      </c>
      <c r="D23" s="46">
        <v>45917</v>
      </c>
      <c r="E23" s="38" t="s">
        <v>71</v>
      </c>
      <c r="F23" s="37" t="s">
        <v>72</v>
      </c>
      <c r="G23" s="37" t="s">
        <v>73</v>
      </c>
      <c r="H23" s="37"/>
      <c r="I23" s="36">
        <v>8432</v>
      </c>
      <c r="J23" s="49">
        <v>45929</v>
      </c>
      <c r="K23" s="39"/>
      <c r="L23" s="36"/>
      <c r="M23" s="36" t="s">
        <v>117</v>
      </c>
      <c r="N23" s="36">
        <v>14335</v>
      </c>
      <c r="O23" s="36"/>
      <c r="P23" s="36"/>
    </row>
    <row r="24" spans="1:16" x14ac:dyDescent="0.25">
      <c r="A24" s="42"/>
      <c r="B24" s="36" t="s">
        <v>109</v>
      </c>
      <c r="C24" s="2"/>
      <c r="D24" s="47"/>
      <c r="E24" s="38" t="s">
        <v>93</v>
      </c>
      <c r="F24" s="30" t="s">
        <v>76</v>
      </c>
      <c r="G24" s="30" t="s">
        <v>73</v>
      </c>
      <c r="H24" s="30"/>
      <c r="I24">
        <v>7998</v>
      </c>
      <c r="J24" s="31"/>
      <c r="K24" s="31"/>
      <c r="L24" s="2"/>
      <c r="M24" s="2"/>
      <c r="N24">
        <v>13597</v>
      </c>
      <c r="O24" s="2"/>
      <c r="P24" s="2"/>
    </row>
    <row r="25" spans="1:16" x14ac:dyDescent="0.25">
      <c r="A25" s="42"/>
      <c r="B25" s="36" t="s">
        <v>110</v>
      </c>
      <c r="C25" s="2"/>
      <c r="D25" s="47"/>
      <c r="E25" s="38" t="s">
        <v>93</v>
      </c>
      <c r="F25" s="30" t="s">
        <v>116</v>
      </c>
      <c r="G25" s="30" t="s">
        <v>98</v>
      </c>
      <c r="H25" s="30"/>
      <c r="I25" s="2">
        <v>6119</v>
      </c>
      <c r="J25" s="31"/>
      <c r="K25" s="31"/>
      <c r="L25" s="2"/>
      <c r="M25" s="2"/>
      <c r="N25">
        <v>10402</v>
      </c>
      <c r="O25" s="2"/>
      <c r="P25" s="2"/>
    </row>
    <row r="26" spans="1:16" x14ac:dyDescent="0.25">
      <c r="A26" s="42"/>
      <c r="B26" s="36" t="s">
        <v>111</v>
      </c>
      <c r="C26" s="2"/>
      <c r="D26" s="47"/>
      <c r="E26" s="38" t="s">
        <v>93</v>
      </c>
      <c r="F26" s="30" t="s">
        <v>72</v>
      </c>
      <c r="G26" s="30" t="s">
        <v>98</v>
      </c>
      <c r="H26" s="30"/>
      <c r="I26" s="2">
        <v>7776</v>
      </c>
      <c r="J26" s="49">
        <v>45958</v>
      </c>
      <c r="K26" s="31"/>
      <c r="L26" s="2"/>
      <c r="M26" s="2"/>
      <c r="N26" s="2">
        <v>13218</v>
      </c>
      <c r="O26" s="2"/>
      <c r="P26" s="2"/>
    </row>
    <row r="27" spans="1:16" x14ac:dyDescent="0.25">
      <c r="A27" s="42"/>
      <c r="B27" s="36" t="s">
        <v>112</v>
      </c>
      <c r="C27" s="2"/>
      <c r="D27" s="47"/>
      <c r="E27" s="38" t="s">
        <v>71</v>
      </c>
      <c r="F27" s="30" t="s">
        <v>76</v>
      </c>
      <c r="G27" s="30" t="s">
        <v>73</v>
      </c>
      <c r="H27" s="30"/>
      <c r="I27" s="2">
        <v>5019</v>
      </c>
      <c r="J27" s="49">
        <v>45958</v>
      </c>
      <c r="K27" s="31"/>
      <c r="L27" s="2"/>
      <c r="M27" s="2"/>
      <c r="N27" s="2">
        <v>8532</v>
      </c>
      <c r="O27" s="2"/>
      <c r="P27" s="2"/>
    </row>
    <row r="28" spans="1:16" x14ac:dyDescent="0.25">
      <c r="A28" s="42"/>
      <c r="B28" s="36" t="s">
        <v>113</v>
      </c>
      <c r="C28" s="2"/>
      <c r="D28" s="47"/>
      <c r="E28" s="38" t="s">
        <v>71</v>
      </c>
      <c r="F28" s="30" t="s">
        <v>72</v>
      </c>
      <c r="G28" s="30" t="s">
        <v>73</v>
      </c>
      <c r="H28" s="30"/>
      <c r="I28" s="2">
        <v>7036</v>
      </c>
      <c r="J28" s="49">
        <v>45958</v>
      </c>
      <c r="K28" s="31"/>
      <c r="L28" s="2"/>
      <c r="M28" s="2"/>
      <c r="N28" s="2">
        <v>11961</v>
      </c>
      <c r="O28" s="2"/>
      <c r="P28" s="2"/>
    </row>
    <row r="29" spans="1:16" x14ac:dyDescent="0.25">
      <c r="A29" s="42"/>
      <c r="B29" s="36" t="s">
        <v>114</v>
      </c>
      <c r="C29" s="2"/>
      <c r="D29" s="47"/>
      <c r="E29" s="38" t="s">
        <v>93</v>
      </c>
      <c r="F29" s="30" t="s">
        <v>102</v>
      </c>
      <c r="G29" s="30" t="s">
        <v>73</v>
      </c>
      <c r="H29" s="30"/>
      <c r="I29" s="2">
        <v>8439</v>
      </c>
      <c r="J29" s="39"/>
      <c r="K29" s="31"/>
      <c r="L29" s="2"/>
      <c r="M29" s="2"/>
      <c r="N29" s="2">
        <v>14346</v>
      </c>
      <c r="O29" s="2"/>
      <c r="P29" s="2"/>
    </row>
    <row r="30" spans="1:16" x14ac:dyDescent="0.25">
      <c r="A30" s="42"/>
      <c r="B30" s="36" t="s">
        <v>119</v>
      </c>
      <c r="C30" s="2"/>
      <c r="D30" s="47"/>
      <c r="E30" s="38" t="s">
        <v>93</v>
      </c>
      <c r="F30" s="30" t="s">
        <v>72</v>
      </c>
      <c r="G30" s="30" t="s">
        <v>73</v>
      </c>
      <c r="H30" s="30"/>
      <c r="I30" s="29">
        <v>7136</v>
      </c>
      <c r="J30" s="31"/>
      <c r="K30" s="31"/>
      <c r="L30" s="2"/>
      <c r="M30" s="2"/>
      <c r="N30" s="29">
        <v>12131</v>
      </c>
      <c r="O30" s="2"/>
      <c r="P30" s="2"/>
    </row>
    <row r="31" spans="1:16" x14ac:dyDescent="0.25">
      <c r="A31" s="42"/>
      <c r="B31" s="36" t="s">
        <v>120</v>
      </c>
      <c r="C31" s="2"/>
      <c r="D31" s="47"/>
      <c r="E31" s="38" t="s">
        <v>93</v>
      </c>
      <c r="F31" s="30" t="s">
        <v>72</v>
      </c>
      <c r="G31" s="30" t="s">
        <v>73</v>
      </c>
      <c r="H31" s="30"/>
      <c r="I31" s="29">
        <v>9313</v>
      </c>
      <c r="J31" s="31"/>
      <c r="K31" s="31"/>
      <c r="L31" s="2"/>
      <c r="M31" s="2"/>
      <c r="N31" s="29">
        <v>15832</v>
      </c>
      <c r="O31" s="2"/>
      <c r="P31" s="2"/>
    </row>
    <row r="32" spans="1:16" x14ac:dyDescent="0.25">
      <c r="A32" s="43"/>
      <c r="B32" s="36" t="s">
        <v>121</v>
      </c>
      <c r="E32" s="38" t="s">
        <v>93</v>
      </c>
      <c r="F32" s="30" t="s">
        <v>72</v>
      </c>
      <c r="G32" s="30" t="s">
        <v>98</v>
      </c>
      <c r="H32" s="14"/>
      <c r="J32" s="15"/>
      <c r="K32" s="15"/>
    </row>
    <row r="33" spans="1:13" x14ac:dyDescent="0.25">
      <c r="A33" s="43"/>
      <c r="B33" s="36" t="s">
        <v>122</v>
      </c>
      <c r="E33" s="38" t="s">
        <v>93</v>
      </c>
      <c r="F33" s="30" t="s">
        <v>72</v>
      </c>
      <c r="G33" s="30" t="s">
        <v>123</v>
      </c>
      <c r="H33" s="14"/>
      <c r="J33" s="15"/>
      <c r="K33" s="15"/>
    </row>
    <row r="34" spans="1:13" x14ac:dyDescent="0.25">
      <c r="A34" s="43"/>
      <c r="E34" s="34"/>
      <c r="F34" s="14"/>
      <c r="G34" s="14"/>
      <c r="H34" s="14"/>
      <c r="J34" s="15"/>
      <c r="K34" s="15"/>
    </row>
    <row r="35" spans="1:13" x14ac:dyDescent="0.25">
      <c r="A35" s="43" t="s">
        <v>20</v>
      </c>
      <c r="B35" t="s">
        <v>20</v>
      </c>
      <c r="C35" t="s">
        <v>20</v>
      </c>
      <c r="D35" s="44" t="s">
        <v>20</v>
      </c>
      <c r="E35" s="34" t="s">
        <v>20</v>
      </c>
      <c r="F35" s="14"/>
      <c r="G35" s="14"/>
      <c r="H35" s="14"/>
      <c r="I35" t="s">
        <v>20</v>
      </c>
      <c r="J35" s="15" t="s">
        <v>20</v>
      </c>
      <c r="K35" s="15"/>
      <c r="L35" t="s">
        <v>20</v>
      </c>
      <c r="M35" t="s">
        <v>20</v>
      </c>
    </row>
    <row r="36" spans="1:13" x14ac:dyDescent="0.25">
      <c r="A36" s="43" t="s">
        <v>20</v>
      </c>
      <c r="B36" t="s">
        <v>20</v>
      </c>
      <c r="C36" t="s">
        <v>20</v>
      </c>
      <c r="D36" s="44" t="s">
        <v>20</v>
      </c>
      <c r="E36" s="34" t="s">
        <v>20</v>
      </c>
      <c r="F36" s="14"/>
      <c r="G36" s="14"/>
      <c r="H36" s="14"/>
      <c r="I36" t="s">
        <v>20</v>
      </c>
      <c r="J36" s="15" t="s">
        <v>20</v>
      </c>
      <c r="K36" s="15"/>
      <c r="L36" t="s">
        <v>20</v>
      </c>
      <c r="M36" t="s">
        <v>20</v>
      </c>
    </row>
    <row r="37" spans="1:13" x14ac:dyDescent="0.25">
      <c r="A37" s="43" t="str">
        <f>IFERROR(INDEX(Sheet2!B:B,MATCH(Sheet1!#REF!,Sheet2!A:A,0)),"")</f>
        <v/>
      </c>
    </row>
    <row r="38" spans="1:13" x14ac:dyDescent="0.25">
      <c r="A38" s="43" t="str">
        <f>IFERROR(INDEX(Sheet2!B8:B39,MATCH(Sheet1!#REF!,Sheet2!A7:A39,0)),"")</f>
        <v/>
      </c>
    </row>
    <row r="39" spans="1:13" x14ac:dyDescent="0.25">
      <c r="A39" s="43" t="str">
        <f>IFERROR(INDEX(Sheet2!B9:B40,MATCH(Sheet1!#REF!,Sheet2!A8:A40,0)),"")</f>
        <v/>
      </c>
    </row>
    <row r="40" spans="1:13" x14ac:dyDescent="0.25">
      <c r="A40" s="43" t="str">
        <f>IFERROR(INDEX(Sheet2!B11:B41,MATCH(Sheet1!#REF!,Sheet2!A9:A41,0)),"")</f>
        <v/>
      </c>
    </row>
    <row r="41" spans="1:13" x14ac:dyDescent="0.25">
      <c r="A41" s="43" t="str">
        <f>IFERROR(INDEX(Sheet2!B11:B42,MATCH(Sheet1!#REF!,Sheet2!A11:A42,0)),"")</f>
        <v/>
      </c>
    </row>
    <row r="42" spans="1:13" x14ac:dyDescent="0.25">
      <c r="A42" s="43" t="str">
        <f>IFERROR(INDEX(Sheet2!B12:B43,MATCH(Sheet1!#REF!,Sheet2!A11:A43,0)),"")</f>
        <v/>
      </c>
    </row>
    <row r="43" spans="1:13" x14ac:dyDescent="0.25">
      <c r="A43" s="43" t="str">
        <f>IFERROR(INDEX(Sheet2!B13:B44,MATCH(Sheet1!#REF!,Sheet2!A12:A44,0)),"")</f>
        <v/>
      </c>
    </row>
    <row r="44" spans="1:13" x14ac:dyDescent="0.25">
      <c r="A44" s="43" t="str">
        <f>IFERROR(INDEX(Sheet2!B14:B45,MATCH(Sheet1!#REF!,Sheet2!A13:A45,0)),"")</f>
        <v/>
      </c>
    </row>
    <row r="45" spans="1:13" x14ac:dyDescent="0.25">
      <c r="A45" s="43" t="str">
        <f>IFERROR(INDEX(Sheet2!B15:B46,MATCH(Sheet1!#REF!,Sheet2!A14:A46,0)),"")</f>
        <v/>
      </c>
    </row>
    <row r="46" spans="1:13" x14ac:dyDescent="0.25">
      <c r="A46" s="43" t="str">
        <f>IFERROR(INDEX(Sheet2!B16:B47,MATCH(Sheet1!#REF!,Sheet2!A15:A47,0)),"")</f>
        <v/>
      </c>
    </row>
    <row r="47" spans="1:13" x14ac:dyDescent="0.25">
      <c r="A47" s="43" t="str">
        <f>IFERROR(INDEX(Sheet2!B17:B48,MATCH(Sheet1!#REF!,Sheet2!A16:A48,0)),"")</f>
        <v/>
      </c>
    </row>
    <row r="48" spans="1:13" x14ac:dyDescent="0.25">
      <c r="A48" s="43" t="str">
        <f>IFERROR(INDEX(Sheet2!B18:B49,MATCH(Sheet1!#REF!,Sheet2!A17:A49,0)),"")</f>
        <v/>
      </c>
    </row>
    <row r="49" spans="1:1" x14ac:dyDescent="0.25">
      <c r="A49" s="43" t="str">
        <f>IFERROR(INDEX(Sheet2!B19:B50,MATCH(Sheet1!#REF!,Sheet2!A18:A50,0)),"")</f>
        <v/>
      </c>
    </row>
    <row r="50" spans="1:1" x14ac:dyDescent="0.25">
      <c r="A50" s="43" t="str">
        <f>IFERROR(INDEX(Sheet2!B20:B51,MATCH(Sheet1!#REF!,Sheet2!A19:A51,0)),"")</f>
        <v/>
      </c>
    </row>
    <row r="51" spans="1:1" x14ac:dyDescent="0.25">
      <c r="A51" s="43" t="str">
        <f>IFERROR(INDEX(Sheet2!B21:B52,MATCH(Sheet1!#REF!,Sheet2!A20:A52,0)),"")</f>
        <v/>
      </c>
    </row>
    <row r="52" spans="1:1" x14ac:dyDescent="0.25">
      <c r="A52" s="43" t="str">
        <f>IFERROR(INDEX(Sheet2!B22:B53,MATCH(Sheet1!#REF!,Sheet2!A21:A53,0)),"")</f>
        <v/>
      </c>
    </row>
    <row r="53" spans="1:1" x14ac:dyDescent="0.25">
      <c r="A53" s="43" t="str">
        <f>IFERROR(INDEX(Sheet2!B23:B54,MATCH(Sheet1!#REF!,Sheet2!A22:A54,0)),"")</f>
        <v/>
      </c>
    </row>
    <row r="54" spans="1:1" x14ac:dyDescent="0.25">
      <c r="A54" s="43" t="str">
        <f>IFERROR(INDEX(Sheet2!B24:B55,MATCH(Sheet1!#REF!,Sheet2!A23:A55,0)),"")</f>
        <v/>
      </c>
    </row>
    <row r="55" spans="1:1" x14ac:dyDescent="0.25">
      <c r="A55" s="43" t="str">
        <f>IFERROR(INDEX(Sheet2!B25:B56,MATCH(Sheet1!#REF!,Sheet2!A24:A56,0)),"")</f>
        <v/>
      </c>
    </row>
    <row r="56" spans="1:1" x14ac:dyDescent="0.25">
      <c r="A56" s="43" t="str">
        <f>IFERROR(INDEX(Sheet2!B26:B57,MATCH(Sheet1!#REF!,Sheet2!A25:A57,0)),"")</f>
        <v/>
      </c>
    </row>
    <row r="57" spans="1:1" x14ac:dyDescent="0.25">
      <c r="A57" s="43" t="str">
        <f>IFERROR(INDEX(Sheet2!B27:B58,MATCH(Sheet1!#REF!,Sheet2!A26:A58,0)),"")</f>
        <v/>
      </c>
    </row>
    <row r="58" spans="1:1" x14ac:dyDescent="0.25">
      <c r="A58" s="43" t="str">
        <f>IFERROR(INDEX(Sheet2!B28:B59,MATCH(Sheet1!#REF!,Sheet2!A27:A59,0)),"")</f>
        <v/>
      </c>
    </row>
    <row r="59" spans="1:1" x14ac:dyDescent="0.25">
      <c r="A59" s="43" t="str">
        <f>IFERROR(INDEX(Sheet2!B29:B60,MATCH(Sheet1!#REF!,Sheet2!A28:A60,0)),"")</f>
        <v/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R14" sqref="R14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7" t="s">
        <v>38</v>
      </c>
      <c r="B1" s="17" t="s">
        <v>9</v>
      </c>
      <c r="C1" s="17" t="s">
        <v>49</v>
      </c>
      <c r="D1" s="17" t="s">
        <v>48</v>
      </c>
      <c r="E1" s="17" t="s">
        <v>47</v>
      </c>
      <c r="F1" s="17" t="s">
        <v>46</v>
      </c>
      <c r="G1" s="17" t="s">
        <v>45</v>
      </c>
      <c r="H1" s="17" t="s">
        <v>10</v>
      </c>
      <c r="I1" s="17" t="s">
        <v>11</v>
      </c>
      <c r="J1" s="17" t="s">
        <v>12</v>
      </c>
      <c r="K1" s="17" t="s">
        <v>13</v>
      </c>
      <c r="L1" s="28"/>
    </row>
    <row r="2" spans="1:12" x14ac:dyDescent="0.25">
      <c r="A2" s="18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8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8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8" t="s">
        <v>32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8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8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8" t="s">
        <v>34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8" t="s">
        <v>35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8" t="s">
        <v>39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8" t="s">
        <v>40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8" t="s">
        <v>41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8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8" t="s">
        <v>37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8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2025-11-21T06:49:51Z</dcterms:modified>
</cp:coreProperties>
</file>